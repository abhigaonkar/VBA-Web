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gaonkar\Downloads\Proposals\Momentive\"/>
    </mc:Choice>
  </mc:AlternateContent>
  <xr:revisionPtr revIDLastSave="0" documentId="8_{F1089DBA-D754-4E44-9D0B-2E1EB53E6C34}" xr6:coauthVersionLast="36" xr6:coauthVersionMax="36" xr10:uidLastSave="{00000000-0000-0000-0000-000000000000}"/>
  <bookViews>
    <workbookView xWindow="0" yWindow="0" windowWidth="19200" windowHeight="7050" xr2:uid="{5E186C5E-8EC3-4EDF-94DE-9500F4BA815C}"/>
  </bookViews>
  <sheets>
    <sheet name="Bake WB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/>
  <c r="C75" i="1"/>
  <c r="C74" i="1"/>
  <c r="C73" i="1"/>
  <c r="C72" i="1"/>
  <c r="C71" i="1"/>
  <c r="C70" i="1"/>
  <c r="C69" i="1"/>
  <c r="C68" i="1"/>
  <c r="C66" i="1"/>
  <c r="C65" i="1"/>
  <c r="C64" i="1"/>
  <c r="C63" i="1"/>
  <c r="C62" i="1"/>
  <c r="C61" i="1"/>
  <c r="C60" i="1"/>
  <c r="C59" i="1"/>
  <c r="C58" i="1"/>
  <c r="C57" i="1"/>
  <c r="C55" i="1"/>
  <c r="C54" i="1"/>
  <c r="C53" i="1"/>
  <c r="C52" i="1"/>
  <c r="C51" i="1"/>
  <c r="C50" i="1"/>
  <c r="C48" i="1"/>
  <c r="C47" i="1"/>
  <c r="C46" i="1"/>
  <c r="C45" i="1"/>
  <c r="C44" i="1"/>
  <c r="C43" i="1"/>
  <c r="C42" i="1"/>
  <c r="C41" i="1"/>
  <c r="C40" i="1"/>
  <c r="C39" i="1"/>
  <c r="C38" i="1"/>
  <c r="C36" i="1"/>
  <c r="C35" i="1"/>
  <c r="C34" i="1"/>
  <c r="C33" i="1"/>
  <c r="C32" i="1"/>
  <c r="C31" i="1"/>
  <c r="C30" i="1"/>
  <c r="C29" i="1"/>
  <c r="C28" i="1"/>
  <c r="C27" i="1"/>
  <c r="C26" i="1"/>
  <c r="C25" i="1"/>
  <c r="C23" i="1"/>
  <c r="C22" i="1"/>
  <c r="C21" i="1"/>
  <c r="C20" i="1"/>
  <c r="C19" i="1"/>
  <c r="C18" i="1"/>
  <c r="C17" i="1"/>
  <c r="C16" i="1"/>
  <c r="C15" i="1"/>
  <c r="C14" i="1"/>
  <c r="C13" i="1"/>
  <c r="C12" i="1"/>
  <c r="C10" i="1"/>
  <c r="C9" i="1"/>
  <c r="C8" i="1"/>
  <c r="C7" i="1"/>
  <c r="C6" i="1"/>
  <c r="C5" i="1"/>
  <c r="C4" i="1"/>
  <c r="C3" i="1"/>
  <c r="C78" i="1" s="1"/>
  <c r="D78" i="1" s="1"/>
  <c r="E78" i="1" s="1"/>
</calcChain>
</file>

<file path=xl/sharedStrings.xml><?xml version="1.0" encoding="utf-8"?>
<sst xmlns="http://schemas.openxmlformats.org/spreadsheetml/2006/main" count="218" uniqueCount="103">
  <si>
    <t xml:space="preserve">ID </t>
  </si>
  <si>
    <t>Task</t>
  </si>
  <si>
    <t>Hours</t>
  </si>
  <si>
    <t>Est. Days</t>
  </si>
  <si>
    <t>Complexity</t>
  </si>
  <si>
    <t>Role</t>
  </si>
  <si>
    <t>1 · INITIATION &amp; ARCHITECTURE</t>
  </si>
  <si>
    <t>Project kick-off, stakeholder alignment &amp; scope sign-off</t>
  </si>
  <si>
    <t>Low</t>
  </si>
  <si>
    <t>PM</t>
  </si>
  <si>
    <t>Current-state VBA &amp; SAP integration analysis</t>
  </si>
  <si>
    <t>Medium</t>
  </si>
  <si>
    <t>SA</t>
  </si>
  <si>
    <t>Solution architecture design (React + .NET + SAP RFC layer)</t>
  </si>
  <si>
    <t>High</t>
  </si>
  <si>
    <t>Tech stack decisions, repo setup, CI/CD pipeline skeleton</t>
  </si>
  <si>
    <t>DevOps</t>
  </si>
  <si>
    <t>Database design (bake log, sand trans, reference data, audit)</t>
  </si>
  <si>
    <t>BA / Dev</t>
  </si>
  <si>
    <t>API contract definition (OpenAPI / Swagger spec)</t>
  </si>
  <si>
    <t>UI/UX wireframes &amp; prototype review (3 screens)</t>
  </si>
  <si>
    <t>UI/UX</t>
  </si>
  <si>
    <t>Sprint planning &amp; backlog grooming</t>
  </si>
  <si>
    <t>2 · BACKEND — .NET API</t>
  </si>
  <si>
    <t>Project scaffolding (.NET 8 Web API, EF Core, solution structure)</t>
  </si>
  <si>
    <t>Dev BE</t>
  </si>
  <si>
    <t>Authentication &amp; authorisation (Windows AD / LDAP integration)</t>
  </si>
  <si>
    <t>Reference data API (ovens, hampers, defect codes, printers, yield rates)</t>
  </si>
  <si>
    <t>Bake record CRUD API (create, read, update, SAP-flag management)</t>
  </si>
  <si>
    <t>Sand transfer CRUD API</t>
  </si>
  <si>
    <t>Offline queue service (store-and-forward when SAP unavailable)</t>
  </si>
  <si>
    <t>Audit log &amp; event sourcing (replaces LogEvent CSV)</t>
  </si>
  <si>
    <t>Remote backup service (replaces OvenLog.xlsx sync)</t>
  </si>
  <si>
    <t>Label print API (wraps SAP ZPPLLABEL / network printer)</t>
  </si>
  <si>
    <t>Ketchup (SAP replay) background service</t>
  </si>
  <si>
    <t>Unit tests — backend (≥80% coverage target)</t>
  </si>
  <si>
    <t>API documentation &amp; Swagger finalisation</t>
  </si>
  <si>
    <t>3 · FRONTEND — REACT</t>
  </si>
  <si>
    <t>React project setup (Vite, TypeScript, component library, routing)</t>
  </si>
  <si>
    <t>Dev FE</t>
  </si>
  <si>
    <t>Design system / shared components (form fields, badges, tables, toasts)</t>
  </si>
  <si>
    <t>BakeForm screen — Serialized (all 13 fields, toggle buttons, SAP lookups)</t>
  </si>
  <si>
    <t>BakeForm screen — Non-Serialized (12 fields, scrap code, label print)</t>
  </si>
  <si>
    <t>SandForm screen (MB52 stock display, FIFO indicator, transfer flow)</t>
  </si>
  <si>
    <t>Bake Log view (filterable table, SAP flag status, pagination)</t>
  </si>
  <si>
    <t>Reference data admin screen (hampers, printers, oven map, defect codes)</t>
  </si>
  <si>
    <t>Online / offline mode indicator &amp; queue status panel</t>
  </si>
  <si>
    <t>Label print flow (label count, qty per label, printer selector)</t>
  </si>
  <si>
    <t>Material spec viewer (OD/ID/wall display from SAP MM03)</t>
  </si>
  <si>
    <t>Responsive layout &amp; accessibility (keyboard nav, screen reader)</t>
  </si>
  <si>
    <t>Unit &amp; component tests (React Testing Library, ≥70% coverage)</t>
  </si>
  <si>
    <t>4 · SAP INTEGRATION LAYER</t>
  </si>
  <si>
    <t>SAP RFC/BAPI connectivity setup (.NET SAP Connector / NCo 3.x)</t>
  </si>
  <si>
    <t>Dev SAP</t>
  </si>
  <si>
    <t>COR3 — Process order lookup service</t>
  </si>
  <si>
    <t>MM03 — Material description &amp; spec retrieval service</t>
  </si>
  <si>
    <t>COR6 — Step 20 &amp; Step 40 confirmation posting service</t>
  </si>
  <si>
    <t>MIGO — Goods movement posting (261, 309) service</t>
  </si>
  <si>
    <t>MB52 — Warehouse stock query service</t>
  </si>
  <si>
    <t>MB51 — Material document FIFO lookup service</t>
  </si>
  <si>
    <t>ZMMS2S — Custom sand transfer transaction service</t>
  </si>
  <si>
    <t>COP1 / COWBHU — Handling unit creation service</t>
  </si>
  <si>
    <t>SAP error handling, retry logic &amp; COGI fallback</t>
  </si>
  <si>
    <t>SAP integration tests (sandbox environment)</t>
  </si>
  <si>
    <t>5 · DATA MIGRATION</t>
  </si>
  <si>
    <t>Data profiling — Sheet1, SandTrans, Sheet2 reference tables</t>
  </si>
  <si>
    <t>BA</t>
  </si>
  <si>
    <t>Migration scripts — historical bake log (1,650+ rows → DB)</t>
  </si>
  <si>
    <t>Migration scripts — sand transfer log (147 rows → DB)</t>
  </si>
  <si>
    <t>Reference data seed scripts (hampers, ovens, printers, defect codes)</t>
  </si>
  <si>
    <t>Migration dry-run &amp; data validation (row counts, SAP flag reconcile)</t>
  </si>
  <si>
    <t>BA / QA</t>
  </si>
  <si>
    <t>Cut-over migration plan &amp; rollback procedure</t>
  </si>
  <si>
    <t>PM / BA</t>
  </si>
  <si>
    <t>6 · TESTING &amp; QA</t>
  </si>
  <si>
    <t>Integration test plan authoring</t>
  </si>
  <si>
    <t>QA</t>
  </si>
  <si>
    <t>End-to-end test cases — bake recording (serialized path)</t>
  </si>
  <si>
    <t>End-to-end test cases — bake recording (non-serialized path)</t>
  </si>
  <si>
    <t>End-to-end test cases — sand transfer</t>
  </si>
  <si>
    <t>SAP sandbox regression testing (all 9 transactions)</t>
  </si>
  <si>
    <t>QA / Dev SAP</t>
  </si>
  <si>
    <t>Offline mode &amp; queue replay testing</t>
  </si>
  <si>
    <t>Performance testing (API response times, concurrent users)</t>
  </si>
  <si>
    <t>UAT — operator walkthrough (2 shifts, 3 furnace operators)</t>
  </si>
  <si>
    <t>BA / PM</t>
  </si>
  <si>
    <t>UAT defect triage &amp; fix</t>
  </si>
  <si>
    <t>Dev BE / FE</t>
  </si>
  <si>
    <t>Security review (auth, input validation, no hardcoded paths)</t>
  </si>
  <si>
    <t>SA / Dev BE</t>
  </si>
  <si>
    <t>7 · DEPLOYMENT &amp; HANDOVER</t>
  </si>
  <si>
    <t>Production environment setup (IIS / Azure App Service, DB, networking)</t>
  </si>
  <si>
    <t>CI/CD pipeline — build, test, deploy (GitHub Actions / Azure DevOps)</t>
  </si>
  <si>
    <t>Monitoring &amp; alerting setup (App Insights / health checks)</t>
  </si>
  <si>
    <t>Operator training (hands-on session, 2-hour workshop × 2 groups)</t>
  </si>
  <si>
    <t>User documentation &amp; quick-reference card</t>
  </si>
  <si>
    <t>Parallel run — new app + VBA side-by-side (2-week overlap)</t>
  </si>
  <si>
    <t>PM / All</t>
  </si>
  <si>
    <t>Production cut-over &amp; VBA decommission</t>
  </si>
  <si>
    <t>PM / DevOps</t>
  </si>
  <si>
    <t>Post-go-live hypercare (2 weeks on-call support)</t>
  </si>
  <si>
    <t>Project closure — lessons learned, final documentation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</si>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</sst>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F1923"/>
      <name val="Calibri"/>
      <family val="2"/>
      <scheme val="minor"/>
    </font>
    <font>
      <sz val="12"/>
      <color rgb="FF0F1923"/>
      <name val="Calibri"/>
      <family val="2"/>
      <scheme val="minor"/>
    </font>
    <font>
      <sz val="12"/>
      <color rgb="FF47556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6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D0E2-FD05-4D29-9225-20B8A827F914}">
  <sheetPr codeName="Sheet2"/>
  <dimension ref="A1:F78"/>
  <sheetViews>
    <sheetView tabSelected="1" workbookViewId="0">
      <selection activeCell="B83" sqref="B83"/>
    </sheetView>
  </sheetViews>
  <sheetFormatPr defaultColWidth="19.453125" defaultRowHeight="15.5" x14ac:dyDescent="0.35"/>
  <cols>
    <col min="1" max="1" width="5.1796875" style="2" bestFit="1" customWidth="1"/>
    <col min="2" max="2" width="82.26953125" style="2" customWidth="1"/>
    <col min="3" max="3" width="10.08984375" style="2" customWidth="1"/>
    <col min="4" max="4" width="11.90625" style="2" bestFit="1" customWidth="1"/>
    <col min="5" max="5" width="14.7265625" style="2" bestFit="1" customWidth="1"/>
    <col min="6" max="6" width="14.1796875" style="2" customWidth="1"/>
    <col min="7" max="16384" width="19.453125" style="2"/>
  </cols>
  <sheetData>
    <row r="1" spans="1:6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customHeight="1" x14ac:dyDescent="0.35">
      <c r="A2" s="3"/>
      <c r="B2" s="4" t="s">
        <v>6</v>
      </c>
      <c r="C2" s="4"/>
      <c r="D2" s="4"/>
      <c r="E2" s="4"/>
      <c r="F2" s="5"/>
    </row>
    <row r="3" spans="1:6" x14ac:dyDescent="0.35">
      <c r="A3" s="6">
        <v>1.1000000000000001</v>
      </c>
      <c r="B3" s="7" t="s">
        <v>7</v>
      </c>
      <c r="C3" s="7">
        <f>D3*8</f>
        <v>24</v>
      </c>
      <c r="D3" s="8">
        <v>3</v>
      </c>
      <c r="E3" s="9" t="s">
        <v>8</v>
      </c>
      <c r="F3" s="10" t="s">
        <v>9</v>
      </c>
    </row>
    <row r="4" spans="1:6" x14ac:dyDescent="0.35">
      <c r="A4" s="6">
        <v>1.2</v>
      </c>
      <c r="B4" s="7" t="s">
        <v>10</v>
      </c>
      <c r="C4" s="7">
        <f t="shared" ref="C4:C10" si="0">D4*8</f>
        <v>40</v>
      </c>
      <c r="D4" s="8">
        <v>5</v>
      </c>
      <c r="E4" s="11" t="s">
        <v>11</v>
      </c>
      <c r="F4" s="10" t="s">
        <v>12</v>
      </c>
    </row>
    <row r="5" spans="1:6" x14ac:dyDescent="0.35">
      <c r="A5" s="6">
        <v>1.3</v>
      </c>
      <c r="B5" s="7" t="s">
        <v>13</v>
      </c>
      <c r="C5" s="7">
        <f t="shared" si="0"/>
        <v>40</v>
      </c>
      <c r="D5" s="8">
        <v>5</v>
      </c>
      <c r="E5" s="12" t="s">
        <v>14</v>
      </c>
      <c r="F5" s="10" t="s">
        <v>12</v>
      </c>
    </row>
    <row r="6" spans="1:6" x14ac:dyDescent="0.35">
      <c r="A6" s="6">
        <v>1.4</v>
      </c>
      <c r="B6" s="7" t="s">
        <v>15</v>
      </c>
      <c r="C6" s="7">
        <f t="shared" si="0"/>
        <v>24</v>
      </c>
      <c r="D6" s="8">
        <v>3</v>
      </c>
      <c r="E6" s="11" t="s">
        <v>11</v>
      </c>
      <c r="F6" s="10" t="s">
        <v>16</v>
      </c>
    </row>
    <row r="7" spans="1:6" x14ac:dyDescent="0.35">
      <c r="A7" s="6">
        <v>1.5</v>
      </c>
      <c r="B7" s="7" t="s">
        <v>17</v>
      </c>
      <c r="C7" s="7">
        <f t="shared" si="0"/>
        <v>32</v>
      </c>
      <c r="D7" s="8">
        <v>4</v>
      </c>
      <c r="E7" s="11" t="s">
        <v>11</v>
      </c>
      <c r="F7" s="10" t="s">
        <v>18</v>
      </c>
    </row>
    <row r="8" spans="1:6" x14ac:dyDescent="0.35">
      <c r="A8" s="6">
        <v>1.6</v>
      </c>
      <c r="B8" s="7" t="s">
        <v>19</v>
      </c>
      <c r="C8" s="7">
        <f t="shared" si="0"/>
        <v>24</v>
      </c>
      <c r="D8" s="8">
        <v>3</v>
      </c>
      <c r="E8" s="11" t="s">
        <v>11</v>
      </c>
      <c r="F8" s="10" t="s">
        <v>12</v>
      </c>
    </row>
    <row r="9" spans="1:6" x14ac:dyDescent="0.35">
      <c r="A9" s="6">
        <v>1.7</v>
      </c>
      <c r="B9" s="7" t="s">
        <v>20</v>
      </c>
      <c r="C9" s="7">
        <f t="shared" si="0"/>
        <v>40</v>
      </c>
      <c r="D9" s="8">
        <v>5</v>
      </c>
      <c r="E9" s="11" t="s">
        <v>11</v>
      </c>
      <c r="F9" s="10" t="s">
        <v>21</v>
      </c>
    </row>
    <row r="10" spans="1:6" x14ac:dyDescent="0.35">
      <c r="A10" s="6">
        <v>1.8</v>
      </c>
      <c r="B10" s="7" t="s">
        <v>22</v>
      </c>
      <c r="C10" s="7">
        <f t="shared" si="0"/>
        <v>16</v>
      </c>
      <c r="D10" s="8">
        <v>2</v>
      </c>
      <c r="E10" s="9" t="s">
        <v>8</v>
      </c>
      <c r="F10" s="10" t="s">
        <v>9</v>
      </c>
    </row>
    <row r="11" spans="1:6" x14ac:dyDescent="0.35">
      <c r="A11" s="13"/>
      <c r="B11" s="13" t="s">
        <v>23</v>
      </c>
      <c r="C11" s="13"/>
      <c r="D11" s="13"/>
      <c r="E11" s="13"/>
      <c r="F11" s="13"/>
    </row>
    <row r="12" spans="1:6" x14ac:dyDescent="0.35">
      <c r="A12" s="6">
        <v>2.1</v>
      </c>
      <c r="B12" s="7" t="s">
        <v>24</v>
      </c>
      <c r="C12" s="7">
        <f>D12*8</f>
        <v>16</v>
      </c>
      <c r="D12" s="8">
        <v>2</v>
      </c>
      <c r="E12" s="9" t="s">
        <v>8</v>
      </c>
      <c r="F12" s="10" t="s">
        <v>25</v>
      </c>
    </row>
    <row r="13" spans="1:6" x14ac:dyDescent="0.35">
      <c r="A13" s="6">
        <v>2.2000000000000002</v>
      </c>
      <c r="B13" s="7" t="s">
        <v>26</v>
      </c>
      <c r="C13" s="7">
        <f t="shared" ref="C13:C23" si="1">D13*8</f>
        <v>40</v>
      </c>
      <c r="D13" s="8">
        <v>5</v>
      </c>
      <c r="E13" s="12" t="s">
        <v>14</v>
      </c>
      <c r="F13" s="10" t="s">
        <v>25</v>
      </c>
    </row>
    <row r="14" spans="1:6" x14ac:dyDescent="0.35">
      <c r="A14" s="6">
        <v>2.2999999999999998</v>
      </c>
      <c r="B14" s="7" t="s">
        <v>27</v>
      </c>
      <c r="C14" s="7">
        <f t="shared" si="1"/>
        <v>32</v>
      </c>
      <c r="D14" s="8">
        <v>4</v>
      </c>
      <c r="E14" s="11" t="s">
        <v>11</v>
      </c>
      <c r="F14" s="10" t="s">
        <v>25</v>
      </c>
    </row>
    <row r="15" spans="1:6" x14ac:dyDescent="0.35">
      <c r="A15" s="6">
        <v>2.4</v>
      </c>
      <c r="B15" s="7" t="s">
        <v>28</v>
      </c>
      <c r="C15" s="7">
        <f t="shared" si="1"/>
        <v>48</v>
      </c>
      <c r="D15" s="8">
        <v>6</v>
      </c>
      <c r="E15" s="11" t="s">
        <v>11</v>
      </c>
      <c r="F15" s="10" t="s">
        <v>25</v>
      </c>
    </row>
    <row r="16" spans="1:6" x14ac:dyDescent="0.35">
      <c r="A16" s="6">
        <v>2.5</v>
      </c>
      <c r="B16" s="7" t="s">
        <v>29</v>
      </c>
      <c r="C16" s="7">
        <f t="shared" si="1"/>
        <v>32</v>
      </c>
      <c r="D16" s="8">
        <v>4</v>
      </c>
      <c r="E16" s="11" t="s">
        <v>11</v>
      </c>
      <c r="F16" s="10" t="s">
        <v>25</v>
      </c>
    </row>
    <row r="17" spans="1:6" x14ac:dyDescent="0.35">
      <c r="A17" s="6">
        <v>2.6</v>
      </c>
      <c r="B17" s="7" t="s">
        <v>30</v>
      </c>
      <c r="C17" s="7">
        <f t="shared" si="1"/>
        <v>48</v>
      </c>
      <c r="D17" s="8">
        <v>6</v>
      </c>
      <c r="E17" s="12" t="s">
        <v>14</v>
      </c>
      <c r="F17" s="10" t="s">
        <v>25</v>
      </c>
    </row>
    <row r="18" spans="1:6" x14ac:dyDescent="0.35">
      <c r="A18" s="6">
        <v>2.7</v>
      </c>
      <c r="B18" s="7" t="s">
        <v>31</v>
      </c>
      <c r="C18" s="7">
        <f t="shared" si="1"/>
        <v>32</v>
      </c>
      <c r="D18" s="8">
        <v>4</v>
      </c>
      <c r="E18" s="11" t="s">
        <v>11</v>
      </c>
      <c r="F18" s="10" t="s">
        <v>25</v>
      </c>
    </row>
    <row r="19" spans="1:6" x14ac:dyDescent="0.35">
      <c r="A19" s="6">
        <v>2.8</v>
      </c>
      <c r="B19" s="7" t="s">
        <v>32</v>
      </c>
      <c r="C19" s="7">
        <f t="shared" si="1"/>
        <v>24</v>
      </c>
      <c r="D19" s="8">
        <v>3</v>
      </c>
      <c r="E19" s="11" t="s">
        <v>11</v>
      </c>
      <c r="F19" s="10" t="s">
        <v>25</v>
      </c>
    </row>
    <row r="20" spans="1:6" x14ac:dyDescent="0.35">
      <c r="A20" s="6">
        <v>2.9</v>
      </c>
      <c r="B20" s="7" t="s">
        <v>33</v>
      </c>
      <c r="C20" s="7">
        <f t="shared" si="1"/>
        <v>32</v>
      </c>
      <c r="D20" s="8">
        <v>4</v>
      </c>
      <c r="E20" s="11" t="s">
        <v>11</v>
      </c>
      <c r="F20" s="10" t="s">
        <v>25</v>
      </c>
    </row>
    <row r="21" spans="1:6" x14ac:dyDescent="0.35">
      <c r="A21" s="6">
        <v>2.1</v>
      </c>
      <c r="B21" s="7" t="s">
        <v>34</v>
      </c>
      <c r="C21" s="7">
        <f t="shared" si="1"/>
        <v>40</v>
      </c>
      <c r="D21" s="8">
        <v>5</v>
      </c>
      <c r="E21" s="12" t="s">
        <v>14</v>
      </c>
      <c r="F21" s="10" t="s">
        <v>25</v>
      </c>
    </row>
    <row r="22" spans="1:6" x14ac:dyDescent="0.35">
      <c r="A22" s="6">
        <v>2.11</v>
      </c>
      <c r="B22" s="7" t="s">
        <v>35</v>
      </c>
      <c r="C22" s="7">
        <f t="shared" si="1"/>
        <v>40</v>
      </c>
      <c r="D22" s="8">
        <v>5</v>
      </c>
      <c r="E22" s="11" t="s">
        <v>11</v>
      </c>
      <c r="F22" s="10" t="s">
        <v>25</v>
      </c>
    </row>
    <row r="23" spans="1:6" x14ac:dyDescent="0.35">
      <c r="A23" s="6">
        <v>2.12</v>
      </c>
      <c r="B23" s="7" t="s">
        <v>36</v>
      </c>
      <c r="C23" s="7">
        <f t="shared" si="1"/>
        <v>16</v>
      </c>
      <c r="D23" s="8">
        <v>2</v>
      </c>
      <c r="E23" s="9" t="s">
        <v>8</v>
      </c>
      <c r="F23" s="10" t="s">
        <v>25</v>
      </c>
    </row>
    <row r="24" spans="1:6" x14ac:dyDescent="0.35">
      <c r="A24" s="13"/>
      <c r="B24" s="13" t="s">
        <v>37</v>
      </c>
      <c r="C24" s="13"/>
      <c r="D24" s="13"/>
      <c r="E24" s="13"/>
      <c r="F24" s="13"/>
    </row>
    <row r="25" spans="1:6" x14ac:dyDescent="0.35">
      <c r="A25" s="6">
        <v>3.1</v>
      </c>
      <c r="B25" s="7" t="s">
        <v>38</v>
      </c>
      <c r="C25" s="7">
        <f>D25*8</f>
        <v>16</v>
      </c>
      <c r="D25" s="8">
        <v>2</v>
      </c>
      <c r="E25" s="9" t="s">
        <v>8</v>
      </c>
      <c r="F25" s="10" t="s">
        <v>39</v>
      </c>
    </row>
    <row r="26" spans="1:6" x14ac:dyDescent="0.35">
      <c r="A26" s="6">
        <v>3.2</v>
      </c>
      <c r="B26" s="7" t="s">
        <v>40</v>
      </c>
      <c r="C26" s="7">
        <f t="shared" ref="C26:C36" si="2">D26*8</f>
        <v>40</v>
      </c>
      <c r="D26" s="8">
        <v>5</v>
      </c>
      <c r="E26" s="11" t="s">
        <v>11</v>
      </c>
      <c r="F26" s="10" t="s">
        <v>39</v>
      </c>
    </row>
    <row r="27" spans="1:6" x14ac:dyDescent="0.35">
      <c r="A27" s="6">
        <v>3.3</v>
      </c>
      <c r="B27" s="7" t="s">
        <v>41</v>
      </c>
      <c r="C27" s="7">
        <f t="shared" si="2"/>
        <v>64</v>
      </c>
      <c r="D27" s="8">
        <v>8</v>
      </c>
      <c r="E27" s="12" t="s">
        <v>14</v>
      </c>
      <c r="F27" s="10" t="s">
        <v>39</v>
      </c>
    </row>
    <row r="28" spans="1:6" x14ac:dyDescent="0.35">
      <c r="A28" s="6">
        <v>3.4</v>
      </c>
      <c r="B28" s="7" t="s">
        <v>42</v>
      </c>
      <c r="C28" s="7">
        <f t="shared" si="2"/>
        <v>48</v>
      </c>
      <c r="D28" s="8">
        <v>6</v>
      </c>
      <c r="E28" s="12" t="s">
        <v>14</v>
      </c>
      <c r="F28" s="10" t="s">
        <v>39</v>
      </c>
    </row>
    <row r="29" spans="1:6" x14ac:dyDescent="0.35">
      <c r="A29" s="6">
        <v>3.5</v>
      </c>
      <c r="B29" s="7" t="s">
        <v>43</v>
      </c>
      <c r="C29" s="7">
        <f t="shared" si="2"/>
        <v>40</v>
      </c>
      <c r="D29" s="8">
        <v>5</v>
      </c>
      <c r="E29" s="11" t="s">
        <v>11</v>
      </c>
      <c r="F29" s="10" t="s">
        <v>39</v>
      </c>
    </row>
    <row r="30" spans="1:6" x14ac:dyDescent="0.35">
      <c r="A30" s="6">
        <v>3.6</v>
      </c>
      <c r="B30" s="7" t="s">
        <v>44</v>
      </c>
      <c r="C30" s="7">
        <f t="shared" si="2"/>
        <v>32</v>
      </c>
      <c r="D30" s="8">
        <v>4</v>
      </c>
      <c r="E30" s="11" t="s">
        <v>11</v>
      </c>
      <c r="F30" s="10" t="s">
        <v>39</v>
      </c>
    </row>
    <row r="31" spans="1:6" x14ac:dyDescent="0.35">
      <c r="A31" s="6">
        <v>3.7</v>
      </c>
      <c r="B31" s="7" t="s">
        <v>45</v>
      </c>
      <c r="C31" s="7">
        <f t="shared" si="2"/>
        <v>32</v>
      </c>
      <c r="D31" s="8">
        <v>4</v>
      </c>
      <c r="E31" s="11" t="s">
        <v>11</v>
      </c>
      <c r="F31" s="10" t="s">
        <v>39</v>
      </c>
    </row>
    <row r="32" spans="1:6" x14ac:dyDescent="0.35">
      <c r="A32" s="6">
        <v>3.8</v>
      </c>
      <c r="B32" s="7" t="s">
        <v>46</v>
      </c>
      <c r="C32" s="7">
        <f t="shared" si="2"/>
        <v>24</v>
      </c>
      <c r="D32" s="8">
        <v>3</v>
      </c>
      <c r="E32" s="11" t="s">
        <v>11</v>
      </c>
      <c r="F32" s="10" t="s">
        <v>39</v>
      </c>
    </row>
    <row r="33" spans="1:6" x14ac:dyDescent="0.35">
      <c r="A33" s="6">
        <v>3.9</v>
      </c>
      <c r="B33" s="7" t="s">
        <v>47</v>
      </c>
      <c r="C33" s="7">
        <f t="shared" si="2"/>
        <v>24</v>
      </c>
      <c r="D33" s="8">
        <v>3</v>
      </c>
      <c r="E33" s="9" t="s">
        <v>8</v>
      </c>
      <c r="F33" s="10" t="s">
        <v>39</v>
      </c>
    </row>
    <row r="34" spans="1:6" x14ac:dyDescent="0.35">
      <c r="A34" s="6">
        <v>3.1</v>
      </c>
      <c r="B34" s="7" t="s">
        <v>48</v>
      </c>
      <c r="C34" s="7">
        <f t="shared" si="2"/>
        <v>24</v>
      </c>
      <c r="D34" s="8">
        <v>3</v>
      </c>
      <c r="E34" s="11" t="s">
        <v>11</v>
      </c>
      <c r="F34" s="10" t="s">
        <v>39</v>
      </c>
    </row>
    <row r="35" spans="1:6" x14ac:dyDescent="0.35">
      <c r="A35" s="6">
        <v>3.11</v>
      </c>
      <c r="B35" s="7" t="s">
        <v>49</v>
      </c>
      <c r="C35" s="7">
        <f t="shared" si="2"/>
        <v>24</v>
      </c>
      <c r="D35" s="8">
        <v>3</v>
      </c>
      <c r="E35" s="11" t="s">
        <v>11</v>
      </c>
      <c r="F35" s="10" t="s">
        <v>39</v>
      </c>
    </row>
    <row r="36" spans="1:6" x14ac:dyDescent="0.35">
      <c r="A36" s="6">
        <v>3.12</v>
      </c>
      <c r="B36" s="7" t="s">
        <v>50</v>
      </c>
      <c r="C36" s="7">
        <f t="shared" si="2"/>
        <v>40</v>
      </c>
      <c r="D36" s="8">
        <v>5</v>
      </c>
      <c r="E36" s="11" t="s">
        <v>11</v>
      </c>
      <c r="F36" s="10" t="s">
        <v>39</v>
      </c>
    </row>
    <row r="37" spans="1:6" x14ac:dyDescent="0.35">
      <c r="A37" s="13"/>
      <c r="B37" s="13" t="s">
        <v>51</v>
      </c>
      <c r="C37" s="13"/>
      <c r="D37" s="13"/>
      <c r="E37" s="13"/>
      <c r="F37" s="13"/>
    </row>
    <row r="38" spans="1:6" x14ac:dyDescent="0.35">
      <c r="A38" s="6">
        <v>4.0999999999999996</v>
      </c>
      <c r="B38" s="7" t="s">
        <v>52</v>
      </c>
      <c r="C38" s="7">
        <f>D38*8</f>
        <v>32</v>
      </c>
      <c r="D38" s="8">
        <v>4</v>
      </c>
      <c r="E38" s="12" t="s">
        <v>14</v>
      </c>
      <c r="F38" s="10" t="s">
        <v>53</v>
      </c>
    </row>
    <row r="39" spans="1:6" x14ac:dyDescent="0.35">
      <c r="A39" s="6">
        <v>4.2</v>
      </c>
      <c r="B39" s="7" t="s">
        <v>54</v>
      </c>
      <c r="C39" s="7">
        <f t="shared" ref="C39:C48" si="3">D39*8</f>
        <v>32</v>
      </c>
      <c r="D39" s="8">
        <v>4</v>
      </c>
      <c r="E39" s="11" t="s">
        <v>11</v>
      </c>
      <c r="F39" s="10" t="s">
        <v>53</v>
      </c>
    </row>
    <row r="40" spans="1:6" x14ac:dyDescent="0.35">
      <c r="A40" s="6">
        <v>4.3</v>
      </c>
      <c r="B40" s="7" t="s">
        <v>55</v>
      </c>
      <c r="C40" s="7">
        <f t="shared" si="3"/>
        <v>32</v>
      </c>
      <c r="D40" s="8">
        <v>4</v>
      </c>
      <c r="E40" s="11" t="s">
        <v>11</v>
      </c>
      <c r="F40" s="10" t="s">
        <v>53</v>
      </c>
    </row>
    <row r="41" spans="1:6" x14ac:dyDescent="0.35">
      <c r="A41" s="6">
        <v>4.4000000000000004</v>
      </c>
      <c r="B41" s="7" t="s">
        <v>56</v>
      </c>
      <c r="C41" s="7">
        <f t="shared" si="3"/>
        <v>64</v>
      </c>
      <c r="D41" s="8">
        <v>8</v>
      </c>
      <c r="E41" s="12" t="s">
        <v>14</v>
      </c>
      <c r="F41" s="10" t="s">
        <v>53</v>
      </c>
    </row>
    <row r="42" spans="1:6" x14ac:dyDescent="0.35">
      <c r="A42" s="6">
        <v>4.5</v>
      </c>
      <c r="B42" s="7" t="s">
        <v>57</v>
      </c>
      <c r="C42" s="7">
        <f t="shared" si="3"/>
        <v>48</v>
      </c>
      <c r="D42" s="8">
        <v>6</v>
      </c>
      <c r="E42" s="12" t="s">
        <v>14</v>
      </c>
      <c r="F42" s="10" t="s">
        <v>53</v>
      </c>
    </row>
    <row r="43" spans="1:6" x14ac:dyDescent="0.35">
      <c r="A43" s="6">
        <v>4.5999999999999996</v>
      </c>
      <c r="B43" s="7" t="s">
        <v>58</v>
      </c>
      <c r="C43" s="7">
        <f t="shared" si="3"/>
        <v>32</v>
      </c>
      <c r="D43" s="8">
        <v>4</v>
      </c>
      <c r="E43" s="11" t="s">
        <v>11</v>
      </c>
      <c r="F43" s="10" t="s">
        <v>53</v>
      </c>
    </row>
    <row r="44" spans="1:6" x14ac:dyDescent="0.35">
      <c r="A44" s="6">
        <v>4.7</v>
      </c>
      <c r="B44" s="7" t="s">
        <v>59</v>
      </c>
      <c r="C44" s="7">
        <f t="shared" si="3"/>
        <v>32</v>
      </c>
      <c r="D44" s="8">
        <v>4</v>
      </c>
      <c r="E44" s="11" t="s">
        <v>11</v>
      </c>
      <c r="F44" s="10" t="s">
        <v>53</v>
      </c>
    </row>
    <row r="45" spans="1:6" x14ac:dyDescent="0.35">
      <c r="A45" s="6">
        <v>4.8</v>
      </c>
      <c r="B45" s="7" t="s">
        <v>60</v>
      </c>
      <c r="C45" s="7">
        <f t="shared" si="3"/>
        <v>40</v>
      </c>
      <c r="D45" s="8">
        <v>5</v>
      </c>
      <c r="E45" s="12" t="s">
        <v>14</v>
      </c>
      <c r="F45" s="10" t="s">
        <v>53</v>
      </c>
    </row>
    <row r="46" spans="1:6" x14ac:dyDescent="0.35">
      <c r="A46" s="6">
        <v>4.9000000000000004</v>
      </c>
      <c r="B46" s="7" t="s">
        <v>61</v>
      </c>
      <c r="C46" s="7">
        <f t="shared" si="3"/>
        <v>48</v>
      </c>
      <c r="D46" s="8">
        <v>6</v>
      </c>
      <c r="E46" s="12" t="s">
        <v>14</v>
      </c>
      <c r="F46" s="10" t="s">
        <v>53</v>
      </c>
    </row>
    <row r="47" spans="1:6" x14ac:dyDescent="0.35">
      <c r="A47" s="6">
        <v>4.0999999999999996</v>
      </c>
      <c r="B47" s="7" t="s">
        <v>62</v>
      </c>
      <c r="C47" s="7">
        <f t="shared" si="3"/>
        <v>40</v>
      </c>
      <c r="D47" s="8">
        <v>5</v>
      </c>
      <c r="E47" s="12" t="s">
        <v>14</v>
      </c>
      <c r="F47" s="10" t="s">
        <v>53</v>
      </c>
    </row>
    <row r="48" spans="1:6" x14ac:dyDescent="0.35">
      <c r="A48" s="6">
        <v>4.1100000000000003</v>
      </c>
      <c r="B48" s="7" t="s">
        <v>63</v>
      </c>
      <c r="C48" s="7">
        <f t="shared" si="3"/>
        <v>48</v>
      </c>
      <c r="D48" s="8">
        <v>6</v>
      </c>
      <c r="E48" s="12" t="s">
        <v>14</v>
      </c>
      <c r="F48" s="10" t="s">
        <v>53</v>
      </c>
    </row>
    <row r="49" spans="1:6" x14ac:dyDescent="0.35">
      <c r="A49" s="13"/>
      <c r="B49" s="13" t="s">
        <v>64</v>
      </c>
      <c r="C49" s="13"/>
      <c r="D49" s="13"/>
      <c r="E49" s="13"/>
      <c r="F49" s="13"/>
    </row>
    <row r="50" spans="1:6" x14ac:dyDescent="0.35">
      <c r="A50" s="6">
        <v>5.0999999999999996</v>
      </c>
      <c r="B50" s="7" t="s">
        <v>65</v>
      </c>
      <c r="C50" s="7">
        <f>D50*8</f>
        <v>24</v>
      </c>
      <c r="D50" s="8">
        <v>3</v>
      </c>
      <c r="E50" s="11" t="s">
        <v>11</v>
      </c>
      <c r="F50" s="10" t="s">
        <v>66</v>
      </c>
    </row>
    <row r="51" spans="1:6" x14ac:dyDescent="0.35">
      <c r="A51" s="6">
        <v>5.2</v>
      </c>
      <c r="B51" s="7" t="s">
        <v>67</v>
      </c>
      <c r="C51" s="7">
        <f t="shared" ref="C51:C55" si="4">D51*8</f>
        <v>32</v>
      </c>
      <c r="D51" s="8">
        <v>4</v>
      </c>
      <c r="E51" s="11" t="s">
        <v>11</v>
      </c>
      <c r="F51" s="10" t="s">
        <v>25</v>
      </c>
    </row>
    <row r="52" spans="1:6" x14ac:dyDescent="0.35">
      <c r="A52" s="6">
        <v>5.3</v>
      </c>
      <c r="B52" s="7" t="s">
        <v>68</v>
      </c>
      <c r="C52" s="7">
        <f t="shared" si="4"/>
        <v>16</v>
      </c>
      <c r="D52" s="8">
        <v>2</v>
      </c>
      <c r="E52" s="9" t="s">
        <v>8</v>
      </c>
      <c r="F52" s="10" t="s">
        <v>25</v>
      </c>
    </row>
    <row r="53" spans="1:6" x14ac:dyDescent="0.35">
      <c r="A53" s="6">
        <v>5.4</v>
      </c>
      <c r="B53" s="7" t="s">
        <v>69</v>
      </c>
      <c r="C53" s="7">
        <f t="shared" si="4"/>
        <v>16</v>
      </c>
      <c r="D53" s="8">
        <v>2</v>
      </c>
      <c r="E53" s="9" t="s">
        <v>8</v>
      </c>
      <c r="F53" s="10" t="s">
        <v>25</v>
      </c>
    </row>
    <row r="54" spans="1:6" x14ac:dyDescent="0.35">
      <c r="A54" s="6">
        <v>5.5</v>
      </c>
      <c r="B54" s="7" t="s">
        <v>70</v>
      </c>
      <c r="C54" s="7">
        <f t="shared" si="4"/>
        <v>24</v>
      </c>
      <c r="D54" s="8">
        <v>3</v>
      </c>
      <c r="E54" s="11" t="s">
        <v>11</v>
      </c>
      <c r="F54" s="10" t="s">
        <v>71</v>
      </c>
    </row>
    <row r="55" spans="1:6" x14ac:dyDescent="0.35">
      <c r="A55" s="6">
        <v>5.6</v>
      </c>
      <c r="B55" s="7" t="s">
        <v>72</v>
      </c>
      <c r="C55" s="7">
        <f t="shared" si="4"/>
        <v>16</v>
      </c>
      <c r="D55" s="8">
        <v>2</v>
      </c>
      <c r="E55" s="11" t="s">
        <v>11</v>
      </c>
      <c r="F55" s="10" t="s">
        <v>73</v>
      </c>
    </row>
    <row r="56" spans="1:6" x14ac:dyDescent="0.35">
      <c r="A56" s="13"/>
      <c r="B56" s="13" t="s">
        <v>74</v>
      </c>
      <c r="C56" s="13"/>
      <c r="D56" s="13"/>
      <c r="E56" s="13"/>
      <c r="F56" s="13"/>
    </row>
    <row r="57" spans="1:6" x14ac:dyDescent="0.35">
      <c r="A57" s="6">
        <v>6.1</v>
      </c>
      <c r="B57" s="7" t="s">
        <v>75</v>
      </c>
      <c r="C57" s="7">
        <f>D57*8</f>
        <v>24</v>
      </c>
      <c r="D57" s="8">
        <v>3</v>
      </c>
      <c r="E57" s="11" t="s">
        <v>11</v>
      </c>
      <c r="F57" s="10" t="s">
        <v>76</v>
      </c>
    </row>
    <row r="58" spans="1:6" x14ac:dyDescent="0.35">
      <c r="A58" s="6">
        <v>6.2</v>
      </c>
      <c r="B58" s="7" t="s">
        <v>77</v>
      </c>
      <c r="C58" s="7">
        <f t="shared" ref="C58:C66" si="5">D58*8</f>
        <v>40</v>
      </c>
      <c r="D58" s="8">
        <v>5</v>
      </c>
      <c r="E58" s="12" t="s">
        <v>14</v>
      </c>
      <c r="F58" s="10" t="s">
        <v>76</v>
      </c>
    </row>
    <row r="59" spans="1:6" x14ac:dyDescent="0.35">
      <c r="A59" s="6">
        <v>6.3</v>
      </c>
      <c r="B59" s="7" t="s">
        <v>78</v>
      </c>
      <c r="C59" s="7">
        <f t="shared" si="5"/>
        <v>32</v>
      </c>
      <c r="D59" s="8">
        <v>4</v>
      </c>
      <c r="E59" s="12" t="s">
        <v>14</v>
      </c>
      <c r="F59" s="10" t="s">
        <v>76</v>
      </c>
    </row>
    <row r="60" spans="1:6" x14ac:dyDescent="0.35">
      <c r="A60" s="6">
        <v>6.4</v>
      </c>
      <c r="B60" s="7" t="s">
        <v>79</v>
      </c>
      <c r="C60" s="7">
        <f t="shared" si="5"/>
        <v>24</v>
      </c>
      <c r="D60" s="8">
        <v>3</v>
      </c>
      <c r="E60" s="11" t="s">
        <v>11</v>
      </c>
      <c r="F60" s="10" t="s">
        <v>76</v>
      </c>
    </row>
    <row r="61" spans="1:6" x14ac:dyDescent="0.35">
      <c r="A61" s="6">
        <v>6.5</v>
      </c>
      <c r="B61" s="7" t="s">
        <v>80</v>
      </c>
      <c r="C61" s="7">
        <f t="shared" si="5"/>
        <v>48</v>
      </c>
      <c r="D61" s="8">
        <v>6</v>
      </c>
      <c r="E61" s="12" t="s">
        <v>14</v>
      </c>
      <c r="F61" s="10" t="s">
        <v>81</v>
      </c>
    </row>
    <row r="62" spans="1:6" x14ac:dyDescent="0.35">
      <c r="A62" s="6">
        <v>6.6</v>
      </c>
      <c r="B62" s="7" t="s">
        <v>82</v>
      </c>
      <c r="C62" s="7">
        <f t="shared" si="5"/>
        <v>32</v>
      </c>
      <c r="D62" s="8">
        <v>4</v>
      </c>
      <c r="E62" s="12" t="s">
        <v>14</v>
      </c>
      <c r="F62" s="10" t="s">
        <v>76</v>
      </c>
    </row>
    <row r="63" spans="1:6" x14ac:dyDescent="0.35">
      <c r="A63" s="6">
        <v>6.7</v>
      </c>
      <c r="B63" s="7" t="s">
        <v>83</v>
      </c>
      <c r="C63" s="7">
        <f t="shared" si="5"/>
        <v>24</v>
      </c>
      <c r="D63" s="8">
        <v>3</v>
      </c>
      <c r="E63" s="11" t="s">
        <v>11</v>
      </c>
      <c r="F63" s="10" t="s">
        <v>76</v>
      </c>
    </row>
    <row r="64" spans="1:6" x14ac:dyDescent="0.35">
      <c r="A64" s="6">
        <v>6.8</v>
      </c>
      <c r="B64" s="7" t="s">
        <v>84</v>
      </c>
      <c r="C64" s="7">
        <f t="shared" si="5"/>
        <v>40</v>
      </c>
      <c r="D64" s="8">
        <v>5</v>
      </c>
      <c r="E64" s="11" t="s">
        <v>11</v>
      </c>
      <c r="F64" s="10" t="s">
        <v>85</v>
      </c>
    </row>
    <row r="65" spans="1:6" x14ac:dyDescent="0.35">
      <c r="A65" s="6">
        <v>6.9</v>
      </c>
      <c r="B65" s="7" t="s">
        <v>86</v>
      </c>
      <c r="C65" s="7">
        <f t="shared" si="5"/>
        <v>40</v>
      </c>
      <c r="D65" s="8">
        <v>5</v>
      </c>
      <c r="E65" s="12" t="s">
        <v>14</v>
      </c>
      <c r="F65" s="10" t="s">
        <v>87</v>
      </c>
    </row>
    <row r="66" spans="1:6" x14ac:dyDescent="0.35">
      <c r="A66" s="6">
        <v>6.1</v>
      </c>
      <c r="B66" s="7" t="s">
        <v>88</v>
      </c>
      <c r="C66" s="7">
        <f t="shared" si="5"/>
        <v>24</v>
      </c>
      <c r="D66" s="8">
        <v>3</v>
      </c>
      <c r="E66" s="11" t="s">
        <v>11</v>
      </c>
      <c r="F66" s="10" t="s">
        <v>89</v>
      </c>
    </row>
    <row r="67" spans="1:6" x14ac:dyDescent="0.35">
      <c r="A67" s="13"/>
      <c r="B67" s="13" t="s">
        <v>90</v>
      </c>
      <c r="C67" s="13"/>
      <c r="D67" s="13"/>
      <c r="E67" s="13"/>
      <c r="F67" s="13"/>
    </row>
    <row r="68" spans="1:6" x14ac:dyDescent="0.35">
      <c r="A68" s="6">
        <v>7.1</v>
      </c>
      <c r="B68" s="7" t="s">
        <v>91</v>
      </c>
      <c r="C68" s="7">
        <f>D68*8</f>
        <v>24</v>
      </c>
      <c r="D68" s="8">
        <v>3</v>
      </c>
      <c r="E68" s="11" t="s">
        <v>11</v>
      </c>
      <c r="F68" s="10" t="s">
        <v>16</v>
      </c>
    </row>
    <row r="69" spans="1:6" x14ac:dyDescent="0.35">
      <c r="A69" s="6">
        <v>7.2</v>
      </c>
      <c r="B69" s="7" t="s">
        <v>92</v>
      </c>
      <c r="C69" s="7">
        <f t="shared" ref="C69:C76" si="6">D69*8</f>
        <v>24</v>
      </c>
      <c r="D69" s="8">
        <v>3</v>
      </c>
      <c r="E69" s="11" t="s">
        <v>11</v>
      </c>
      <c r="F69" s="10" t="s">
        <v>16</v>
      </c>
    </row>
    <row r="70" spans="1:6" x14ac:dyDescent="0.35">
      <c r="A70" s="6">
        <v>7.3</v>
      </c>
      <c r="B70" s="7" t="s">
        <v>93</v>
      </c>
      <c r="C70" s="7">
        <f t="shared" si="6"/>
        <v>16</v>
      </c>
      <c r="D70" s="8">
        <v>2</v>
      </c>
      <c r="E70" s="11" t="s">
        <v>11</v>
      </c>
      <c r="F70" s="10" t="s">
        <v>16</v>
      </c>
    </row>
    <row r="71" spans="1:6" x14ac:dyDescent="0.35">
      <c r="A71" s="6">
        <v>7.4</v>
      </c>
      <c r="B71" s="7" t="s">
        <v>94</v>
      </c>
      <c r="C71" s="7">
        <f t="shared" si="6"/>
        <v>24</v>
      </c>
      <c r="D71" s="8">
        <v>3</v>
      </c>
      <c r="E71" s="9" t="s">
        <v>8</v>
      </c>
      <c r="F71" s="10" t="s">
        <v>73</v>
      </c>
    </row>
    <row r="72" spans="1:6" x14ac:dyDescent="0.35">
      <c r="A72" s="6">
        <v>7.5</v>
      </c>
      <c r="B72" s="7" t="s">
        <v>95</v>
      </c>
      <c r="C72" s="7">
        <f t="shared" si="6"/>
        <v>16</v>
      </c>
      <c r="D72" s="8">
        <v>2</v>
      </c>
      <c r="E72" s="9" t="s">
        <v>8</v>
      </c>
      <c r="F72" s="10" t="s">
        <v>66</v>
      </c>
    </row>
    <row r="73" spans="1:6" x14ac:dyDescent="0.35">
      <c r="A73" s="6">
        <v>7.6</v>
      </c>
      <c r="B73" s="7" t="s">
        <v>96</v>
      </c>
      <c r="C73" s="7">
        <f t="shared" si="6"/>
        <v>80</v>
      </c>
      <c r="D73" s="8">
        <v>10</v>
      </c>
      <c r="E73" s="12" t="s">
        <v>14</v>
      </c>
      <c r="F73" s="10" t="s">
        <v>97</v>
      </c>
    </row>
    <row r="74" spans="1:6" x14ac:dyDescent="0.35">
      <c r="A74" s="6">
        <v>7.7</v>
      </c>
      <c r="B74" s="7" t="s">
        <v>98</v>
      </c>
      <c r="C74" s="7">
        <f t="shared" si="6"/>
        <v>16</v>
      </c>
      <c r="D74" s="8">
        <v>2</v>
      </c>
      <c r="E74" s="11" t="s">
        <v>11</v>
      </c>
      <c r="F74" s="10" t="s">
        <v>99</v>
      </c>
    </row>
    <row r="75" spans="1:6" x14ac:dyDescent="0.35">
      <c r="A75" s="6">
        <v>7.8</v>
      </c>
      <c r="B75" s="7" t="s">
        <v>100</v>
      </c>
      <c r="C75" s="7">
        <f t="shared" si="6"/>
        <v>80</v>
      </c>
      <c r="D75" s="8">
        <v>10</v>
      </c>
      <c r="E75" s="11" t="s">
        <v>11</v>
      </c>
      <c r="F75" s="10" t="s">
        <v>87</v>
      </c>
    </row>
    <row r="76" spans="1:6" x14ac:dyDescent="0.35">
      <c r="A76" s="6">
        <v>7.9</v>
      </c>
      <c r="B76" s="7" t="s">
        <v>101</v>
      </c>
      <c r="C76" s="7">
        <f t="shared" si="6"/>
        <v>16</v>
      </c>
      <c r="D76" s="8">
        <v>2</v>
      </c>
      <c r="E76" s="9" t="s">
        <v>8</v>
      </c>
      <c r="F76" s="10" t="s">
        <v>9</v>
      </c>
    </row>
    <row r="78" spans="1:6" x14ac:dyDescent="0.35">
      <c r="B78" s="14" t="s">
        <v>102</v>
      </c>
      <c r="C78" s="15">
        <f>SUM(C3:C76)</f>
        <v>2248</v>
      </c>
      <c r="D78" s="2">
        <f>C78/8</f>
        <v>281</v>
      </c>
      <c r="E78" s="2">
        <f>D78/5</f>
        <v>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 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Kamalakar Gaonkar</dc:creator>
  <cp:lastModifiedBy>Abhishek Kamalakar Gaonkar</cp:lastModifiedBy>
  <dcterms:created xsi:type="dcterms:W3CDTF">2026-04-02T12:41:03Z</dcterms:created>
  <dcterms:modified xsi:type="dcterms:W3CDTF">2026-04-02T12:41:27Z</dcterms:modified>
</cp:coreProperties>
</file>