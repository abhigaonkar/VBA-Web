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omentivetech-my.sharepoint.com/personal/dhananjay_patil_momentivetech_com/Documents/JesseFUrnaceDeck_2026-03-16/Furnace Deck/"/>
    </mc:Choice>
  </mc:AlternateContent>
  <xr:revisionPtr revIDLastSave="261" documentId="14_{E7CB06AB-4B95-4825-A659-E623431E30C0}" xr6:coauthVersionLast="47" xr6:coauthVersionMax="47" xr10:uidLastSave="{05FB567D-45D5-4AAF-BF37-212E5CB61352}"/>
  <bookViews>
    <workbookView xWindow="-120" yWindow="-120" windowWidth="29040" windowHeight="15720" xr2:uid="{00000000-000D-0000-FFFF-FFFF00000000}"/>
  </bookViews>
  <sheets>
    <sheet name="Sheet1" sheetId="1" r:id="rId1"/>
    <sheet name="SandTrans" sheetId="3" r:id="rId2"/>
    <sheet name="AppControl" sheetId="5" r:id="rId3"/>
    <sheet name="Sheet2" sheetId="2" r:id="rId4"/>
  </sheets>
  <functionGroups builtInGroupCount="19"/>
  <definedNames>
    <definedName name="Defects">Sheet2!$A$1:$B$77</definedName>
    <definedName name="ExternalData_1" localSheetId="2" hidden="1">AppControl!$A$1:$B$4</definedName>
    <definedName name="TubeODs">Sheet2!$D$1:$E$4</definedName>
    <definedName name="WebbItems">Sheet2!$G$1:$H$5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L28" i="1" l="1"/>
  <c r="X30" i="2" l="1"/>
  <c r="X22" i="2"/>
  <c r="X14" i="2"/>
  <c r="X6" i="2"/>
  <c r="U10" i="2"/>
  <c r="Q10" i="2"/>
  <c r="U9" i="2"/>
  <c r="U8" i="2"/>
  <c r="U7" i="2"/>
  <c r="Q7" i="2"/>
  <c r="P8" i="2" s="1"/>
  <c r="O7" i="2"/>
  <c r="N8" i="2" s="1"/>
  <c r="M7" i="2"/>
  <c r="L8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D7740F6-7AB3-4984-A5F8-27F975F47B4F}" keepAlive="1" name="Query - AppControl" description="Connection to the 'AppControl' query in the workbook." type="5" refreshedVersion="8" background="1" refreshOnLoad="1" saveData="1">
    <dbPr connection="Provider=Microsoft.Mashup.OleDb.1;Data Source=$Workbook$;Location=AppControl;Extended Properties=&quot;&quot;" command="SELECT * FROM [AppControl]"/>
  </connection>
</connections>
</file>

<file path=xl/sharedStrings.xml><?xml version="1.0" encoding="utf-8"?>
<sst xmlns="http://schemas.openxmlformats.org/spreadsheetml/2006/main" count="478" uniqueCount="295">
  <si>
    <t>Furnace</t>
  </si>
  <si>
    <t>Date/Time</t>
  </si>
  <si>
    <t>Pallet Card</t>
  </si>
  <si>
    <t>Operator</t>
  </si>
  <si>
    <t>Process Order</t>
  </si>
  <si>
    <t>Item Description</t>
  </si>
  <si>
    <t>Serial Num</t>
  </si>
  <si>
    <t>Entered in SAP?</t>
  </si>
  <si>
    <t>Notes:</t>
  </si>
  <si>
    <t>NF37</t>
  </si>
  <si>
    <t>AIRL</t>
  </si>
  <si>
    <t>ADHM</t>
  </si>
  <si>
    <t>ADHERED MATL</t>
  </si>
  <si>
    <t>AIRB</t>
  </si>
  <si>
    <t>Airline Bumpy</t>
  </si>
  <si>
    <t>AIRE</t>
  </si>
  <si>
    <t>Airlines last 2” both ends</t>
  </si>
  <si>
    <t>AIRH</t>
  </si>
  <si>
    <t>AIRLINES-ARROWHEAD</t>
  </si>
  <si>
    <t>AIRLINE</t>
  </si>
  <si>
    <t>AIRO</t>
  </si>
  <si>
    <t>Airline Open</t>
  </si>
  <si>
    <t>AIRS</t>
  </si>
  <si>
    <t>Airline Stringer</t>
  </si>
  <si>
    <t>BACH</t>
  </si>
  <si>
    <t>BAFFLE CHANGE</t>
  </si>
  <si>
    <t>BANK</t>
  </si>
  <si>
    <t>UNBANKING LOSS</t>
  </si>
  <si>
    <t>BATW</t>
  </si>
  <si>
    <t>Bat wing gray line</t>
  </si>
  <si>
    <t>BBBL</t>
  </si>
  <si>
    <t>BROWN/BLUE/BLACK LINE</t>
  </si>
  <si>
    <t>BLSX</t>
  </si>
  <si>
    <t>Black Spot</t>
  </si>
  <si>
    <t>BOWD</t>
  </si>
  <si>
    <t>BOWED</t>
  </si>
  <si>
    <t>BRK1</t>
  </si>
  <si>
    <t>BROKEN HANDLING</t>
  </si>
  <si>
    <t>BUB1</t>
  </si>
  <si>
    <t>BUBBLE</t>
  </si>
  <si>
    <t>BUB2</t>
  </si>
  <si>
    <t>BUBBLE CLUSTER</t>
  </si>
  <si>
    <t>BUB7</t>
  </si>
  <si>
    <t>BUBBLES - OD</t>
  </si>
  <si>
    <t>CLEG</t>
  </si>
  <si>
    <t>CORE LEG LINES</t>
  </si>
  <si>
    <t>CLGS</t>
  </si>
  <si>
    <t>Core Legs at start-up</t>
  </si>
  <si>
    <t>CLSP</t>
  </si>
  <si>
    <t>CLEAR SPOT</t>
  </si>
  <si>
    <t>COLR</t>
  </si>
  <si>
    <t>Coloration or Streaks</t>
  </si>
  <si>
    <t>CRAK</t>
  </si>
  <si>
    <t>CRACK</t>
  </si>
  <si>
    <t>CRKS</t>
  </si>
  <si>
    <t>CRACK - SEAM</t>
  </si>
  <si>
    <t>DBRK</t>
  </si>
  <si>
    <t>DRAW BREAK</t>
  </si>
  <si>
    <t>DBUB</t>
  </si>
  <si>
    <t>DIRTY BUBBLE</t>
  </si>
  <si>
    <t>DCOL</t>
  </si>
  <si>
    <t>DISCOLORED</t>
  </si>
  <si>
    <t>DEVT</t>
  </si>
  <si>
    <t>DEVITRIFICATION</t>
  </si>
  <si>
    <t>DIP1</t>
  </si>
  <si>
    <t>DIP</t>
  </si>
  <si>
    <t>DIRT</t>
  </si>
  <si>
    <t>DMBB</t>
  </si>
  <si>
    <t>DIMPLED BUBBLE</t>
  </si>
  <si>
    <t>DRAN</t>
  </si>
  <si>
    <t>FURNACE DRAIN</t>
  </si>
  <si>
    <t>FEWL</t>
  </si>
  <si>
    <t>FEEDER WATER LEAK</t>
  </si>
  <si>
    <t>FLAT</t>
  </si>
  <si>
    <t>FLAT TUBE</t>
  </si>
  <si>
    <t>FLOW</t>
  </si>
  <si>
    <t>Flow lines</t>
  </si>
  <si>
    <t>FRST</t>
  </si>
  <si>
    <t>FROSTED SPOTS</t>
  </si>
  <si>
    <t>GRAY</t>
  </si>
  <si>
    <t>GRAY LINE</t>
  </si>
  <si>
    <t>GRMK</t>
  </si>
  <si>
    <t>Graphite Marks</t>
  </si>
  <si>
    <t>HEWA</t>
  </si>
  <si>
    <t>HEAVY WALL</t>
  </si>
  <si>
    <t>INC1</t>
  </si>
  <si>
    <t>INCLUSION</t>
  </si>
  <si>
    <t>INC2</t>
  </si>
  <si>
    <t>MANY INCLUSIONS</t>
  </si>
  <si>
    <t>LGOD</t>
  </si>
  <si>
    <t>LARGE OD</t>
  </si>
  <si>
    <t>LNGL</t>
  </si>
  <si>
    <t>LENGTH - LONG</t>
  </si>
  <si>
    <t>LNGS</t>
  </si>
  <si>
    <t>LENGTH - SHORT</t>
  </si>
  <si>
    <t>LTWA</t>
  </si>
  <si>
    <t>LIGHT WALL</t>
  </si>
  <si>
    <t>METL</t>
  </si>
  <si>
    <t>METAL</t>
  </si>
  <si>
    <t>METS</t>
  </si>
  <si>
    <t>Metal at start-up</t>
  </si>
  <si>
    <t>MMP1</t>
  </si>
  <si>
    <t>MISC MAINT OTHER</t>
  </si>
  <si>
    <t>MMP2</t>
  </si>
  <si>
    <t>MISC MAINT - CHIP OUT</t>
  </si>
  <si>
    <t>MMP3</t>
  </si>
  <si>
    <t>MISC MAINT - CLEAN OUT</t>
  </si>
  <si>
    <t>MMP4</t>
  </si>
  <si>
    <t>MISC MAINT - Crust Removal</t>
  </si>
  <si>
    <t>MMP5</t>
  </si>
  <si>
    <t>MISC MAINT - Cutter Repair</t>
  </si>
  <si>
    <t>MMP6</t>
  </si>
  <si>
    <t>MISC MAINT - DRW MACHINE/ROLLS</t>
  </si>
  <si>
    <t>MMP7</t>
  </si>
  <si>
    <t>MISC MAINT - Feeder Clean</t>
  </si>
  <si>
    <t>MOLO</t>
  </si>
  <si>
    <t>MOLY DARKENING - OD</t>
  </si>
  <si>
    <t>MOLY</t>
  </si>
  <si>
    <t>MOLY DARKENING</t>
  </si>
  <si>
    <t>MSCD</t>
  </si>
  <si>
    <t>MISCELLANEOUS DISTORTION</t>
  </si>
  <si>
    <t>MSCL</t>
  </si>
  <si>
    <t>Miscellaneous</t>
  </si>
  <si>
    <t>OBUB</t>
  </si>
  <si>
    <t>OPEN BUBBLE</t>
  </si>
  <si>
    <t>OINC</t>
  </si>
  <si>
    <t>OPEN INCLUSION</t>
  </si>
  <si>
    <t>OPDT</t>
  </si>
  <si>
    <t>Optical distortion</t>
  </si>
  <si>
    <t>ORGP</t>
  </si>
  <si>
    <t>ORANGE PEEL</t>
  </si>
  <si>
    <t>OVAL</t>
  </si>
  <si>
    <t>OVALITY</t>
  </si>
  <si>
    <t>PULS</t>
  </si>
  <si>
    <t>PULSE</t>
  </si>
  <si>
    <t>SACH</t>
  </si>
  <si>
    <t>SAND CHEM FAIL</t>
  </si>
  <si>
    <t>SIDG</t>
  </si>
  <si>
    <t>SIDING</t>
  </si>
  <si>
    <t>SMID</t>
  </si>
  <si>
    <t>SMALL ID</t>
  </si>
  <si>
    <t>SMOD</t>
  </si>
  <si>
    <t>SMALL OD</t>
  </si>
  <si>
    <t>STAR</t>
  </si>
  <si>
    <t>FURNACE STARTUP</t>
  </si>
  <si>
    <t>STNG</t>
  </si>
  <si>
    <t>STRINGERS</t>
  </si>
  <si>
    <t>STRE</t>
  </si>
  <si>
    <t>STREAK</t>
  </si>
  <si>
    <t>STRI</t>
  </si>
  <si>
    <t>STRIATIONS</t>
  </si>
  <si>
    <t>SWAB</t>
  </si>
  <si>
    <t>SWAB MARKS</t>
  </si>
  <si>
    <t>SZCH</t>
  </si>
  <si>
    <t>SIZE CHANGE</t>
  </si>
  <si>
    <t>TAPR</t>
  </si>
  <si>
    <t>TAPER</t>
  </si>
  <si>
    <t>TRAN</t>
  </si>
  <si>
    <t>FURNACE SAND TRANSITION</t>
  </si>
  <si>
    <t>TWST</t>
  </si>
  <si>
    <t>TWISTED</t>
  </si>
  <si>
    <t>VAPR</t>
  </si>
  <si>
    <t>VAPOR</t>
  </si>
  <si>
    <t>Item Number</t>
  </si>
  <si>
    <t>112"</t>
  </si>
  <si>
    <t>Actual</t>
  </si>
  <si>
    <t>130" sand</t>
  </si>
  <si>
    <t>130" MM03</t>
  </si>
  <si>
    <t>154" MM03</t>
  </si>
  <si>
    <t>138" MM03</t>
  </si>
  <si>
    <t>138" sand</t>
  </si>
  <si>
    <t>154" sand</t>
  </si>
  <si>
    <t>Kg/inch</t>
  </si>
  <si>
    <t>Scrap</t>
  </si>
  <si>
    <t>Scrap Reason</t>
  </si>
  <si>
    <t>Hours</t>
  </si>
  <si>
    <t>LOI-WEBB-RC</t>
  </si>
  <si>
    <t>QQ2-WEBB-RC</t>
  </si>
  <si>
    <t>I6-WEBB-RC</t>
  </si>
  <si>
    <t>I4-WEBB-RC</t>
  </si>
  <si>
    <t>SYN-WEBB-RC</t>
  </si>
  <si>
    <t>OD Mean</t>
  </si>
  <si>
    <t>OD Max</t>
  </si>
  <si>
    <t>OD Min</t>
  </si>
  <si>
    <t>Wall Mean</t>
  </si>
  <si>
    <t>Wall Max</t>
  </si>
  <si>
    <t>Wall Min</t>
  </si>
  <si>
    <t>Siding Max</t>
  </si>
  <si>
    <t>Ovality Max</t>
  </si>
  <si>
    <t>Gradient</t>
  </si>
  <si>
    <t>Sand Item</t>
  </si>
  <si>
    <t>Sand Batch</t>
  </si>
  <si>
    <t>Qty</t>
  </si>
  <si>
    <t>From Location</t>
  </si>
  <si>
    <t>To Location</t>
  </si>
  <si>
    <t>In SAP</t>
  </si>
  <si>
    <t>0015</t>
  </si>
  <si>
    <t>24hwqq0218</t>
  </si>
  <si>
    <t>24hwqq0163</t>
  </si>
  <si>
    <t>0100</t>
  </si>
  <si>
    <t/>
  </si>
  <si>
    <t>24GWQQ0020</t>
  </si>
  <si>
    <t>Good</t>
  </si>
  <si>
    <t>84/130</t>
  </si>
  <si>
    <t>Other</t>
  </si>
  <si>
    <t>24HWQQ0218</t>
  </si>
  <si>
    <t>Item</t>
  </si>
  <si>
    <t>Desc</t>
  </si>
  <si>
    <t>Time</t>
  </si>
  <si>
    <t>24FWQQ0125</t>
  </si>
  <si>
    <t>214FSU 251X267-130 IN</t>
  </si>
  <si>
    <t>24HWQQ0239</t>
  </si>
  <si>
    <t>24HWQQ0159</t>
  </si>
  <si>
    <t>Bow Pass</t>
  </si>
  <si>
    <t>24HWQQ0151</t>
  </si>
  <si>
    <t>Wall TopNorth</t>
  </si>
  <si>
    <t>Wall TopWest</t>
  </si>
  <si>
    <t>Wall TopEast</t>
  </si>
  <si>
    <t>Wall TopSouth</t>
  </si>
  <si>
    <t>Wall BottomWest</t>
  </si>
  <si>
    <t>Wall BottomNorth</t>
  </si>
  <si>
    <t>Wall BottomEast</t>
  </si>
  <si>
    <t>OD TopEW</t>
  </si>
  <si>
    <t>OD TopNS</t>
  </si>
  <si>
    <t>OD Bottom EW</t>
  </si>
  <si>
    <t>OD BottomNS</t>
  </si>
  <si>
    <t>Wall BottomEast2</t>
  </si>
  <si>
    <t>Length</t>
  </si>
  <si>
    <t>Weight Per Inch</t>
  </si>
  <si>
    <t>ActualLength</t>
  </si>
  <si>
    <t>25BWQQ0122</t>
  </si>
  <si>
    <t>25AWQQ0316</t>
  </si>
  <si>
    <t>Documented Length</t>
  </si>
  <si>
    <t>25CWQQ0016</t>
  </si>
  <si>
    <t>25awqq0106</t>
  </si>
  <si>
    <t>25awqq0259</t>
  </si>
  <si>
    <t>25awqq0270</t>
  </si>
  <si>
    <t>25awqq0271</t>
  </si>
  <si>
    <t>25dhra045</t>
  </si>
  <si>
    <t>HU Close</t>
  </si>
  <si>
    <t>Alternative</t>
  </si>
  <si>
    <t>Specs Text</t>
  </si>
  <si>
    <t>Testing</t>
  </si>
  <si>
    <t>215HVU 249X264-2845</t>
  </si>
  <si>
    <t>OD	264_x000D_
OD+ 	3.96_x000D_
OD- 	3.96_x000D_
ID 	249_x000D_
ID+	0_x000D_
ID-	0_x000D_
WALL	7.5_x000D_
Wall+	0.75_x000D_
Wall-	0.75_x000D_
Length	2845_x000D_
Length+	38.1_x000D_
Length-	38.1</t>
  </si>
  <si>
    <t>Webb</t>
  </si>
  <si>
    <t>Scrap D</t>
  </si>
  <si>
    <t>Plate</t>
  </si>
  <si>
    <t>Scrap Orders</t>
  </si>
  <si>
    <t>Online</t>
  </si>
  <si>
    <t>Column2</t>
  </si>
  <si>
    <t>OD		267_x000D_
OD+ 		3_x000D_
OD- 		3_x000D_
ID 		251_x000D_
ID+		0_x000D_
ID-		0_x000D_
WALL		8_x000D_
Wall+		0.5_x000D_
Wall-		0.2_x000D_
Length		3302_x000D_
Length+		38.1_x000D_
Length-		38.1_x000D_
Max Bow Dflctn	2_x000D_
Bow length		1220</t>
  </si>
  <si>
    <t>26ANT0001</t>
  </si>
  <si>
    <t>PARKINSONJ</t>
  </si>
  <si>
    <t>26ANT0002</t>
  </si>
  <si>
    <t>26ANT0003</t>
  </si>
  <si>
    <t>26ANT0004</t>
  </si>
  <si>
    <t>26ANT0005</t>
  </si>
  <si>
    <t>26ANT0006</t>
  </si>
  <si>
    <t>26ANT0007</t>
  </si>
  <si>
    <t>26ANT0008</t>
  </si>
  <si>
    <t>26ANT0009</t>
  </si>
  <si>
    <t>214FSU 251X267- (84-130) IN</t>
  </si>
  <si>
    <t>224HVU 251X267-3300</t>
  </si>
  <si>
    <t>26ANT0010</t>
  </si>
  <si>
    <t>26ANT0011</t>
  </si>
  <si>
    <t>26ANT0012</t>
  </si>
  <si>
    <t>26ANT0013</t>
  </si>
  <si>
    <t>26ANT0014</t>
  </si>
  <si>
    <t>26ANT0015</t>
  </si>
  <si>
    <t>26ANT0016</t>
  </si>
  <si>
    <t>26ANT0017</t>
  </si>
  <si>
    <t>26ANT0018</t>
  </si>
  <si>
    <t>26ANT0019</t>
  </si>
  <si>
    <t>26ANT0020</t>
  </si>
  <si>
    <t>26ANT0021</t>
  </si>
  <si>
    <t>26ANT0022</t>
  </si>
  <si>
    <t>26ANT0023</t>
  </si>
  <si>
    <t>26ANT0024</t>
  </si>
  <si>
    <t>26ANT0025</t>
  </si>
  <si>
    <t>26BNT0001</t>
  </si>
  <si>
    <t>Tube Weight</t>
  </si>
  <si>
    <t>26BNT0002</t>
  </si>
  <si>
    <t>26BNT0003</t>
  </si>
  <si>
    <t>26BNT0004</t>
  </si>
  <si>
    <t>26BNT0005</t>
  </si>
  <si>
    <t>26BNT0006</t>
  </si>
  <si>
    <t>26BNT0007</t>
  </si>
  <si>
    <t>OD		267_x000D_
OD+ 		4.005_x000D_
OD- 		4.005_x000D_
ID 		251_x000D_
ID+		0_x000D_
ID-		0_x000D_
WALL		8_x000D_
Wall+		0.8_x000D_
Wall-		0.8_x000D_
Length		3300_x000D_
Length+		38.1_x000D_
Length-		38.1_x000D_
Max Bow Dflctn	2_x000D_
Bow length		1220</t>
  </si>
  <si>
    <t>26BNT0008</t>
  </si>
  <si>
    <t>20007</t>
  </si>
  <si>
    <t>2304755</t>
  </si>
  <si>
    <t>26BNT0009</t>
  </si>
  <si>
    <t>26BNT0010</t>
  </si>
  <si>
    <t>26BNT0011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</si>
</sst>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164" fontId="0" fillId="0" borderId="0" xfId="0" applyNumberFormat="1"/>
    <xf numFmtId="49" fontId="0" fillId="0" borderId="0" xfId="0" applyNumberFormat="1"/>
    <xf numFmtId="1" fontId="0" fillId="0" borderId="0" xfId="0" applyNumberFormat="1"/>
    <xf numFmtId="0" fontId="2" fillId="0" borderId="0" xfId="0" applyFont="1"/>
    <xf numFmtId="22" fontId="2" fillId="0" borderId="0" xfId="0" applyNumberFormat="1" applyFont="1"/>
    <xf numFmtId="0" fontId="3" fillId="0" borderId="0" xfId="0" applyFont="1"/>
    <xf numFmtId="2" fontId="2" fillId="0" borderId="0" xfId="0" applyNumberFormat="1" applyFont="1"/>
    <xf numFmtId="164" fontId="0" fillId="0" borderId="0" xfId="0" applyNumberFormat="1" applyAlignment="1">
      <alignment horizontal="center"/>
    </xf>
    <xf numFmtId="164" fontId="2" fillId="0" borderId="0" xfId="0" applyNumberFormat="1" applyFont="1"/>
    <xf numFmtId="49" fontId="0" fillId="0" borderId="0" xfId="0" applyNumberFormat="1" applyAlignment="1">
      <alignment wrapText="1"/>
    </xf>
    <xf numFmtId="22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/>
  </cellXfs>
  <cellStyles count="1">
    <cellStyle name="Normal" xfId="0" builtinId="0"/>
  </cellStyles>
  <dxfs count="22">
    <dxf>
      <numFmt numFmtId="0" formatCode="General"/>
    </dxf>
    <dxf>
      <numFmt numFmtId="30" formatCode="@"/>
    </dxf>
    <dxf>
      <numFmt numFmtId="30" formatCode="@"/>
    </dxf>
    <dxf>
      <numFmt numFmtId="164" formatCode="0.000"/>
    </dxf>
    <dxf>
      <numFmt numFmtId="30" formatCode="@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4" formatCode="0.00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growShrinkType="overwriteClear" preserveFormatting="0" connectionId="1" xr16:uid="{6E4EF5AF-89F9-4E5E-8D44-EC8CAB3933B0}" autoFormatId="16" applyNumberFormats="0" applyBorderFormats="0" applyFontFormats="0" applyPatternFormats="0" applyAlignmentFormats="0" applyWidthHeightFormats="0">
  <queryTableRefresh nextId="3">
    <queryTableFields count="2">
      <queryTableField id="1" name="Scrap Orders" tableColumnId="1"/>
      <queryTableField id="2" name="Column2" tableColumnId="2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FurnaceLog" displayName="FurnaceLog" ref="A1:AM2" insertRow="1" totalsRowShown="0" headerRowDxfId="21">
  <autoFilter ref="A1:AM2" xr:uid="{00000000-0009-0000-0100-000001000000}"/>
  <tableColumns count="39">
    <tableColumn id="25" xr3:uid="{00000000-0010-0000-0000-000019000000}" name="Furnace"/>
    <tableColumn id="26" xr3:uid="{00000000-0010-0000-0000-00001A000000}" name="Date/Time"/>
    <tableColumn id="1" xr3:uid="{00000000-0010-0000-0000-000001000000}" name="Pallet Card"/>
    <tableColumn id="2" xr3:uid="{00000000-0010-0000-0000-000002000000}" name="Operator"/>
    <tableColumn id="3" xr3:uid="{00000000-0010-0000-0000-000003000000}" name="Process Order"/>
    <tableColumn id="4" xr3:uid="{00000000-0010-0000-0000-000004000000}" name="Item Number"/>
    <tableColumn id="5" xr3:uid="{00000000-0010-0000-0000-000005000000}" name="Item Description"/>
    <tableColumn id="6" xr3:uid="{00000000-0010-0000-0000-000006000000}" name="Serial Num"/>
    <tableColumn id="7" xr3:uid="{00000000-0010-0000-0000-000007000000}" name="OD TopEW"/>
    <tableColumn id="8" xr3:uid="{00000000-0010-0000-0000-000008000000}" name="OD TopNS"/>
    <tableColumn id="9" xr3:uid="{00000000-0010-0000-0000-000009000000}" name="OD Bottom EW"/>
    <tableColumn id="10" xr3:uid="{00000000-0010-0000-0000-00000A000000}" name="OD BottomNS"/>
    <tableColumn id="11" xr3:uid="{00000000-0010-0000-0000-00000B000000}" name="Wall TopWest"/>
    <tableColumn id="12" xr3:uid="{00000000-0010-0000-0000-00000C000000}" name="Wall TopNorth"/>
    <tableColumn id="13" xr3:uid="{00000000-0010-0000-0000-00000D000000}" name="Wall TopSouth"/>
    <tableColumn id="14" xr3:uid="{00000000-0010-0000-0000-00000E000000}" name="Wall TopEast"/>
    <tableColumn id="15" xr3:uid="{00000000-0010-0000-0000-00000F000000}" name="Wall BottomWest"/>
    <tableColumn id="16" xr3:uid="{00000000-0010-0000-0000-000010000000}" name="Wall BottomNorth"/>
    <tableColumn id="17" xr3:uid="{00000000-0010-0000-0000-000011000000}" name="Wall BottomEast"/>
    <tableColumn id="18" xr3:uid="{00000000-0010-0000-0000-000012000000}" name="Wall BottomEast2"/>
    <tableColumn id="19" xr3:uid="{00000000-0010-0000-0000-000013000000}" name="Bow Pass" dataDxfId="20"/>
    <tableColumn id="20" xr3:uid="{00000000-0010-0000-0000-000014000000}" name="Entered in SAP?"/>
    <tableColumn id="21" xr3:uid="{00000000-0010-0000-0000-000015000000}" name="Notes:"/>
    <tableColumn id="22" xr3:uid="{00000000-0010-0000-0000-000016000000}" name="Scrap"/>
    <tableColumn id="23" xr3:uid="{00000000-0010-0000-0000-000017000000}" name="Scrap Reason"/>
    <tableColumn id="24" xr3:uid="{00000000-0010-0000-0000-000018000000}" name="Hours" dataDxfId="19"/>
    <tableColumn id="27" xr3:uid="{00000000-0010-0000-0000-00001B000000}" name="OD Mean" dataDxfId="18"/>
    <tableColumn id="28" xr3:uid="{00000000-0010-0000-0000-00001C000000}" name="OD Max" dataDxfId="17"/>
    <tableColumn id="29" xr3:uid="{00000000-0010-0000-0000-00001D000000}" name="OD Min" dataDxfId="16"/>
    <tableColumn id="30" xr3:uid="{00000000-0010-0000-0000-00001E000000}" name="Wall Mean" dataDxfId="15"/>
    <tableColumn id="31" xr3:uid="{00000000-0010-0000-0000-00001F000000}" name="Wall Max" dataDxfId="14"/>
    <tableColumn id="32" xr3:uid="{00000000-0010-0000-0000-000020000000}" name="Wall Min" dataDxfId="13"/>
    <tableColumn id="33" xr3:uid="{00000000-0010-0000-0000-000021000000}" name="Siding Max" dataDxfId="12"/>
    <tableColumn id="34" xr3:uid="{00000000-0010-0000-0000-000022000000}" name="Ovality Max" dataDxfId="11"/>
    <tableColumn id="35" xr3:uid="{00000000-0010-0000-0000-000023000000}" name="Gradient" dataDxfId="10"/>
    <tableColumn id="36" xr3:uid="{00000000-0010-0000-0000-000024000000}" name="ActualLength" dataDxfId="9"/>
    <tableColumn id="37" xr3:uid="{00000000-0010-0000-0000-000025000000}" name="Documented Length" dataDxfId="8"/>
    <tableColumn id="38" xr3:uid="{00000000-0010-0000-0000-000026000000}" name="Tube Weight" dataDxfId="7"/>
    <tableColumn id="39" xr3:uid="{00000000-0010-0000-0000-000027000000}" name="HU Close" dataDxfId="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A1:F25" totalsRowShown="0">
  <autoFilter ref="A1:F25" xr:uid="{00000000-0009-0000-0100-000002000000}"/>
  <tableColumns count="6">
    <tableColumn id="1" xr3:uid="{00000000-0010-0000-0100-000001000000}" name="Sand Item" dataDxfId="5"/>
    <tableColumn id="2" xr3:uid="{00000000-0010-0000-0100-000002000000}" name="Sand Batch" dataDxfId="4"/>
    <tableColumn id="3" xr3:uid="{00000000-0010-0000-0100-000003000000}" name="Qty" dataDxfId="3"/>
    <tableColumn id="4" xr3:uid="{00000000-0010-0000-0100-000004000000}" name="From Location" dataDxfId="2"/>
    <tableColumn id="5" xr3:uid="{00000000-0010-0000-0100-000005000000}" name="To Location" dataDxfId="1"/>
    <tableColumn id="6" xr3:uid="{00000000-0010-0000-0100-000006000000}" name="In SAP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32692D7-A368-4EF8-9928-91BF5C3F5BE6}" name="AppControl" displayName="AppControl" ref="A1:B4" tableType="queryTable" totalsRowShown="0">
  <tableColumns count="2">
    <tableColumn id="1" xr3:uid="{BFAF3B19-8D25-47D3-8F74-C03E47920189}" uniqueName="1" name="Scrap Orders" queryTableFieldId="1" dataDxfId="0"/>
    <tableColumn id="2" xr3:uid="{49900287-B50F-49D2-9AF0-2AD3B72F8036}" uniqueName="2" name="Column2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38"/>
  <sheetViews>
    <sheetView tabSelected="1" workbookViewId="0">
      <pane ySplit="1" topLeftCell="A2" activePane="bottomLeft" state="frozen"/>
      <selection pane="bottomLeft" activeCell="C38" sqref="C38"/>
    </sheetView>
  </sheetViews>
  <sheetFormatPr defaultRowHeight="15" x14ac:dyDescent="0.25"/>
  <cols>
    <col min="1" max="1" width="8.140625" bestFit="1" customWidth="1"/>
    <col min="2" max="2" width="18.28515625" customWidth="1"/>
    <col min="3" max="3" width="12.7109375" customWidth="1"/>
    <col min="4" max="4" width="12.140625" bestFit="1" customWidth="1"/>
    <col min="5" max="5" width="12" customWidth="1"/>
    <col min="6" max="6" width="14.5703125" customWidth="1"/>
    <col min="7" max="7" width="23.5703125" customWidth="1"/>
    <col min="8" max="8" width="12.85546875" customWidth="1"/>
    <col min="11" max="11" width="11.28515625" customWidth="1"/>
    <col min="12" max="12" width="14.85546875" bestFit="1" customWidth="1"/>
    <col min="13" max="13" width="10.5703125" bestFit="1" customWidth="1"/>
    <col min="14" max="14" width="10.5703125" customWidth="1"/>
    <col min="15" max="15" width="13.140625" customWidth="1"/>
    <col min="16" max="16" width="11.85546875" customWidth="1"/>
    <col min="17" max="17" width="11.42578125" customWidth="1"/>
    <col min="18" max="18" width="11.5703125" customWidth="1"/>
    <col min="19" max="19" width="14.140625" customWidth="1"/>
    <col min="20" max="20" width="12.85546875" customWidth="1"/>
    <col min="21" max="21" width="9.140625" style="4"/>
    <col min="22" max="22" width="16.5703125" customWidth="1"/>
    <col min="23" max="23" width="18.42578125" bestFit="1" customWidth="1"/>
    <col min="25" max="25" width="15.140625" customWidth="1"/>
    <col min="26" max="35" width="9.140625" style="2"/>
  </cols>
  <sheetData>
    <row r="1" spans="1:39" x14ac:dyDescent="0.25">
      <c r="A1" s="1" t="s">
        <v>0</v>
      </c>
      <c r="B1" s="1" t="s">
        <v>1</v>
      </c>
      <c r="C1" t="s">
        <v>2</v>
      </c>
      <c r="D1" t="s">
        <v>3</v>
      </c>
      <c r="E1" t="s">
        <v>4</v>
      </c>
      <c r="F1" t="s">
        <v>163</v>
      </c>
      <c r="G1" t="s">
        <v>5</v>
      </c>
      <c r="H1" t="s">
        <v>6</v>
      </c>
      <c r="I1" s="1" t="s">
        <v>222</v>
      </c>
      <c r="J1" s="1" t="s">
        <v>223</v>
      </c>
      <c r="K1" s="1" t="s">
        <v>224</v>
      </c>
      <c r="L1" s="1" t="s">
        <v>225</v>
      </c>
      <c r="M1" s="1" t="s">
        <v>216</v>
      </c>
      <c r="N1" s="1" t="s">
        <v>215</v>
      </c>
      <c r="O1" s="1" t="s">
        <v>218</v>
      </c>
      <c r="P1" s="1" t="s">
        <v>217</v>
      </c>
      <c r="Q1" s="1" t="s">
        <v>219</v>
      </c>
      <c r="R1" s="1" t="s">
        <v>220</v>
      </c>
      <c r="S1" s="1" t="s">
        <v>221</v>
      </c>
      <c r="T1" s="1" t="s">
        <v>226</v>
      </c>
      <c r="U1" s="11" t="s">
        <v>213</v>
      </c>
      <c r="V1" s="1" t="s">
        <v>7</v>
      </c>
      <c r="W1" s="1" t="s">
        <v>8</v>
      </c>
      <c r="X1" s="1" t="s">
        <v>173</v>
      </c>
      <c r="Y1" s="1" t="s">
        <v>174</v>
      </c>
      <c r="Z1" s="3" t="s">
        <v>175</v>
      </c>
      <c r="AA1" s="3" t="s">
        <v>181</v>
      </c>
      <c r="AB1" s="3" t="s">
        <v>182</v>
      </c>
      <c r="AC1" s="3" t="s">
        <v>183</v>
      </c>
      <c r="AD1" s="3" t="s">
        <v>184</v>
      </c>
      <c r="AE1" s="3" t="s">
        <v>185</v>
      </c>
      <c r="AF1" s="3" t="s">
        <v>186</v>
      </c>
      <c r="AG1" s="3" t="s">
        <v>187</v>
      </c>
      <c r="AH1" s="3" t="s">
        <v>188</v>
      </c>
      <c r="AI1" s="3" t="s">
        <v>189</v>
      </c>
      <c r="AJ1" s="1" t="s">
        <v>229</v>
      </c>
      <c r="AK1" s="1" t="s">
        <v>232</v>
      </c>
      <c r="AL1" s="1" t="s">
        <v>281</v>
      </c>
      <c r="AM1" s="1" t="s">
        <v>239</v>
      </c>
    </row>
    <row r="2" spans="1:39" x14ac:dyDescent="0.25">
      <c r="A2" s="7"/>
      <c r="B2" s="8"/>
      <c r="C2" s="7"/>
      <c r="D2" s="7"/>
      <c r="E2" s="9"/>
      <c r="F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12"/>
      <c r="W2" s="7"/>
      <c r="X2" s="7"/>
      <c r="Y2" s="7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2"/>
      <c r="AL2" s="2"/>
      <c r="AM2" s="2"/>
    </row>
    <row r="3" spans="1:39" x14ac:dyDescent="0.25">
      <c r="A3" t="s">
        <v>9</v>
      </c>
      <c r="B3" s="14">
        <v>46038.477662037039</v>
      </c>
      <c r="C3">
        <v>20003</v>
      </c>
      <c r="D3" t="s">
        <v>253</v>
      </c>
      <c r="E3">
        <v>4503239</v>
      </c>
      <c r="F3">
        <v>156315</v>
      </c>
      <c r="G3" t="s">
        <v>210</v>
      </c>
      <c r="H3" t="s">
        <v>252</v>
      </c>
      <c r="I3">
        <v>267</v>
      </c>
      <c r="J3">
        <v>267</v>
      </c>
      <c r="K3">
        <v>267</v>
      </c>
      <c r="L3">
        <v>267</v>
      </c>
      <c r="M3">
        <v>8</v>
      </c>
      <c r="N3">
        <v>8</v>
      </c>
      <c r="O3">
        <v>8</v>
      </c>
      <c r="P3">
        <v>8</v>
      </c>
      <c r="Q3">
        <v>8</v>
      </c>
      <c r="R3">
        <v>8</v>
      </c>
      <c r="S3">
        <v>8</v>
      </c>
      <c r="T3">
        <v>8</v>
      </c>
      <c r="U3" s="4">
        <v>1.25</v>
      </c>
      <c r="V3" t="b">
        <v>1</v>
      </c>
      <c r="X3" t="b">
        <v>0</v>
      </c>
      <c r="Z3" s="2">
        <v>2.17</v>
      </c>
      <c r="AA3" s="2">
        <v>267</v>
      </c>
      <c r="AB3" s="2">
        <v>267</v>
      </c>
      <c r="AC3" s="2">
        <v>267</v>
      </c>
      <c r="AD3" s="2">
        <v>8</v>
      </c>
      <c r="AE3" s="2">
        <v>8</v>
      </c>
      <c r="AF3" s="2">
        <v>8</v>
      </c>
      <c r="AG3" s="2">
        <v>0</v>
      </c>
      <c r="AH3" s="2">
        <v>0</v>
      </c>
      <c r="AI3" s="2">
        <v>0</v>
      </c>
      <c r="AJ3">
        <v>131.5</v>
      </c>
      <c r="AK3">
        <v>130</v>
      </c>
    </row>
    <row r="4" spans="1:39" x14ac:dyDescent="0.25">
      <c r="H4" t="s">
        <v>254</v>
      </c>
    </row>
    <row r="5" spans="1:39" x14ac:dyDescent="0.25">
      <c r="A5" t="s">
        <v>9</v>
      </c>
      <c r="B5" s="14">
        <v>46038.562638888892</v>
      </c>
      <c r="C5">
        <v>20003</v>
      </c>
      <c r="D5" t="s">
        <v>253</v>
      </c>
      <c r="E5">
        <v>4504081</v>
      </c>
      <c r="F5">
        <v>156315</v>
      </c>
      <c r="G5" t="s">
        <v>210</v>
      </c>
      <c r="H5" t="s">
        <v>255</v>
      </c>
      <c r="I5">
        <v>268</v>
      </c>
      <c r="J5">
        <v>267</v>
      </c>
      <c r="K5">
        <v>268</v>
      </c>
      <c r="L5">
        <v>265</v>
      </c>
      <c r="M5">
        <v>7</v>
      </c>
      <c r="N5">
        <v>8</v>
      </c>
      <c r="O5">
        <v>7</v>
      </c>
      <c r="P5">
        <v>8</v>
      </c>
      <c r="Q5">
        <v>8</v>
      </c>
      <c r="R5">
        <v>7</v>
      </c>
      <c r="S5">
        <v>9</v>
      </c>
      <c r="T5">
        <v>8</v>
      </c>
      <c r="U5" s="4">
        <v>1</v>
      </c>
      <c r="V5" t="b">
        <v>1</v>
      </c>
      <c r="X5" t="b">
        <v>0</v>
      </c>
      <c r="Z5" s="2">
        <v>2.17</v>
      </c>
      <c r="AA5" s="2">
        <v>267</v>
      </c>
      <c r="AB5" s="2">
        <v>268</v>
      </c>
      <c r="AC5" s="2">
        <v>265</v>
      </c>
      <c r="AD5" s="2">
        <v>7.75</v>
      </c>
      <c r="AE5" s="2">
        <v>9</v>
      </c>
      <c r="AF5" s="2">
        <v>7</v>
      </c>
      <c r="AG5" s="2">
        <v>2</v>
      </c>
      <c r="AH5" s="2">
        <v>3</v>
      </c>
      <c r="AI5" s="2">
        <v>0.5</v>
      </c>
      <c r="AJ5">
        <v>130</v>
      </c>
      <c r="AK5">
        <v>130</v>
      </c>
    </row>
    <row r="6" spans="1:39" x14ac:dyDescent="0.25">
      <c r="A6" t="s">
        <v>9</v>
      </c>
      <c r="B6" s="14">
        <v>46038.566770833335</v>
      </c>
      <c r="C6">
        <v>20003</v>
      </c>
      <c r="D6" t="s">
        <v>253</v>
      </c>
      <c r="E6">
        <v>4504082</v>
      </c>
      <c r="F6">
        <v>156315</v>
      </c>
      <c r="G6" t="s">
        <v>210</v>
      </c>
      <c r="H6" t="s">
        <v>256</v>
      </c>
      <c r="I6">
        <v>267</v>
      </c>
      <c r="J6">
        <v>268</v>
      </c>
      <c r="K6">
        <v>267</v>
      </c>
      <c r="L6">
        <v>266</v>
      </c>
      <c r="M6">
        <v>8</v>
      </c>
      <c r="N6">
        <v>7</v>
      </c>
      <c r="O6">
        <v>7</v>
      </c>
      <c r="P6">
        <v>8</v>
      </c>
      <c r="Q6">
        <v>6</v>
      </c>
      <c r="R6">
        <v>9</v>
      </c>
      <c r="S6">
        <v>7</v>
      </c>
      <c r="T6">
        <v>8</v>
      </c>
      <c r="U6" s="4">
        <v>1.3</v>
      </c>
      <c r="V6" t="b">
        <v>1</v>
      </c>
      <c r="X6" t="b">
        <v>0</v>
      </c>
      <c r="Z6" s="2">
        <v>2.17</v>
      </c>
      <c r="AA6" s="2">
        <v>267</v>
      </c>
      <c r="AB6" s="2">
        <v>268</v>
      </c>
      <c r="AC6" s="2">
        <v>266</v>
      </c>
      <c r="AD6" s="2">
        <v>7.5</v>
      </c>
      <c r="AE6" s="2">
        <v>9</v>
      </c>
      <c r="AF6" s="2">
        <v>6</v>
      </c>
      <c r="AG6" s="2">
        <v>3</v>
      </c>
      <c r="AH6" s="2">
        <v>1</v>
      </c>
      <c r="AI6" s="2">
        <v>0</v>
      </c>
      <c r="AJ6">
        <v>130</v>
      </c>
      <c r="AK6">
        <v>130</v>
      </c>
    </row>
    <row r="7" spans="1:39" x14ac:dyDescent="0.25">
      <c r="A7" t="s">
        <v>9</v>
      </c>
      <c r="B7" s="14">
        <v>46038.57984953704</v>
      </c>
      <c r="C7">
        <v>20003</v>
      </c>
      <c r="D7" t="s">
        <v>253</v>
      </c>
      <c r="E7">
        <v>4504083</v>
      </c>
      <c r="F7">
        <v>156315</v>
      </c>
      <c r="G7" t="s">
        <v>210</v>
      </c>
      <c r="H7" t="s">
        <v>257</v>
      </c>
      <c r="I7">
        <v>268</v>
      </c>
      <c r="J7">
        <v>269</v>
      </c>
      <c r="K7">
        <v>269</v>
      </c>
      <c r="L7">
        <v>268</v>
      </c>
      <c r="M7">
        <v>7</v>
      </c>
      <c r="N7">
        <v>7</v>
      </c>
      <c r="O7">
        <v>8</v>
      </c>
      <c r="P7">
        <v>7</v>
      </c>
      <c r="Q7">
        <v>8</v>
      </c>
      <c r="R7">
        <v>8</v>
      </c>
      <c r="S7">
        <v>9</v>
      </c>
      <c r="T7">
        <v>6</v>
      </c>
      <c r="U7" s="4">
        <v>2</v>
      </c>
      <c r="V7" t="b">
        <v>1</v>
      </c>
      <c r="X7" t="b">
        <v>0</v>
      </c>
      <c r="Z7" s="2">
        <v>2.17</v>
      </c>
      <c r="AA7" s="2">
        <v>268.5</v>
      </c>
      <c r="AB7" s="2">
        <v>269</v>
      </c>
      <c r="AC7" s="2">
        <v>268</v>
      </c>
      <c r="AD7" s="2">
        <v>7.5</v>
      </c>
      <c r="AE7" s="2">
        <v>9</v>
      </c>
      <c r="AF7" s="2">
        <v>6</v>
      </c>
      <c r="AG7" s="2">
        <v>3</v>
      </c>
      <c r="AH7" s="2">
        <v>1</v>
      </c>
      <c r="AI7" s="2">
        <v>0</v>
      </c>
      <c r="AJ7">
        <v>130</v>
      </c>
      <c r="AK7">
        <v>130</v>
      </c>
    </row>
    <row r="8" spans="1:39" x14ac:dyDescent="0.25">
      <c r="A8" t="s">
        <v>9</v>
      </c>
      <c r="B8" s="14">
        <v>46038.581435185188</v>
      </c>
      <c r="C8">
        <v>20003</v>
      </c>
      <c r="D8" t="s">
        <v>253</v>
      </c>
      <c r="E8">
        <v>4504084</v>
      </c>
      <c r="F8">
        <v>156315</v>
      </c>
      <c r="G8" t="s">
        <v>210</v>
      </c>
      <c r="H8" t="s">
        <v>258</v>
      </c>
      <c r="I8">
        <v>268</v>
      </c>
      <c r="J8">
        <v>267</v>
      </c>
      <c r="K8">
        <v>268</v>
      </c>
      <c r="L8">
        <v>266</v>
      </c>
      <c r="M8">
        <v>8</v>
      </c>
      <c r="N8">
        <v>7</v>
      </c>
      <c r="O8">
        <v>7</v>
      </c>
      <c r="P8">
        <v>8</v>
      </c>
      <c r="Q8">
        <v>8</v>
      </c>
      <c r="R8">
        <v>7</v>
      </c>
      <c r="S8">
        <v>8</v>
      </c>
      <c r="T8">
        <v>7</v>
      </c>
      <c r="U8" s="4">
        <v>2</v>
      </c>
      <c r="V8" t="b">
        <v>1</v>
      </c>
      <c r="X8" t="b">
        <v>0</v>
      </c>
      <c r="Z8" s="2">
        <v>2.17</v>
      </c>
      <c r="AA8" s="2">
        <v>267.25</v>
      </c>
      <c r="AB8" s="2">
        <v>268</v>
      </c>
      <c r="AC8" s="2">
        <v>266</v>
      </c>
      <c r="AD8" s="2">
        <v>7.5</v>
      </c>
      <c r="AE8" s="2">
        <v>8</v>
      </c>
      <c r="AF8" s="2">
        <v>7</v>
      </c>
      <c r="AG8" s="2">
        <v>1</v>
      </c>
      <c r="AH8" s="2">
        <v>2</v>
      </c>
      <c r="AI8" s="2">
        <v>0</v>
      </c>
      <c r="AJ8">
        <v>130</v>
      </c>
      <c r="AK8">
        <v>130</v>
      </c>
    </row>
    <row r="9" spans="1:39" x14ac:dyDescent="0.25">
      <c r="A9" t="s">
        <v>9</v>
      </c>
      <c r="B9" s="14">
        <v>46038.584988425922</v>
      </c>
      <c r="C9">
        <v>20003</v>
      </c>
      <c r="D9" t="s">
        <v>253</v>
      </c>
      <c r="E9">
        <v>4504085</v>
      </c>
      <c r="F9">
        <v>156315</v>
      </c>
      <c r="G9" t="s">
        <v>210</v>
      </c>
      <c r="H9" t="s">
        <v>259</v>
      </c>
      <c r="I9">
        <v>266</v>
      </c>
      <c r="J9">
        <v>268</v>
      </c>
      <c r="K9">
        <v>267</v>
      </c>
      <c r="L9">
        <v>268</v>
      </c>
      <c r="M9">
        <v>7</v>
      </c>
      <c r="N9">
        <v>8</v>
      </c>
      <c r="O9">
        <v>7</v>
      </c>
      <c r="P9">
        <v>9</v>
      </c>
      <c r="Q9">
        <v>8</v>
      </c>
      <c r="R9">
        <v>9</v>
      </c>
      <c r="S9">
        <v>8</v>
      </c>
      <c r="T9">
        <v>7</v>
      </c>
      <c r="U9" s="4">
        <v>1</v>
      </c>
      <c r="V9" t="b">
        <v>1</v>
      </c>
      <c r="X9" t="b">
        <v>0</v>
      </c>
      <c r="Z9" s="2">
        <v>2.17</v>
      </c>
      <c r="AA9" s="2">
        <v>267.25</v>
      </c>
      <c r="AB9" s="2">
        <v>268</v>
      </c>
      <c r="AC9" s="2">
        <v>266</v>
      </c>
      <c r="AD9" s="2">
        <v>7.875</v>
      </c>
      <c r="AE9" s="2">
        <v>9</v>
      </c>
      <c r="AF9" s="2">
        <v>7</v>
      </c>
      <c r="AG9" s="2">
        <v>2</v>
      </c>
      <c r="AH9" s="2">
        <v>2</v>
      </c>
      <c r="AI9" s="2">
        <v>0</v>
      </c>
      <c r="AJ9">
        <v>130</v>
      </c>
      <c r="AK9">
        <v>130</v>
      </c>
    </row>
    <row r="10" spans="1:39" x14ac:dyDescent="0.25">
      <c r="A10" t="s">
        <v>9</v>
      </c>
      <c r="B10" s="14">
        <v>46042.497256944444</v>
      </c>
      <c r="C10">
        <v>20003</v>
      </c>
      <c r="D10" t="s">
        <v>253</v>
      </c>
      <c r="E10">
        <v>4504086</v>
      </c>
      <c r="F10">
        <v>156315</v>
      </c>
      <c r="G10" t="s">
        <v>210</v>
      </c>
      <c r="H10" t="s">
        <v>260</v>
      </c>
      <c r="I10">
        <v>267</v>
      </c>
      <c r="J10">
        <v>268</v>
      </c>
      <c r="K10">
        <v>268</v>
      </c>
      <c r="L10">
        <v>267</v>
      </c>
      <c r="M10">
        <v>7</v>
      </c>
      <c r="N10">
        <v>8</v>
      </c>
      <c r="O10">
        <v>6</v>
      </c>
      <c r="P10">
        <v>9</v>
      </c>
      <c r="Q10">
        <v>8</v>
      </c>
      <c r="R10">
        <v>7</v>
      </c>
      <c r="S10">
        <v>8</v>
      </c>
      <c r="T10">
        <v>9</v>
      </c>
      <c r="U10" s="4">
        <v>1.23</v>
      </c>
      <c r="V10" t="b">
        <v>1</v>
      </c>
      <c r="X10" t="b">
        <v>0</v>
      </c>
      <c r="Z10" s="2">
        <v>2.17</v>
      </c>
      <c r="AA10" s="2">
        <v>267.5</v>
      </c>
      <c r="AB10" s="2">
        <v>268</v>
      </c>
      <c r="AC10" s="2">
        <v>267</v>
      </c>
      <c r="AD10" s="2">
        <v>7.75</v>
      </c>
      <c r="AE10" s="2">
        <v>9</v>
      </c>
      <c r="AF10" s="2">
        <v>6</v>
      </c>
      <c r="AG10" s="2">
        <v>3</v>
      </c>
      <c r="AH10" s="2">
        <v>1</v>
      </c>
      <c r="AI10" s="2">
        <v>0.5</v>
      </c>
      <c r="AJ10">
        <v>140</v>
      </c>
      <c r="AK10">
        <v>130</v>
      </c>
    </row>
    <row r="11" spans="1:39" x14ac:dyDescent="0.25">
      <c r="A11" t="s">
        <v>9</v>
      </c>
      <c r="B11" s="14">
        <v>46042.503877314812</v>
      </c>
      <c r="C11">
        <v>20003</v>
      </c>
      <c r="D11" t="s">
        <v>253</v>
      </c>
      <c r="E11">
        <v>4504087</v>
      </c>
      <c r="F11">
        <v>156315</v>
      </c>
      <c r="G11" t="s">
        <v>210</v>
      </c>
      <c r="H11" t="s">
        <v>261</v>
      </c>
      <c r="I11">
        <v>267</v>
      </c>
      <c r="J11">
        <v>267</v>
      </c>
      <c r="K11">
        <v>267</v>
      </c>
      <c r="L11">
        <v>267</v>
      </c>
      <c r="M11">
        <v>8</v>
      </c>
      <c r="N11">
        <v>9</v>
      </c>
      <c r="O11">
        <v>9</v>
      </c>
      <c r="P11">
        <v>7</v>
      </c>
      <c r="Q11">
        <v>7</v>
      </c>
      <c r="R11">
        <v>9</v>
      </c>
      <c r="S11">
        <v>9</v>
      </c>
      <c r="T11">
        <v>7</v>
      </c>
      <c r="U11" s="4">
        <v>1.23</v>
      </c>
      <c r="V11" t="b">
        <v>1</v>
      </c>
      <c r="X11" t="b">
        <v>0</v>
      </c>
      <c r="Z11" s="2">
        <v>2.17</v>
      </c>
      <c r="AA11" s="2">
        <v>267</v>
      </c>
      <c r="AB11" s="2">
        <v>267</v>
      </c>
      <c r="AC11" s="2">
        <v>267</v>
      </c>
      <c r="AD11" s="2">
        <v>8.125</v>
      </c>
      <c r="AE11" s="2">
        <v>9</v>
      </c>
      <c r="AF11" s="2">
        <v>7</v>
      </c>
      <c r="AG11" s="2">
        <v>2</v>
      </c>
      <c r="AH11" s="2">
        <v>0</v>
      </c>
      <c r="AI11" s="2">
        <v>0</v>
      </c>
      <c r="AJ11">
        <v>140</v>
      </c>
      <c r="AK11">
        <v>130</v>
      </c>
    </row>
    <row r="12" spans="1:39" x14ac:dyDescent="0.25">
      <c r="A12" t="s">
        <v>9</v>
      </c>
      <c r="B12" s="14">
        <v>46051.424467592595</v>
      </c>
      <c r="C12">
        <v>20004</v>
      </c>
      <c r="D12" t="s">
        <v>253</v>
      </c>
      <c r="E12">
        <v>4505219</v>
      </c>
      <c r="F12">
        <v>2304755</v>
      </c>
      <c r="G12" t="s">
        <v>263</v>
      </c>
      <c r="H12" t="s">
        <v>264</v>
      </c>
      <c r="I12">
        <v>267</v>
      </c>
      <c r="J12">
        <v>266</v>
      </c>
      <c r="K12">
        <v>268</v>
      </c>
      <c r="L12">
        <v>268</v>
      </c>
      <c r="M12">
        <v>8</v>
      </c>
      <c r="N12">
        <v>7</v>
      </c>
      <c r="O12">
        <v>6</v>
      </c>
      <c r="P12">
        <v>9</v>
      </c>
      <c r="Q12">
        <v>8</v>
      </c>
      <c r="R12">
        <v>7</v>
      </c>
      <c r="S12">
        <v>9</v>
      </c>
      <c r="T12">
        <v>9</v>
      </c>
      <c r="U12" s="4">
        <v>1.23</v>
      </c>
      <c r="V12" t="b">
        <v>1</v>
      </c>
      <c r="X12" t="b">
        <v>0</v>
      </c>
      <c r="Z12" s="2">
        <v>2.17</v>
      </c>
      <c r="AA12" s="2">
        <v>267.25</v>
      </c>
      <c r="AB12" s="2">
        <v>268</v>
      </c>
      <c r="AC12" s="2">
        <v>266</v>
      </c>
      <c r="AD12" s="2">
        <v>7.875</v>
      </c>
      <c r="AE12" s="2">
        <v>9</v>
      </c>
      <c r="AF12" s="2">
        <v>6</v>
      </c>
      <c r="AG12" s="2">
        <v>3</v>
      </c>
      <c r="AH12" s="2">
        <v>1</v>
      </c>
      <c r="AI12" s="2">
        <v>0.5</v>
      </c>
      <c r="AJ12">
        <v>129.91999999999999</v>
      </c>
      <c r="AK12">
        <v>129.9212598425197</v>
      </c>
    </row>
    <row r="13" spans="1:39" x14ac:dyDescent="0.25">
      <c r="A13" t="s">
        <v>9</v>
      </c>
      <c r="B13" s="14">
        <v>46051.424467592595</v>
      </c>
      <c r="C13">
        <v>20004</v>
      </c>
      <c r="D13" t="s">
        <v>253</v>
      </c>
      <c r="E13">
        <v>4505220</v>
      </c>
      <c r="F13">
        <v>2304755</v>
      </c>
      <c r="G13" t="s">
        <v>263</v>
      </c>
      <c r="H13" t="s">
        <v>265</v>
      </c>
      <c r="I13">
        <v>267</v>
      </c>
      <c r="J13">
        <v>266</v>
      </c>
      <c r="K13">
        <v>268</v>
      </c>
      <c r="L13">
        <v>268</v>
      </c>
      <c r="M13">
        <v>8</v>
      </c>
      <c r="N13">
        <v>7</v>
      </c>
      <c r="O13">
        <v>6</v>
      </c>
      <c r="P13">
        <v>9</v>
      </c>
      <c r="Q13">
        <v>8</v>
      </c>
      <c r="R13">
        <v>7</v>
      </c>
      <c r="S13">
        <v>9</v>
      </c>
      <c r="T13">
        <v>9</v>
      </c>
      <c r="U13" s="4">
        <v>1.23</v>
      </c>
      <c r="V13" t="b">
        <v>1</v>
      </c>
      <c r="X13" t="b">
        <v>0</v>
      </c>
      <c r="Z13" s="2">
        <v>2.17</v>
      </c>
      <c r="AA13" s="2">
        <v>267.25</v>
      </c>
      <c r="AB13" s="2">
        <v>268</v>
      </c>
      <c r="AC13" s="2">
        <v>266</v>
      </c>
      <c r="AD13" s="2">
        <v>7.875</v>
      </c>
      <c r="AE13" s="2">
        <v>9</v>
      </c>
      <c r="AF13" s="2">
        <v>6</v>
      </c>
      <c r="AG13" s="2">
        <v>3</v>
      </c>
      <c r="AH13" s="2">
        <v>1</v>
      </c>
      <c r="AI13" s="2">
        <v>0.5</v>
      </c>
      <c r="AJ13">
        <v>129.91999999999999</v>
      </c>
      <c r="AK13">
        <v>129.9212598425197</v>
      </c>
    </row>
    <row r="14" spans="1:39" x14ac:dyDescent="0.25">
      <c r="A14" t="s">
        <v>9</v>
      </c>
      <c r="B14" s="14">
        <v>46051.424467592595</v>
      </c>
      <c r="C14">
        <v>20004</v>
      </c>
      <c r="D14" t="s">
        <v>253</v>
      </c>
      <c r="E14">
        <v>4505221</v>
      </c>
      <c r="F14">
        <v>2304755</v>
      </c>
      <c r="G14" t="s">
        <v>263</v>
      </c>
      <c r="H14" t="s">
        <v>266</v>
      </c>
      <c r="I14">
        <v>267</v>
      </c>
      <c r="J14">
        <v>266</v>
      </c>
      <c r="K14">
        <v>268</v>
      </c>
      <c r="L14">
        <v>268</v>
      </c>
      <c r="M14">
        <v>8</v>
      </c>
      <c r="N14">
        <v>7</v>
      </c>
      <c r="O14">
        <v>6</v>
      </c>
      <c r="P14">
        <v>9</v>
      </c>
      <c r="Q14">
        <v>8</v>
      </c>
      <c r="R14">
        <v>7</v>
      </c>
      <c r="S14">
        <v>9</v>
      </c>
      <c r="T14">
        <v>9</v>
      </c>
      <c r="U14" s="4">
        <v>1.23</v>
      </c>
      <c r="V14" t="b">
        <v>1</v>
      </c>
      <c r="X14" t="b">
        <v>0</v>
      </c>
      <c r="Z14" s="2">
        <v>2.17</v>
      </c>
      <c r="AA14" s="2">
        <v>267.25</v>
      </c>
      <c r="AB14" s="2">
        <v>268</v>
      </c>
      <c r="AC14" s="2">
        <v>266</v>
      </c>
      <c r="AD14" s="2">
        <v>7.875</v>
      </c>
      <c r="AE14" s="2">
        <v>9</v>
      </c>
      <c r="AF14" s="2">
        <v>6</v>
      </c>
      <c r="AG14" s="2">
        <v>3</v>
      </c>
      <c r="AH14" s="2">
        <v>1</v>
      </c>
      <c r="AI14" s="2">
        <v>0.5</v>
      </c>
      <c r="AJ14">
        <v>129.91999999999999</v>
      </c>
      <c r="AK14">
        <v>129.9212598425197</v>
      </c>
    </row>
    <row r="15" spans="1:39" x14ac:dyDescent="0.25">
      <c r="A15" t="s">
        <v>9</v>
      </c>
      <c r="B15" s="14">
        <v>46051.424467592595</v>
      </c>
      <c r="C15">
        <v>20004</v>
      </c>
      <c r="D15" t="s">
        <v>253</v>
      </c>
      <c r="E15">
        <v>4505222</v>
      </c>
      <c r="F15">
        <v>2304755</v>
      </c>
      <c r="G15" t="s">
        <v>263</v>
      </c>
      <c r="H15" t="s">
        <v>267</v>
      </c>
      <c r="I15">
        <v>267</v>
      </c>
      <c r="J15">
        <v>266</v>
      </c>
      <c r="K15">
        <v>268</v>
      </c>
      <c r="L15">
        <v>268</v>
      </c>
      <c r="M15">
        <v>8</v>
      </c>
      <c r="N15">
        <v>7</v>
      </c>
      <c r="O15">
        <v>6</v>
      </c>
      <c r="P15">
        <v>9</v>
      </c>
      <c r="Q15">
        <v>8</v>
      </c>
      <c r="R15">
        <v>7</v>
      </c>
      <c r="S15">
        <v>9</v>
      </c>
      <c r="T15">
        <v>9</v>
      </c>
      <c r="U15" s="4">
        <v>1.23</v>
      </c>
      <c r="V15" t="b">
        <v>1</v>
      </c>
      <c r="X15" t="b">
        <v>0</v>
      </c>
      <c r="Z15" s="2">
        <v>2.17</v>
      </c>
      <c r="AA15" s="2">
        <v>267.25</v>
      </c>
      <c r="AB15" s="2">
        <v>268</v>
      </c>
      <c r="AC15" s="2">
        <v>266</v>
      </c>
      <c r="AD15" s="2">
        <v>7.875</v>
      </c>
      <c r="AE15" s="2">
        <v>9</v>
      </c>
      <c r="AF15" s="2">
        <v>6</v>
      </c>
      <c r="AG15" s="2">
        <v>3</v>
      </c>
      <c r="AH15" s="2">
        <v>1</v>
      </c>
      <c r="AI15" s="2">
        <v>0.5</v>
      </c>
      <c r="AJ15">
        <v>129.91999999999999</v>
      </c>
      <c r="AK15">
        <v>129.9212598425197</v>
      </c>
    </row>
    <row r="16" spans="1:39" x14ac:dyDescent="0.25">
      <c r="A16" t="s">
        <v>9</v>
      </c>
      <c r="B16" s="14">
        <v>46051.424467592595</v>
      </c>
      <c r="C16">
        <v>20004</v>
      </c>
      <c r="D16" t="s">
        <v>253</v>
      </c>
      <c r="E16">
        <v>4505223</v>
      </c>
      <c r="F16">
        <v>2304755</v>
      </c>
      <c r="G16" t="s">
        <v>263</v>
      </c>
      <c r="H16" t="s">
        <v>268</v>
      </c>
      <c r="I16">
        <v>267</v>
      </c>
      <c r="J16">
        <v>266</v>
      </c>
      <c r="K16">
        <v>268</v>
      </c>
      <c r="L16">
        <v>268</v>
      </c>
      <c r="M16">
        <v>8</v>
      </c>
      <c r="N16">
        <v>7</v>
      </c>
      <c r="O16">
        <v>6</v>
      </c>
      <c r="P16">
        <v>9</v>
      </c>
      <c r="Q16">
        <v>8</v>
      </c>
      <c r="R16">
        <v>7</v>
      </c>
      <c r="S16">
        <v>9</v>
      </c>
      <c r="T16">
        <v>9</v>
      </c>
      <c r="U16" s="4">
        <v>1.23</v>
      </c>
      <c r="V16" t="b">
        <v>1</v>
      </c>
      <c r="X16" t="b">
        <v>0</v>
      </c>
      <c r="Z16" s="2">
        <v>2.17</v>
      </c>
      <c r="AA16" s="2">
        <v>267.25</v>
      </c>
      <c r="AB16" s="2">
        <v>268</v>
      </c>
      <c r="AC16" s="2">
        <v>266</v>
      </c>
      <c r="AD16" s="2">
        <v>7.875</v>
      </c>
      <c r="AE16" s="2">
        <v>9</v>
      </c>
      <c r="AF16" s="2">
        <v>6</v>
      </c>
      <c r="AG16" s="2">
        <v>3</v>
      </c>
      <c r="AH16" s="2">
        <v>1</v>
      </c>
      <c r="AI16" s="2">
        <v>0.5</v>
      </c>
      <c r="AJ16">
        <v>129.91999999999999</v>
      </c>
      <c r="AK16">
        <v>129.9212598425197</v>
      </c>
    </row>
    <row r="17" spans="1:38" x14ac:dyDescent="0.25">
      <c r="A17" t="s">
        <v>9</v>
      </c>
      <c r="B17" s="14">
        <v>46051.424467592595</v>
      </c>
      <c r="C17">
        <v>20004</v>
      </c>
      <c r="D17" t="s">
        <v>253</v>
      </c>
      <c r="E17">
        <v>4505224</v>
      </c>
      <c r="F17">
        <v>2304755</v>
      </c>
      <c r="G17" t="s">
        <v>263</v>
      </c>
      <c r="H17" t="s">
        <v>269</v>
      </c>
      <c r="I17">
        <v>267</v>
      </c>
      <c r="J17">
        <v>266</v>
      </c>
      <c r="K17">
        <v>268</v>
      </c>
      <c r="L17">
        <v>268</v>
      </c>
      <c r="M17">
        <v>8</v>
      </c>
      <c r="N17">
        <v>7</v>
      </c>
      <c r="O17">
        <v>6</v>
      </c>
      <c r="P17">
        <v>9</v>
      </c>
      <c r="Q17">
        <v>8</v>
      </c>
      <c r="R17">
        <v>7</v>
      </c>
      <c r="S17">
        <v>9</v>
      </c>
      <c r="T17">
        <v>9</v>
      </c>
      <c r="U17" s="4">
        <v>1.23</v>
      </c>
      <c r="V17" t="b">
        <v>1</v>
      </c>
      <c r="X17" t="b">
        <v>0</v>
      </c>
      <c r="Z17" s="2">
        <v>2.17</v>
      </c>
      <c r="AA17" s="2">
        <v>267.25</v>
      </c>
      <c r="AB17" s="2">
        <v>268</v>
      </c>
      <c r="AC17" s="2">
        <v>266</v>
      </c>
      <c r="AD17" s="2">
        <v>7.875</v>
      </c>
      <c r="AE17" s="2">
        <v>9</v>
      </c>
      <c r="AF17" s="2">
        <v>6</v>
      </c>
      <c r="AG17" s="2">
        <v>3</v>
      </c>
      <c r="AH17" s="2">
        <v>1</v>
      </c>
      <c r="AI17" s="2">
        <v>0.5</v>
      </c>
      <c r="AJ17">
        <v>129.91999999999999</v>
      </c>
      <c r="AK17">
        <v>129.9212598425197</v>
      </c>
    </row>
    <row r="18" spans="1:38" x14ac:dyDescent="0.25">
      <c r="A18" t="s">
        <v>9</v>
      </c>
      <c r="B18" s="14">
        <v>46051.424467592595</v>
      </c>
      <c r="C18">
        <v>20004</v>
      </c>
      <c r="D18" t="s">
        <v>253</v>
      </c>
      <c r="E18">
        <v>4505225</v>
      </c>
      <c r="F18">
        <v>2304755</v>
      </c>
      <c r="G18" t="s">
        <v>263</v>
      </c>
      <c r="H18" t="s">
        <v>270</v>
      </c>
      <c r="I18">
        <v>267</v>
      </c>
      <c r="J18">
        <v>266</v>
      </c>
      <c r="K18">
        <v>268</v>
      </c>
      <c r="L18">
        <v>268</v>
      </c>
      <c r="M18">
        <v>8</v>
      </c>
      <c r="N18">
        <v>7</v>
      </c>
      <c r="O18">
        <v>6</v>
      </c>
      <c r="P18">
        <v>9</v>
      </c>
      <c r="Q18">
        <v>8</v>
      </c>
      <c r="R18">
        <v>7</v>
      </c>
      <c r="S18">
        <v>9</v>
      </c>
      <c r="T18">
        <v>9</v>
      </c>
      <c r="U18" s="4">
        <v>1.23</v>
      </c>
      <c r="V18" t="b">
        <v>1</v>
      </c>
      <c r="X18" t="b">
        <v>0</v>
      </c>
      <c r="Z18" s="2">
        <v>2.17</v>
      </c>
      <c r="AA18" s="2">
        <v>267.25</v>
      </c>
      <c r="AB18" s="2">
        <v>268</v>
      </c>
      <c r="AC18" s="2">
        <v>266</v>
      </c>
      <c r="AD18" s="2">
        <v>7.875</v>
      </c>
      <c r="AE18" s="2">
        <v>9</v>
      </c>
      <c r="AF18" s="2">
        <v>6</v>
      </c>
      <c r="AG18" s="2">
        <v>3</v>
      </c>
      <c r="AH18" s="2">
        <v>1</v>
      </c>
      <c r="AI18" s="2">
        <v>0.5</v>
      </c>
      <c r="AJ18">
        <v>129.91999999999999</v>
      </c>
      <c r="AK18">
        <v>129.9212598425197</v>
      </c>
    </row>
    <row r="19" spans="1:38" x14ac:dyDescent="0.25">
      <c r="A19" t="s">
        <v>9</v>
      </c>
      <c r="B19" s="14">
        <v>46051.424467592595</v>
      </c>
      <c r="C19">
        <v>20004</v>
      </c>
      <c r="D19" t="s">
        <v>253</v>
      </c>
      <c r="E19">
        <v>4505226</v>
      </c>
      <c r="F19">
        <v>2304755</v>
      </c>
      <c r="G19" t="s">
        <v>263</v>
      </c>
      <c r="H19" t="s">
        <v>271</v>
      </c>
      <c r="I19">
        <v>267</v>
      </c>
      <c r="J19">
        <v>266</v>
      </c>
      <c r="K19">
        <v>268</v>
      </c>
      <c r="L19">
        <v>268</v>
      </c>
      <c r="M19">
        <v>8</v>
      </c>
      <c r="N19">
        <v>7</v>
      </c>
      <c r="O19">
        <v>6</v>
      </c>
      <c r="P19">
        <v>9</v>
      </c>
      <c r="Q19">
        <v>8</v>
      </c>
      <c r="R19">
        <v>7</v>
      </c>
      <c r="S19">
        <v>9</v>
      </c>
      <c r="T19">
        <v>9</v>
      </c>
      <c r="U19" s="4">
        <v>1.23</v>
      </c>
      <c r="V19" t="b">
        <v>1</v>
      </c>
      <c r="X19" t="b">
        <v>0</v>
      </c>
      <c r="Z19" s="2">
        <v>2.17</v>
      </c>
      <c r="AA19" s="2">
        <v>267.25</v>
      </c>
      <c r="AB19" s="2">
        <v>268</v>
      </c>
      <c r="AC19" s="2">
        <v>266</v>
      </c>
      <c r="AD19" s="2">
        <v>7.875</v>
      </c>
      <c r="AE19" s="2">
        <v>9</v>
      </c>
      <c r="AF19" s="2">
        <v>6</v>
      </c>
      <c r="AG19" s="2">
        <v>3</v>
      </c>
      <c r="AH19" s="2">
        <v>0.5</v>
      </c>
      <c r="AI19" s="2">
        <v>0.8</v>
      </c>
      <c r="AJ19">
        <v>131</v>
      </c>
      <c r="AK19">
        <v>129.9212598425197</v>
      </c>
    </row>
    <row r="20" spans="1:38" x14ac:dyDescent="0.25">
      <c r="A20" t="s">
        <v>9</v>
      </c>
      <c r="B20" s="14">
        <v>46051.424467592595</v>
      </c>
      <c r="C20">
        <v>20005</v>
      </c>
      <c r="D20" t="s">
        <v>253</v>
      </c>
      <c r="E20">
        <v>4505227</v>
      </c>
      <c r="F20">
        <v>2304755</v>
      </c>
      <c r="G20" t="s">
        <v>263</v>
      </c>
      <c r="H20" t="s">
        <v>272</v>
      </c>
      <c r="I20">
        <v>267</v>
      </c>
      <c r="J20">
        <v>266</v>
      </c>
      <c r="K20">
        <v>268</v>
      </c>
      <c r="L20">
        <v>268</v>
      </c>
      <c r="M20">
        <v>8</v>
      </c>
      <c r="N20">
        <v>7</v>
      </c>
      <c r="O20">
        <v>6</v>
      </c>
      <c r="P20">
        <v>9</v>
      </c>
      <c r="Q20">
        <v>8</v>
      </c>
      <c r="R20">
        <v>7</v>
      </c>
      <c r="S20">
        <v>9</v>
      </c>
      <c r="T20">
        <v>9</v>
      </c>
      <c r="U20" s="4">
        <v>1.23</v>
      </c>
      <c r="V20" t="b">
        <v>1</v>
      </c>
      <c r="X20" t="b">
        <v>0</v>
      </c>
      <c r="Z20" s="2">
        <v>2.17</v>
      </c>
      <c r="AA20" s="2">
        <v>267.25</v>
      </c>
      <c r="AB20" s="2">
        <v>268</v>
      </c>
      <c r="AC20" s="2">
        <v>266</v>
      </c>
      <c r="AD20" s="2">
        <v>7.875</v>
      </c>
      <c r="AE20" s="2">
        <v>9</v>
      </c>
      <c r="AF20" s="2">
        <v>6</v>
      </c>
      <c r="AG20" s="2">
        <v>3</v>
      </c>
      <c r="AH20" s="2">
        <v>0.5</v>
      </c>
      <c r="AI20" s="2">
        <v>0.8</v>
      </c>
      <c r="AJ20">
        <v>131</v>
      </c>
      <c r="AK20">
        <v>129.9212598425197</v>
      </c>
    </row>
    <row r="21" spans="1:38" x14ac:dyDescent="0.25">
      <c r="A21" t="s">
        <v>9</v>
      </c>
      <c r="B21" s="14">
        <v>46051.424467592595</v>
      </c>
      <c r="C21">
        <v>20005</v>
      </c>
      <c r="D21" t="s">
        <v>253</v>
      </c>
      <c r="E21">
        <v>4505228</v>
      </c>
      <c r="F21">
        <v>2304755</v>
      </c>
      <c r="G21" t="s">
        <v>263</v>
      </c>
      <c r="H21" t="s">
        <v>273</v>
      </c>
      <c r="I21">
        <v>267</v>
      </c>
      <c r="J21">
        <v>266</v>
      </c>
      <c r="K21">
        <v>268</v>
      </c>
      <c r="L21">
        <v>268</v>
      </c>
      <c r="M21">
        <v>8</v>
      </c>
      <c r="N21">
        <v>7</v>
      </c>
      <c r="O21">
        <v>6</v>
      </c>
      <c r="P21">
        <v>9</v>
      </c>
      <c r="Q21">
        <v>8</v>
      </c>
      <c r="R21">
        <v>7</v>
      </c>
      <c r="S21">
        <v>9</v>
      </c>
      <c r="T21">
        <v>9</v>
      </c>
      <c r="U21" s="4">
        <v>1.23</v>
      </c>
      <c r="V21" t="b">
        <v>1</v>
      </c>
      <c r="X21" t="b">
        <v>0</v>
      </c>
      <c r="Z21" s="2">
        <v>2.17</v>
      </c>
      <c r="AA21" s="2">
        <v>267.25</v>
      </c>
      <c r="AB21" s="2">
        <v>268</v>
      </c>
      <c r="AC21" s="2">
        <v>266</v>
      </c>
      <c r="AD21" s="2">
        <v>7.875</v>
      </c>
      <c r="AE21" s="2">
        <v>9</v>
      </c>
      <c r="AF21" s="2">
        <v>6</v>
      </c>
      <c r="AG21" s="2">
        <v>3</v>
      </c>
      <c r="AH21" s="2">
        <v>0.5</v>
      </c>
      <c r="AI21" s="2">
        <v>0.8</v>
      </c>
      <c r="AJ21">
        <v>131</v>
      </c>
      <c r="AK21">
        <v>129.9212598425197</v>
      </c>
    </row>
    <row r="22" spans="1:38" x14ac:dyDescent="0.25">
      <c r="A22" t="s">
        <v>9</v>
      </c>
      <c r="B22" s="14">
        <v>46051.424467592595</v>
      </c>
      <c r="C22">
        <v>20005</v>
      </c>
      <c r="D22" t="s">
        <v>253</v>
      </c>
      <c r="E22">
        <v>4505229</v>
      </c>
      <c r="F22">
        <v>2304755</v>
      </c>
      <c r="G22" t="s">
        <v>263</v>
      </c>
      <c r="H22" t="s">
        <v>274</v>
      </c>
      <c r="I22">
        <v>267</v>
      </c>
      <c r="J22">
        <v>266</v>
      </c>
      <c r="K22">
        <v>268</v>
      </c>
      <c r="L22">
        <v>268</v>
      </c>
      <c r="M22">
        <v>8</v>
      </c>
      <c r="N22">
        <v>7</v>
      </c>
      <c r="O22">
        <v>6</v>
      </c>
      <c r="P22">
        <v>9</v>
      </c>
      <c r="Q22">
        <v>8</v>
      </c>
      <c r="R22">
        <v>7</v>
      </c>
      <c r="S22">
        <v>9</v>
      </c>
      <c r="T22">
        <v>9</v>
      </c>
      <c r="U22" s="4">
        <v>1.23</v>
      </c>
      <c r="V22" t="b">
        <v>1</v>
      </c>
      <c r="X22" t="b">
        <v>0</v>
      </c>
      <c r="Z22" s="2">
        <v>2.17</v>
      </c>
      <c r="AA22" s="2">
        <v>267.25</v>
      </c>
      <c r="AB22" s="2">
        <v>268</v>
      </c>
      <c r="AC22" s="2">
        <v>266</v>
      </c>
      <c r="AD22" s="2">
        <v>7.875</v>
      </c>
      <c r="AE22" s="2">
        <v>9</v>
      </c>
      <c r="AF22" s="2">
        <v>6</v>
      </c>
      <c r="AG22" s="2">
        <v>3</v>
      </c>
      <c r="AH22" s="2">
        <v>0.5</v>
      </c>
      <c r="AI22" s="2">
        <v>0.8</v>
      </c>
      <c r="AJ22">
        <v>131</v>
      </c>
      <c r="AK22">
        <v>129.9212598425197</v>
      </c>
    </row>
    <row r="23" spans="1:38" x14ac:dyDescent="0.25">
      <c r="A23" t="s">
        <v>9</v>
      </c>
      <c r="B23" s="14">
        <v>46051.424467592595</v>
      </c>
      <c r="C23">
        <v>20005</v>
      </c>
      <c r="D23" t="s">
        <v>253</v>
      </c>
      <c r="E23">
        <v>4505230</v>
      </c>
      <c r="F23">
        <v>2304755</v>
      </c>
      <c r="G23" t="s">
        <v>263</v>
      </c>
      <c r="H23" t="s">
        <v>275</v>
      </c>
      <c r="I23">
        <v>267</v>
      </c>
      <c r="J23">
        <v>266</v>
      </c>
      <c r="K23">
        <v>268</v>
      </c>
      <c r="L23">
        <v>268</v>
      </c>
      <c r="M23">
        <v>8</v>
      </c>
      <c r="N23">
        <v>7</v>
      </c>
      <c r="O23">
        <v>6</v>
      </c>
      <c r="P23">
        <v>9</v>
      </c>
      <c r="Q23">
        <v>8</v>
      </c>
      <c r="R23">
        <v>7</v>
      </c>
      <c r="S23">
        <v>9</v>
      </c>
      <c r="T23">
        <v>9</v>
      </c>
      <c r="U23" s="4">
        <v>1.23</v>
      </c>
      <c r="V23" t="b">
        <v>1</v>
      </c>
      <c r="X23" t="b">
        <v>0</v>
      </c>
      <c r="Z23" s="2">
        <v>2.17</v>
      </c>
      <c r="AA23" s="2">
        <v>267.25</v>
      </c>
      <c r="AB23" s="2">
        <v>268</v>
      </c>
      <c r="AC23" s="2">
        <v>266</v>
      </c>
      <c r="AD23" s="2">
        <v>7.875</v>
      </c>
      <c r="AE23" s="2">
        <v>9</v>
      </c>
      <c r="AF23" s="2">
        <v>6</v>
      </c>
      <c r="AG23" s="2">
        <v>3</v>
      </c>
      <c r="AH23" s="2">
        <v>0.5</v>
      </c>
      <c r="AI23" s="2">
        <v>0.8</v>
      </c>
      <c r="AJ23">
        <v>131</v>
      </c>
      <c r="AK23">
        <v>129.9212598425197</v>
      </c>
    </row>
    <row r="24" spans="1:38" x14ac:dyDescent="0.25">
      <c r="A24" t="s">
        <v>9</v>
      </c>
      <c r="B24" s="14">
        <v>46051.424467592595</v>
      </c>
      <c r="C24">
        <v>20005</v>
      </c>
      <c r="D24" t="s">
        <v>253</v>
      </c>
      <c r="E24">
        <v>4505231</v>
      </c>
      <c r="F24">
        <v>2304755</v>
      </c>
      <c r="G24" t="s">
        <v>263</v>
      </c>
      <c r="H24" t="s">
        <v>276</v>
      </c>
      <c r="I24">
        <v>267</v>
      </c>
      <c r="J24">
        <v>266</v>
      </c>
      <c r="K24">
        <v>268</v>
      </c>
      <c r="L24">
        <v>268</v>
      </c>
      <c r="M24">
        <v>8</v>
      </c>
      <c r="N24">
        <v>7</v>
      </c>
      <c r="O24">
        <v>6</v>
      </c>
      <c r="P24">
        <v>9</v>
      </c>
      <c r="Q24">
        <v>8</v>
      </c>
      <c r="R24">
        <v>7</v>
      </c>
      <c r="S24">
        <v>9</v>
      </c>
      <c r="T24">
        <v>9</v>
      </c>
      <c r="U24" s="4">
        <v>1.23</v>
      </c>
      <c r="V24" t="b">
        <v>1</v>
      </c>
      <c r="X24" t="b">
        <v>0</v>
      </c>
      <c r="Z24" s="2">
        <v>2.17</v>
      </c>
      <c r="AA24" s="2">
        <v>267.25</v>
      </c>
      <c r="AB24" s="2">
        <v>268</v>
      </c>
      <c r="AC24" s="2">
        <v>266</v>
      </c>
      <c r="AD24" s="2">
        <v>7.875</v>
      </c>
      <c r="AE24" s="2">
        <v>9</v>
      </c>
      <c r="AF24" s="2">
        <v>6</v>
      </c>
      <c r="AG24" s="2">
        <v>3</v>
      </c>
      <c r="AH24" s="2">
        <v>0.5</v>
      </c>
      <c r="AI24" s="2">
        <v>0.8</v>
      </c>
      <c r="AJ24">
        <v>131</v>
      </c>
      <c r="AK24">
        <v>129.9212598425197</v>
      </c>
    </row>
    <row r="25" spans="1:38" x14ac:dyDescent="0.25">
      <c r="A25" t="s">
        <v>9</v>
      </c>
      <c r="B25" s="14">
        <v>46051.424467592595</v>
      </c>
      <c r="C25">
        <v>20005</v>
      </c>
      <c r="D25" t="s">
        <v>253</v>
      </c>
      <c r="E25">
        <v>4505232</v>
      </c>
      <c r="F25">
        <v>2304755</v>
      </c>
      <c r="G25" t="s">
        <v>263</v>
      </c>
      <c r="H25" t="s">
        <v>277</v>
      </c>
      <c r="I25">
        <v>267</v>
      </c>
      <c r="J25">
        <v>266</v>
      </c>
      <c r="K25">
        <v>268</v>
      </c>
      <c r="L25">
        <v>268</v>
      </c>
      <c r="M25">
        <v>8</v>
      </c>
      <c r="N25">
        <v>7</v>
      </c>
      <c r="O25">
        <v>6</v>
      </c>
      <c r="P25">
        <v>9</v>
      </c>
      <c r="Q25">
        <v>8</v>
      </c>
      <c r="R25">
        <v>7</v>
      </c>
      <c r="S25">
        <v>9</v>
      </c>
      <c r="T25">
        <v>9</v>
      </c>
      <c r="U25" s="4">
        <v>1.23</v>
      </c>
      <c r="V25" t="b">
        <v>1</v>
      </c>
      <c r="X25" t="b">
        <v>0</v>
      </c>
      <c r="Z25" s="2">
        <v>2.17</v>
      </c>
      <c r="AA25" s="2">
        <v>267.25</v>
      </c>
      <c r="AB25" s="2">
        <v>268</v>
      </c>
      <c r="AC25" s="2">
        <v>266</v>
      </c>
      <c r="AD25" s="2">
        <v>7.875</v>
      </c>
      <c r="AE25" s="2">
        <v>9</v>
      </c>
      <c r="AF25" s="2">
        <v>6</v>
      </c>
      <c r="AG25" s="2">
        <v>3</v>
      </c>
      <c r="AH25" s="2">
        <v>0.5</v>
      </c>
      <c r="AI25" s="2">
        <v>0.8</v>
      </c>
      <c r="AJ25">
        <v>131</v>
      </c>
      <c r="AK25">
        <v>129.9212598425197</v>
      </c>
    </row>
    <row r="26" spans="1:38" x14ac:dyDescent="0.25">
      <c r="A26" t="s">
        <v>9</v>
      </c>
      <c r="B26" s="14">
        <v>46051.424467592595</v>
      </c>
      <c r="C26">
        <v>20005</v>
      </c>
      <c r="D26" t="s">
        <v>253</v>
      </c>
      <c r="E26">
        <v>4505233</v>
      </c>
      <c r="F26">
        <v>2304755</v>
      </c>
      <c r="G26" t="s">
        <v>263</v>
      </c>
      <c r="H26" t="s">
        <v>278</v>
      </c>
      <c r="I26">
        <v>267</v>
      </c>
      <c r="J26">
        <v>266</v>
      </c>
      <c r="K26">
        <v>268</v>
      </c>
      <c r="L26">
        <v>268</v>
      </c>
      <c r="M26">
        <v>8</v>
      </c>
      <c r="N26">
        <v>7</v>
      </c>
      <c r="O26">
        <v>6</v>
      </c>
      <c r="P26">
        <v>9</v>
      </c>
      <c r="Q26">
        <v>8</v>
      </c>
      <c r="R26">
        <v>7</v>
      </c>
      <c r="S26">
        <v>9</v>
      </c>
      <c r="T26">
        <v>9</v>
      </c>
      <c r="U26" s="4">
        <v>1.23</v>
      </c>
      <c r="V26" t="b">
        <v>1</v>
      </c>
      <c r="X26" t="b">
        <v>0</v>
      </c>
      <c r="Z26" s="2">
        <v>2.17</v>
      </c>
      <c r="AA26" s="2">
        <v>267.25</v>
      </c>
      <c r="AB26" s="2">
        <v>268</v>
      </c>
      <c r="AC26" s="2">
        <v>266</v>
      </c>
      <c r="AD26" s="2">
        <v>7.875</v>
      </c>
      <c r="AE26" s="2">
        <v>9</v>
      </c>
      <c r="AF26" s="2">
        <v>6</v>
      </c>
      <c r="AG26" s="2">
        <v>3</v>
      </c>
      <c r="AH26" s="2">
        <v>0.5</v>
      </c>
      <c r="AI26" s="2">
        <v>0.8</v>
      </c>
      <c r="AJ26">
        <v>131</v>
      </c>
      <c r="AK26">
        <v>129.9212598425197</v>
      </c>
    </row>
    <row r="27" spans="1:38" x14ac:dyDescent="0.25">
      <c r="A27" t="s">
        <v>9</v>
      </c>
      <c r="B27" s="14">
        <v>46051.424467592595</v>
      </c>
      <c r="C27">
        <v>20005</v>
      </c>
      <c r="D27" t="s">
        <v>253</v>
      </c>
      <c r="E27">
        <v>4505234</v>
      </c>
      <c r="F27">
        <v>2304755</v>
      </c>
      <c r="G27" t="s">
        <v>263</v>
      </c>
      <c r="H27" t="s">
        <v>279</v>
      </c>
      <c r="I27">
        <v>267</v>
      </c>
      <c r="J27">
        <v>266</v>
      </c>
      <c r="K27">
        <v>268</v>
      </c>
      <c r="L27">
        <v>268</v>
      </c>
      <c r="M27">
        <v>8</v>
      </c>
      <c r="N27">
        <v>7</v>
      </c>
      <c r="O27">
        <v>6</v>
      </c>
      <c r="P27">
        <v>9</v>
      </c>
      <c r="Q27">
        <v>8</v>
      </c>
      <c r="R27">
        <v>7</v>
      </c>
      <c r="S27">
        <v>9</v>
      </c>
      <c r="T27">
        <v>9</v>
      </c>
      <c r="U27" s="4">
        <v>1.23</v>
      </c>
      <c r="V27" t="b">
        <v>1</v>
      </c>
      <c r="X27" t="b">
        <v>0</v>
      </c>
      <c r="Z27" s="2">
        <v>2.17</v>
      </c>
      <c r="AA27" s="2">
        <v>267.25</v>
      </c>
      <c r="AB27" s="2">
        <v>268</v>
      </c>
      <c r="AC27" s="2">
        <v>266</v>
      </c>
      <c r="AD27" s="2">
        <v>7.875</v>
      </c>
      <c r="AE27" s="2">
        <v>9</v>
      </c>
      <c r="AF27" s="2">
        <v>6</v>
      </c>
      <c r="AG27" s="2">
        <v>3</v>
      </c>
      <c r="AH27" s="2">
        <v>0.5</v>
      </c>
      <c r="AI27" s="2">
        <v>0.8</v>
      </c>
      <c r="AJ27">
        <v>131</v>
      </c>
      <c r="AK27">
        <v>129.9212598425197</v>
      </c>
    </row>
    <row r="28" spans="1:38" x14ac:dyDescent="0.25">
      <c r="A28" t="s">
        <v>9</v>
      </c>
      <c r="B28" s="14">
        <v>46055.479513888888</v>
      </c>
      <c r="C28">
        <v>20009</v>
      </c>
      <c r="D28" t="s">
        <v>253</v>
      </c>
      <c r="E28">
        <v>4505399</v>
      </c>
      <c r="F28">
        <v>156315</v>
      </c>
      <c r="G28" t="s">
        <v>210</v>
      </c>
      <c r="H28" t="s">
        <v>280</v>
      </c>
      <c r="I28">
        <v>267</v>
      </c>
      <c r="J28">
        <v>280</v>
      </c>
      <c r="K28">
        <v>270</v>
      </c>
      <c r="L28">
        <v>267</v>
      </c>
      <c r="M28">
        <v>7</v>
      </c>
      <c r="N28">
        <v>7</v>
      </c>
      <c r="O28">
        <v>8</v>
      </c>
      <c r="P28">
        <v>7</v>
      </c>
      <c r="Q28">
        <v>8</v>
      </c>
      <c r="R28">
        <v>8</v>
      </c>
      <c r="S28">
        <v>8</v>
      </c>
      <c r="T28">
        <v>8</v>
      </c>
      <c r="U28" s="4">
        <v>1.23</v>
      </c>
      <c r="V28" t="b">
        <v>1</v>
      </c>
      <c r="X28" t="b">
        <v>0</v>
      </c>
      <c r="Z28" s="2">
        <v>2.17</v>
      </c>
      <c r="AA28" s="2">
        <v>267</v>
      </c>
      <c r="AB28" s="2">
        <v>280</v>
      </c>
      <c r="AC28" s="2">
        <v>267</v>
      </c>
      <c r="AD28" s="2">
        <v>8</v>
      </c>
      <c r="AE28" s="2">
        <v>8</v>
      </c>
      <c r="AF28" s="2">
        <v>7</v>
      </c>
      <c r="AG28" s="2">
        <v>1</v>
      </c>
      <c r="AH28" s="2">
        <v>13</v>
      </c>
      <c r="AI28" s="2">
        <v>0.5</v>
      </c>
      <c r="AJ28">
        <v>131.5</v>
      </c>
      <c r="AK28">
        <v>130</v>
      </c>
      <c r="AL28">
        <f>((PI()/4) *(AA28^2-(AA28-(2*AD28))^2)*AK28*25.4*0.0000022)*1.1</f>
        <v>52.015413905303753</v>
      </c>
    </row>
    <row r="29" spans="1:38" x14ac:dyDescent="0.25">
      <c r="A29" t="s">
        <v>9</v>
      </c>
      <c r="B29" s="14">
        <v>46056.466643518521</v>
      </c>
      <c r="C29">
        <v>20006</v>
      </c>
      <c r="D29" t="s">
        <v>253</v>
      </c>
      <c r="E29">
        <v>4505400</v>
      </c>
      <c r="F29">
        <v>156315</v>
      </c>
      <c r="H29" t="s">
        <v>282</v>
      </c>
      <c r="I29">
        <v>267</v>
      </c>
      <c r="J29">
        <v>267</v>
      </c>
      <c r="K29">
        <v>267</v>
      </c>
      <c r="L29">
        <v>267</v>
      </c>
      <c r="M29">
        <v>8</v>
      </c>
      <c r="N29">
        <v>8</v>
      </c>
      <c r="O29">
        <v>8</v>
      </c>
      <c r="P29">
        <v>8</v>
      </c>
      <c r="Q29">
        <v>8</v>
      </c>
      <c r="R29">
        <v>8</v>
      </c>
      <c r="S29">
        <v>8</v>
      </c>
      <c r="T29">
        <v>8</v>
      </c>
      <c r="U29" s="4">
        <v>1</v>
      </c>
      <c r="V29" t="b">
        <v>0</v>
      </c>
      <c r="X29" t="b">
        <v>0</v>
      </c>
      <c r="Z29" s="2">
        <v>2.17</v>
      </c>
      <c r="AA29" s="2">
        <v>267</v>
      </c>
      <c r="AB29" s="2">
        <v>267</v>
      </c>
      <c r="AC29" s="2">
        <v>267</v>
      </c>
      <c r="AD29" s="2">
        <v>8</v>
      </c>
      <c r="AE29" s="2">
        <v>8</v>
      </c>
      <c r="AF29" s="2">
        <v>8</v>
      </c>
      <c r="AG29" s="2">
        <v>0</v>
      </c>
      <c r="AH29" s="2">
        <v>0</v>
      </c>
      <c r="AI29" s="2">
        <v>0</v>
      </c>
      <c r="AJ29">
        <v>130</v>
      </c>
      <c r="AK29">
        <v>130</v>
      </c>
      <c r="AL29">
        <v>47.286699972511997</v>
      </c>
    </row>
    <row r="30" spans="1:38" x14ac:dyDescent="0.25">
      <c r="A30" t="s">
        <v>9</v>
      </c>
      <c r="B30" s="14">
        <v>46056.469594907408</v>
      </c>
      <c r="C30">
        <v>20006</v>
      </c>
      <c r="D30" t="s">
        <v>253</v>
      </c>
      <c r="E30">
        <v>4505400</v>
      </c>
      <c r="F30">
        <v>156315</v>
      </c>
      <c r="H30" t="s">
        <v>283</v>
      </c>
      <c r="I30">
        <v>268</v>
      </c>
      <c r="J30">
        <v>268</v>
      </c>
      <c r="K30">
        <v>268</v>
      </c>
      <c r="L30">
        <v>268</v>
      </c>
      <c r="M30">
        <v>9</v>
      </c>
      <c r="N30">
        <v>9</v>
      </c>
      <c r="O30">
        <v>9</v>
      </c>
      <c r="P30">
        <v>9</v>
      </c>
      <c r="Q30">
        <v>9</v>
      </c>
      <c r="R30">
        <v>9</v>
      </c>
      <c r="S30">
        <v>9</v>
      </c>
      <c r="T30">
        <v>9</v>
      </c>
      <c r="U30" s="4">
        <v>2</v>
      </c>
      <c r="V30" t="b">
        <v>0</v>
      </c>
      <c r="X30" t="b">
        <v>0</v>
      </c>
      <c r="Z30" s="2">
        <v>2.17</v>
      </c>
      <c r="AA30" s="2">
        <v>268</v>
      </c>
      <c r="AB30" s="2">
        <v>268</v>
      </c>
      <c r="AC30" s="2">
        <v>268</v>
      </c>
      <c r="AD30" s="2">
        <v>9</v>
      </c>
      <c r="AE30" s="2">
        <v>9</v>
      </c>
      <c r="AF30" s="2">
        <v>9</v>
      </c>
      <c r="AG30" s="2">
        <v>0</v>
      </c>
      <c r="AH30" s="2">
        <v>0</v>
      </c>
      <c r="AI30" s="2">
        <v>0</v>
      </c>
      <c r="AJ30">
        <v>130</v>
      </c>
      <c r="AK30">
        <v>130</v>
      </c>
      <c r="AL30">
        <v>53.197537469076003</v>
      </c>
    </row>
    <row r="31" spans="1:38" x14ac:dyDescent="0.25">
      <c r="A31" t="s">
        <v>9</v>
      </c>
      <c r="B31" s="14">
        <v>46056.472650462965</v>
      </c>
      <c r="C31">
        <v>20006</v>
      </c>
      <c r="D31" t="s">
        <v>253</v>
      </c>
      <c r="E31">
        <v>4505400</v>
      </c>
      <c r="F31">
        <v>156315</v>
      </c>
      <c r="H31" t="s">
        <v>284</v>
      </c>
      <c r="I31">
        <v>266</v>
      </c>
      <c r="J31">
        <v>264</v>
      </c>
      <c r="K31">
        <v>264</v>
      </c>
      <c r="L31">
        <v>265</v>
      </c>
      <c r="M31">
        <v>6</v>
      </c>
      <c r="N31">
        <v>6</v>
      </c>
      <c r="O31">
        <v>6</v>
      </c>
      <c r="P31">
        <v>6</v>
      </c>
      <c r="Q31">
        <v>6</v>
      </c>
      <c r="R31">
        <v>6</v>
      </c>
      <c r="S31">
        <v>6</v>
      </c>
      <c r="T31">
        <v>6</v>
      </c>
      <c r="U31" s="4">
        <v>2</v>
      </c>
      <c r="V31" t="b">
        <v>0</v>
      </c>
      <c r="X31" t="b">
        <v>0</v>
      </c>
      <c r="Z31" s="2">
        <v>2.17</v>
      </c>
      <c r="AA31" s="2">
        <v>264.75</v>
      </c>
      <c r="AB31" s="2">
        <v>266</v>
      </c>
      <c r="AC31" s="2">
        <v>264</v>
      </c>
      <c r="AD31" s="2">
        <v>6</v>
      </c>
      <c r="AE31" s="2">
        <v>6</v>
      </c>
      <c r="AF31" s="2">
        <v>6</v>
      </c>
      <c r="AG31" s="2">
        <v>0</v>
      </c>
      <c r="AH31" s="2">
        <v>2</v>
      </c>
      <c r="AI31" s="2">
        <v>0</v>
      </c>
      <c r="AJ31">
        <v>130</v>
      </c>
      <c r="AK31">
        <v>130</v>
      </c>
      <c r="AL31">
        <v>35.430792329790002</v>
      </c>
    </row>
    <row r="32" spans="1:38" x14ac:dyDescent="0.25">
      <c r="A32" t="s">
        <v>9</v>
      </c>
      <c r="B32" s="14">
        <v>46056.474768518521</v>
      </c>
      <c r="C32">
        <v>20006</v>
      </c>
      <c r="D32" t="s">
        <v>253</v>
      </c>
      <c r="E32">
        <v>4505400</v>
      </c>
      <c r="F32">
        <v>156315</v>
      </c>
      <c r="H32" t="s">
        <v>285</v>
      </c>
      <c r="I32">
        <v>264</v>
      </c>
      <c r="J32">
        <v>265</v>
      </c>
      <c r="K32">
        <v>264</v>
      </c>
      <c r="L32">
        <v>265</v>
      </c>
      <c r="M32">
        <v>7</v>
      </c>
      <c r="N32">
        <v>8</v>
      </c>
      <c r="O32">
        <v>8</v>
      </c>
      <c r="P32">
        <v>7</v>
      </c>
      <c r="Q32">
        <v>9</v>
      </c>
      <c r="R32">
        <v>8</v>
      </c>
      <c r="S32">
        <v>8</v>
      </c>
      <c r="T32">
        <v>7</v>
      </c>
      <c r="U32" s="4">
        <v>4</v>
      </c>
      <c r="V32" t="b">
        <v>0</v>
      </c>
      <c r="X32" t="b">
        <v>0</v>
      </c>
      <c r="Z32" s="2">
        <v>2.17</v>
      </c>
      <c r="AA32" s="2">
        <v>264.5</v>
      </c>
      <c r="AB32" s="2">
        <v>265</v>
      </c>
      <c r="AC32" s="2">
        <v>264</v>
      </c>
      <c r="AD32" s="2">
        <v>7.75</v>
      </c>
      <c r="AE32" s="2">
        <v>9</v>
      </c>
      <c r="AF32" s="2">
        <v>7</v>
      </c>
      <c r="AG32" s="2">
        <v>2</v>
      </c>
      <c r="AH32" s="2">
        <v>1</v>
      </c>
      <c r="AI32" s="2">
        <v>0.5</v>
      </c>
      <c r="AJ32">
        <v>130</v>
      </c>
      <c r="AK32">
        <v>130</v>
      </c>
      <c r="AL32">
        <v>45.411036046840799</v>
      </c>
    </row>
    <row r="33" spans="1:38" x14ac:dyDescent="0.25">
      <c r="A33" t="s">
        <v>9</v>
      </c>
      <c r="B33" s="14">
        <v>46056.477754629632</v>
      </c>
      <c r="C33">
        <v>20006</v>
      </c>
      <c r="D33" t="s">
        <v>253</v>
      </c>
      <c r="E33">
        <v>4505400</v>
      </c>
      <c r="F33">
        <v>156315</v>
      </c>
      <c r="G33" t="s">
        <v>210</v>
      </c>
      <c r="H33" t="s">
        <v>286</v>
      </c>
      <c r="I33">
        <v>265</v>
      </c>
      <c r="J33">
        <v>265</v>
      </c>
      <c r="K33">
        <v>264</v>
      </c>
      <c r="L33">
        <v>264</v>
      </c>
      <c r="M33">
        <v>6</v>
      </c>
      <c r="N33">
        <v>8</v>
      </c>
      <c r="O33">
        <v>8</v>
      </c>
      <c r="P33">
        <v>7</v>
      </c>
      <c r="Q33">
        <v>6</v>
      </c>
      <c r="R33">
        <v>8</v>
      </c>
      <c r="S33">
        <v>7</v>
      </c>
      <c r="T33">
        <v>9</v>
      </c>
      <c r="U33" s="4">
        <v>1</v>
      </c>
      <c r="V33" t="b">
        <v>1</v>
      </c>
      <c r="X33" t="b">
        <v>0</v>
      </c>
      <c r="Z33" s="2">
        <v>2.17</v>
      </c>
      <c r="AA33" s="2">
        <v>264.5</v>
      </c>
      <c r="AB33" s="2">
        <v>265</v>
      </c>
      <c r="AC33" s="2">
        <v>264</v>
      </c>
      <c r="AD33" s="2">
        <v>7.375</v>
      </c>
      <c r="AE33" s="2">
        <v>9</v>
      </c>
      <c r="AF33" s="2">
        <v>6</v>
      </c>
      <c r="AG33" s="2">
        <v>3</v>
      </c>
      <c r="AH33" s="2">
        <v>0</v>
      </c>
      <c r="AI33" s="2">
        <v>0.5</v>
      </c>
      <c r="AJ33">
        <v>130</v>
      </c>
      <c r="AK33">
        <v>130</v>
      </c>
      <c r="AL33">
        <v>43.276844298714799</v>
      </c>
    </row>
    <row r="34" spans="1:38" x14ac:dyDescent="0.25">
      <c r="A34" t="s">
        <v>9</v>
      </c>
      <c r="B34" s="14">
        <v>46056.489178240743</v>
      </c>
      <c r="C34">
        <v>20006</v>
      </c>
      <c r="D34" t="s">
        <v>253</v>
      </c>
      <c r="E34">
        <v>4505401</v>
      </c>
      <c r="F34">
        <v>156315</v>
      </c>
      <c r="G34" t="s">
        <v>210</v>
      </c>
      <c r="H34" t="s">
        <v>287</v>
      </c>
      <c r="I34">
        <v>269</v>
      </c>
      <c r="J34">
        <v>268</v>
      </c>
      <c r="K34">
        <v>268</v>
      </c>
      <c r="L34">
        <v>267</v>
      </c>
      <c r="M34">
        <v>8</v>
      </c>
      <c r="N34">
        <v>9</v>
      </c>
      <c r="O34">
        <v>9</v>
      </c>
      <c r="P34">
        <v>8</v>
      </c>
      <c r="Q34">
        <v>8</v>
      </c>
      <c r="R34">
        <v>9</v>
      </c>
      <c r="S34">
        <v>9</v>
      </c>
      <c r="T34">
        <v>8</v>
      </c>
      <c r="U34" s="4">
        <v>1</v>
      </c>
      <c r="V34" t="b">
        <v>1</v>
      </c>
      <c r="W34">
        <v>2100094</v>
      </c>
      <c r="X34" t="b">
        <v>1</v>
      </c>
      <c r="Y34" t="s">
        <v>34</v>
      </c>
      <c r="Z34" s="2">
        <v>2.17</v>
      </c>
      <c r="AA34" s="2">
        <v>268</v>
      </c>
      <c r="AB34" s="2">
        <v>269</v>
      </c>
      <c r="AC34" s="2">
        <v>267</v>
      </c>
      <c r="AD34" s="2">
        <v>8.5</v>
      </c>
      <c r="AE34" s="2">
        <v>9</v>
      </c>
      <c r="AF34" s="2">
        <v>8</v>
      </c>
      <c r="AG34" s="2">
        <v>1</v>
      </c>
      <c r="AH34" s="2">
        <v>1</v>
      </c>
      <c r="AI34" s="2">
        <v>0</v>
      </c>
      <c r="AJ34">
        <v>130</v>
      </c>
      <c r="AK34">
        <v>130</v>
      </c>
      <c r="AL34">
        <v>50.339111227977</v>
      </c>
    </row>
    <row r="35" spans="1:38" x14ac:dyDescent="0.25">
      <c r="A35" t="s">
        <v>9</v>
      </c>
      <c r="B35" s="14">
        <v>46065.287314814814</v>
      </c>
      <c r="C35">
        <v>20007</v>
      </c>
      <c r="D35" t="s">
        <v>253</v>
      </c>
      <c r="E35">
        <v>4505235</v>
      </c>
      <c r="F35">
        <v>2304755</v>
      </c>
      <c r="G35" t="s">
        <v>263</v>
      </c>
      <c r="H35" t="s">
        <v>289</v>
      </c>
      <c r="I35">
        <v>267</v>
      </c>
      <c r="J35">
        <v>267</v>
      </c>
      <c r="K35">
        <v>268</v>
      </c>
      <c r="L35">
        <v>268</v>
      </c>
      <c r="M35">
        <v>7</v>
      </c>
      <c r="N35">
        <v>8</v>
      </c>
      <c r="O35">
        <v>8</v>
      </c>
      <c r="P35">
        <v>9</v>
      </c>
      <c r="Q35">
        <v>7</v>
      </c>
      <c r="R35">
        <v>9</v>
      </c>
      <c r="S35">
        <v>7</v>
      </c>
      <c r="T35">
        <v>8</v>
      </c>
      <c r="U35" s="4">
        <v>1</v>
      </c>
      <c r="V35" t="b">
        <v>1</v>
      </c>
      <c r="X35" t="b">
        <v>0</v>
      </c>
      <c r="Z35" s="2">
        <v>2.17</v>
      </c>
      <c r="AA35" s="2">
        <v>267.5</v>
      </c>
      <c r="AB35" s="2">
        <v>268</v>
      </c>
      <c r="AC35" s="2">
        <v>267</v>
      </c>
      <c r="AD35" s="2">
        <v>7.875</v>
      </c>
      <c r="AE35" s="2">
        <v>9</v>
      </c>
      <c r="AF35" s="2">
        <v>7</v>
      </c>
      <c r="AG35" s="2">
        <v>2</v>
      </c>
      <c r="AH35" s="2">
        <v>0</v>
      </c>
      <c r="AI35" s="2">
        <v>0</v>
      </c>
      <c r="AJ35">
        <v>135</v>
      </c>
      <c r="AK35">
        <v>129.9212598425197</v>
      </c>
      <c r="AL35">
        <v>48.454793134880298</v>
      </c>
    </row>
    <row r="36" spans="1:38" x14ac:dyDescent="0.25">
      <c r="A36" t="s">
        <v>9</v>
      </c>
      <c r="B36" s="14">
        <v>46065.291342592594</v>
      </c>
      <c r="C36">
        <v>20007</v>
      </c>
      <c r="D36" t="s">
        <v>253</v>
      </c>
      <c r="E36">
        <v>4505236</v>
      </c>
      <c r="F36">
        <v>2304755</v>
      </c>
      <c r="G36" t="s">
        <v>263</v>
      </c>
      <c r="H36" t="s">
        <v>292</v>
      </c>
      <c r="I36">
        <v>265</v>
      </c>
      <c r="J36">
        <v>266</v>
      </c>
      <c r="K36">
        <v>264</v>
      </c>
      <c r="L36">
        <v>269</v>
      </c>
      <c r="M36">
        <v>5</v>
      </c>
      <c r="N36">
        <v>9</v>
      </c>
      <c r="O36">
        <v>8</v>
      </c>
      <c r="P36">
        <v>7</v>
      </c>
      <c r="Q36">
        <v>8</v>
      </c>
      <c r="R36">
        <v>9</v>
      </c>
      <c r="S36">
        <v>9</v>
      </c>
      <c r="T36">
        <v>7</v>
      </c>
      <c r="U36" s="4">
        <v>2</v>
      </c>
      <c r="V36" t="b">
        <v>1</v>
      </c>
      <c r="X36" t="b">
        <v>0</v>
      </c>
      <c r="Z36" s="2">
        <v>2.17</v>
      </c>
      <c r="AA36" s="2">
        <v>266</v>
      </c>
      <c r="AB36" s="2">
        <v>269</v>
      </c>
      <c r="AC36" s="2">
        <v>264</v>
      </c>
      <c r="AD36" s="2">
        <v>7.75</v>
      </c>
      <c r="AE36" s="2">
        <v>9</v>
      </c>
      <c r="AF36" s="2">
        <v>5</v>
      </c>
      <c r="AG36" s="2">
        <v>4</v>
      </c>
      <c r="AH36" s="2">
        <v>5</v>
      </c>
      <c r="AI36" s="2">
        <v>1</v>
      </c>
      <c r="AJ36">
        <v>140</v>
      </c>
      <c r="AK36">
        <v>129.9212598425197</v>
      </c>
      <c r="AL36">
        <v>49.189903625901501</v>
      </c>
    </row>
    <row r="37" spans="1:38" x14ac:dyDescent="0.25">
      <c r="A37" t="s">
        <v>9</v>
      </c>
      <c r="B37" s="14">
        <v>46065.29451388889</v>
      </c>
      <c r="C37">
        <v>20007</v>
      </c>
      <c r="D37" t="s">
        <v>253</v>
      </c>
      <c r="E37">
        <v>4505237</v>
      </c>
      <c r="F37">
        <v>2304755</v>
      </c>
      <c r="G37" t="s">
        <v>263</v>
      </c>
      <c r="H37" t="s">
        <v>293</v>
      </c>
      <c r="I37">
        <v>265</v>
      </c>
      <c r="J37">
        <v>266</v>
      </c>
      <c r="K37">
        <v>266</v>
      </c>
      <c r="L37">
        <v>264</v>
      </c>
      <c r="M37">
        <v>5</v>
      </c>
      <c r="N37">
        <v>6</v>
      </c>
      <c r="O37">
        <v>8</v>
      </c>
      <c r="P37">
        <v>7</v>
      </c>
      <c r="Q37">
        <v>9</v>
      </c>
      <c r="R37">
        <v>8</v>
      </c>
      <c r="S37">
        <v>6</v>
      </c>
      <c r="T37">
        <v>5</v>
      </c>
      <c r="U37" s="4">
        <v>1.23</v>
      </c>
      <c r="V37" t="b">
        <v>1</v>
      </c>
      <c r="X37" t="b">
        <v>0</v>
      </c>
      <c r="Z37" s="2">
        <v>2.17</v>
      </c>
      <c r="AA37" s="2">
        <v>265.25</v>
      </c>
      <c r="AB37" s="2">
        <v>266</v>
      </c>
      <c r="AC37" s="2">
        <v>264</v>
      </c>
      <c r="AD37" s="2">
        <v>6.75</v>
      </c>
      <c r="AE37" s="2">
        <v>9</v>
      </c>
      <c r="AF37" s="2">
        <v>5</v>
      </c>
      <c r="AG37" s="2">
        <v>4</v>
      </c>
      <c r="AH37" s="2">
        <v>2</v>
      </c>
      <c r="AI37" s="2">
        <v>0.5</v>
      </c>
      <c r="AJ37">
        <v>140</v>
      </c>
      <c r="AK37">
        <v>129.9212598425197</v>
      </c>
      <c r="AL37">
        <v>42.884293458698998</v>
      </c>
    </row>
    <row r="38" spans="1:38" x14ac:dyDescent="0.25">
      <c r="A38" t="s">
        <v>9</v>
      </c>
      <c r="B38" s="14">
        <v>46065.295601851853</v>
      </c>
      <c r="C38">
        <v>20007</v>
      </c>
      <c r="D38" t="s">
        <v>253</v>
      </c>
      <c r="E38">
        <v>4505238</v>
      </c>
      <c r="F38">
        <v>2304755</v>
      </c>
      <c r="G38" t="s">
        <v>263</v>
      </c>
      <c r="H38" t="s">
        <v>294</v>
      </c>
      <c r="I38">
        <v>269</v>
      </c>
      <c r="J38">
        <v>269</v>
      </c>
      <c r="K38">
        <v>269</v>
      </c>
      <c r="L38">
        <v>269</v>
      </c>
      <c r="M38">
        <v>9</v>
      </c>
      <c r="N38">
        <v>9</v>
      </c>
      <c r="O38">
        <v>9</v>
      </c>
      <c r="P38">
        <v>9</v>
      </c>
      <c r="Q38">
        <v>9</v>
      </c>
      <c r="R38">
        <v>9</v>
      </c>
      <c r="S38">
        <v>9</v>
      </c>
      <c r="T38">
        <v>9</v>
      </c>
      <c r="U38" s="4">
        <v>1.2</v>
      </c>
      <c r="V38" t="b">
        <v>1</v>
      </c>
      <c r="X38" t="b">
        <v>0</v>
      </c>
      <c r="Z38" s="2">
        <v>2.17</v>
      </c>
      <c r="AA38" s="2">
        <v>269</v>
      </c>
      <c r="AB38" s="2">
        <v>269</v>
      </c>
      <c r="AC38" s="2">
        <v>269</v>
      </c>
      <c r="AD38" s="2">
        <v>9</v>
      </c>
      <c r="AE38" s="2">
        <v>9</v>
      </c>
      <c r="AF38" s="2">
        <v>9</v>
      </c>
      <c r="AG38" s="2">
        <v>0</v>
      </c>
      <c r="AH38" s="2">
        <v>0</v>
      </c>
      <c r="AI38" s="2">
        <v>0</v>
      </c>
      <c r="AJ38">
        <v>140</v>
      </c>
      <c r="AK38">
        <v>129.9212598425197</v>
      </c>
      <c r="AL38">
        <v>57.51085131792</v>
      </c>
    </row>
  </sheetData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25"/>
  <sheetViews>
    <sheetView workbookViewId="0">
      <selection activeCell="D16" sqref="D16"/>
    </sheetView>
  </sheetViews>
  <sheetFormatPr defaultRowHeight="15" x14ac:dyDescent="0.25"/>
  <cols>
    <col min="1" max="1" width="11.85546875" customWidth="1"/>
    <col min="2" max="2" width="13" customWidth="1"/>
    <col min="4" max="4" width="15.7109375" customWidth="1"/>
    <col min="5" max="5" width="13.28515625" customWidth="1"/>
  </cols>
  <sheetData>
    <row r="1" spans="1:6" x14ac:dyDescent="0.25">
      <c r="A1" t="s">
        <v>190</v>
      </c>
      <c r="B1" t="s">
        <v>191</v>
      </c>
      <c r="C1" t="s">
        <v>192</v>
      </c>
      <c r="D1" t="s">
        <v>193</v>
      </c>
      <c r="E1" t="s">
        <v>194</v>
      </c>
      <c r="F1" t="s">
        <v>195</v>
      </c>
    </row>
    <row r="2" spans="1:6" x14ac:dyDescent="0.25">
      <c r="A2" s="6">
        <v>2102336</v>
      </c>
      <c r="B2" s="5" t="s">
        <v>197</v>
      </c>
      <c r="C2" s="4">
        <v>199</v>
      </c>
      <c r="D2" s="5" t="s">
        <v>196</v>
      </c>
      <c r="E2" s="5" t="s">
        <v>9</v>
      </c>
      <c r="F2" t="b">
        <v>1</v>
      </c>
    </row>
    <row r="3" spans="1:6" x14ac:dyDescent="0.25">
      <c r="A3" s="6">
        <v>2102336</v>
      </c>
      <c r="B3" s="5" t="s">
        <v>197</v>
      </c>
      <c r="C3" s="4">
        <v>199</v>
      </c>
      <c r="D3" s="5" t="s">
        <v>196</v>
      </c>
      <c r="E3" s="5" t="s">
        <v>9</v>
      </c>
      <c r="F3" t="b">
        <v>1</v>
      </c>
    </row>
    <row r="4" spans="1:6" x14ac:dyDescent="0.25">
      <c r="A4" s="6">
        <v>2102336</v>
      </c>
      <c r="B4" s="5" t="s">
        <v>197</v>
      </c>
      <c r="C4" s="4">
        <v>209</v>
      </c>
      <c r="D4" s="5" t="s">
        <v>196</v>
      </c>
      <c r="E4" s="5" t="s">
        <v>9</v>
      </c>
      <c r="F4" t="b">
        <v>1</v>
      </c>
    </row>
    <row r="5" spans="1:6" x14ac:dyDescent="0.25">
      <c r="A5" s="6">
        <v>2102336</v>
      </c>
      <c r="B5" s="5" t="s">
        <v>197</v>
      </c>
      <c r="C5" s="4">
        <v>200.39400000000001</v>
      </c>
      <c r="D5" s="5" t="s">
        <v>196</v>
      </c>
      <c r="E5" s="5" t="s">
        <v>9</v>
      </c>
      <c r="F5" t="b">
        <v>1</v>
      </c>
    </row>
    <row r="6" spans="1:6" x14ac:dyDescent="0.25">
      <c r="A6" s="6">
        <v>2102336</v>
      </c>
      <c r="B6" s="5" t="s">
        <v>198</v>
      </c>
      <c r="C6" s="4"/>
      <c r="D6" s="5" t="s">
        <v>199</v>
      </c>
      <c r="E6" s="5" t="s">
        <v>9</v>
      </c>
      <c r="F6" t="b">
        <v>1</v>
      </c>
    </row>
    <row r="7" spans="1:6" x14ac:dyDescent="0.25">
      <c r="A7" s="6">
        <v>2102336</v>
      </c>
      <c r="B7" s="5" t="s">
        <v>198</v>
      </c>
      <c r="C7" s="4">
        <v>215</v>
      </c>
      <c r="D7" s="5" t="s">
        <v>200</v>
      </c>
      <c r="E7" s="5" t="s">
        <v>9</v>
      </c>
      <c r="F7" t="b">
        <v>1</v>
      </c>
    </row>
    <row r="8" spans="1:6" x14ac:dyDescent="0.25">
      <c r="A8" s="6">
        <v>2102336</v>
      </c>
      <c r="B8" s="5" t="s">
        <v>201</v>
      </c>
      <c r="C8" s="4">
        <v>221</v>
      </c>
      <c r="D8" s="5" t="s">
        <v>199</v>
      </c>
      <c r="E8" s="5" t="s">
        <v>9</v>
      </c>
      <c r="F8" t="b">
        <v>1</v>
      </c>
    </row>
    <row r="9" spans="1:6" x14ac:dyDescent="0.25">
      <c r="A9" s="6">
        <v>2102336</v>
      </c>
      <c r="B9" s="5" t="s">
        <v>205</v>
      </c>
      <c r="C9" s="4">
        <v>221</v>
      </c>
      <c r="D9" s="5" t="s">
        <v>196</v>
      </c>
      <c r="E9" s="5" t="s">
        <v>9</v>
      </c>
      <c r="F9" t="b">
        <v>1</v>
      </c>
    </row>
    <row r="10" spans="1:6" x14ac:dyDescent="0.25">
      <c r="A10" s="6">
        <v>2102336</v>
      </c>
      <c r="B10" s="5" t="s">
        <v>209</v>
      </c>
      <c r="C10" s="4">
        <v>198.62</v>
      </c>
      <c r="D10" s="5" t="s">
        <v>199</v>
      </c>
      <c r="E10" s="5" t="s">
        <v>9</v>
      </c>
      <c r="F10" t="b">
        <v>1</v>
      </c>
    </row>
    <row r="11" spans="1:6" x14ac:dyDescent="0.25">
      <c r="A11" s="6">
        <v>2102336</v>
      </c>
      <c r="B11" s="5" t="s">
        <v>211</v>
      </c>
      <c r="C11" s="4">
        <v>555</v>
      </c>
      <c r="D11" s="5" t="s">
        <v>196</v>
      </c>
      <c r="E11" s="5" t="s">
        <v>9</v>
      </c>
      <c r="F11" t="b">
        <v>1</v>
      </c>
    </row>
    <row r="12" spans="1:6" x14ac:dyDescent="0.25">
      <c r="A12" s="6">
        <v>2102336</v>
      </c>
      <c r="B12" s="5" t="s">
        <v>211</v>
      </c>
      <c r="C12" s="4">
        <v>214.292</v>
      </c>
      <c r="D12" s="5" t="s">
        <v>196</v>
      </c>
      <c r="E12" s="5" t="s">
        <v>9</v>
      </c>
      <c r="F12" t="b">
        <v>1</v>
      </c>
    </row>
    <row r="13" spans="1:6" x14ac:dyDescent="0.25">
      <c r="A13" s="6">
        <v>2102336</v>
      </c>
      <c r="B13" s="5" t="s">
        <v>212</v>
      </c>
      <c r="C13" s="4">
        <v>300</v>
      </c>
      <c r="D13" s="5" t="s">
        <v>196</v>
      </c>
      <c r="E13" s="5" t="s">
        <v>9</v>
      </c>
      <c r="F13" t="b">
        <v>1</v>
      </c>
    </row>
    <row r="14" spans="1:6" x14ac:dyDescent="0.25">
      <c r="A14" s="6">
        <v>2102336</v>
      </c>
      <c r="B14" s="5" t="s">
        <v>212</v>
      </c>
      <c r="C14" s="4">
        <v>148</v>
      </c>
      <c r="D14" s="5" t="s">
        <v>196</v>
      </c>
      <c r="E14" s="5" t="s">
        <v>9</v>
      </c>
      <c r="F14" t="b">
        <v>1</v>
      </c>
    </row>
    <row r="15" spans="1:6" x14ac:dyDescent="0.25">
      <c r="A15" s="6">
        <v>2102336</v>
      </c>
      <c r="B15" s="5" t="s">
        <v>212</v>
      </c>
      <c r="C15" s="4">
        <v>148.69999999999999</v>
      </c>
      <c r="D15" s="5" t="s">
        <v>200</v>
      </c>
      <c r="E15" s="5" t="s">
        <v>9</v>
      </c>
      <c r="F15" t="b">
        <v>0</v>
      </c>
    </row>
    <row r="16" spans="1:6" x14ac:dyDescent="0.25">
      <c r="A16" s="6">
        <v>2102336</v>
      </c>
      <c r="B16" s="5" t="s">
        <v>212</v>
      </c>
      <c r="C16" s="4">
        <v>148.69999999999999</v>
      </c>
      <c r="D16" s="5" t="s">
        <v>196</v>
      </c>
      <c r="E16" s="5" t="s">
        <v>9</v>
      </c>
      <c r="F16" t="b">
        <v>1</v>
      </c>
    </row>
    <row r="17" spans="1:6" x14ac:dyDescent="0.25">
      <c r="A17" s="6">
        <v>2102336</v>
      </c>
      <c r="B17" s="5" t="s">
        <v>214</v>
      </c>
      <c r="C17" s="4">
        <v>222.827</v>
      </c>
      <c r="D17" s="5" t="s">
        <v>196</v>
      </c>
      <c r="E17" s="5" t="s">
        <v>9</v>
      </c>
      <c r="F17" t="b">
        <v>1</v>
      </c>
    </row>
    <row r="18" spans="1:6" x14ac:dyDescent="0.25">
      <c r="A18" s="6">
        <v>2102336</v>
      </c>
      <c r="B18" s="5" t="s">
        <v>230</v>
      </c>
      <c r="C18" s="4">
        <v>757.49900000000002</v>
      </c>
      <c r="D18" s="5" t="s">
        <v>199</v>
      </c>
      <c r="E18" s="5" t="s">
        <v>9</v>
      </c>
      <c r="F18" t="b">
        <v>1</v>
      </c>
    </row>
    <row r="19" spans="1:6" x14ac:dyDescent="0.25">
      <c r="A19" s="6">
        <v>2102336</v>
      </c>
      <c r="B19" s="5" t="s">
        <v>231</v>
      </c>
      <c r="C19" s="4">
        <v>67.024000000000001</v>
      </c>
      <c r="D19" s="5" t="s">
        <v>199</v>
      </c>
      <c r="E19" s="5" t="s">
        <v>9</v>
      </c>
      <c r="F19" t="b">
        <v>1</v>
      </c>
    </row>
    <row r="20" spans="1:6" x14ac:dyDescent="0.25">
      <c r="A20" s="6">
        <v>2102336</v>
      </c>
      <c r="B20" s="5" t="s">
        <v>233</v>
      </c>
      <c r="C20" s="4">
        <v>604.86599999999999</v>
      </c>
      <c r="D20" s="5" t="s">
        <v>200</v>
      </c>
      <c r="E20" s="5" t="s">
        <v>9</v>
      </c>
      <c r="F20" t="b">
        <v>1</v>
      </c>
    </row>
    <row r="21" spans="1:6" x14ac:dyDescent="0.25">
      <c r="A21" s="6">
        <v>2102336</v>
      </c>
      <c r="B21" s="5" t="s">
        <v>234</v>
      </c>
      <c r="C21" s="4">
        <v>187.45</v>
      </c>
      <c r="D21" s="5" t="s">
        <v>196</v>
      </c>
      <c r="E21" s="5" t="s">
        <v>9</v>
      </c>
      <c r="F21" t="b">
        <v>1</v>
      </c>
    </row>
    <row r="22" spans="1:6" x14ac:dyDescent="0.25">
      <c r="A22" s="6">
        <v>2102336</v>
      </c>
      <c r="B22" s="5" t="s">
        <v>235</v>
      </c>
      <c r="C22" s="4">
        <v>214.32300000000001</v>
      </c>
      <c r="D22" s="5" t="s">
        <v>196</v>
      </c>
      <c r="E22" s="5" t="s">
        <v>9</v>
      </c>
      <c r="F22" t="b">
        <v>1</v>
      </c>
    </row>
    <row r="23" spans="1:6" x14ac:dyDescent="0.25">
      <c r="A23" s="6">
        <v>2102336</v>
      </c>
      <c r="B23" s="5" t="s">
        <v>236</v>
      </c>
      <c r="C23" s="4">
        <v>202.75700000000001</v>
      </c>
      <c r="D23" s="5" t="s">
        <v>196</v>
      </c>
      <c r="E23" s="5" t="s">
        <v>9</v>
      </c>
      <c r="F23" t="b">
        <v>1</v>
      </c>
    </row>
    <row r="24" spans="1:6" x14ac:dyDescent="0.25">
      <c r="A24" s="6">
        <v>2102336</v>
      </c>
      <c r="B24" s="5" t="s">
        <v>237</v>
      </c>
      <c r="C24" s="4">
        <v>218.85900000000001</v>
      </c>
      <c r="D24" s="5" t="s">
        <v>196</v>
      </c>
      <c r="E24" s="5" t="s">
        <v>9</v>
      </c>
      <c r="F24" t="b">
        <v>1</v>
      </c>
    </row>
    <row r="25" spans="1:6" x14ac:dyDescent="0.25">
      <c r="A25" s="6">
        <v>2104350</v>
      </c>
      <c r="B25" s="5" t="s">
        <v>238</v>
      </c>
      <c r="C25" s="4">
        <v>816</v>
      </c>
      <c r="D25" s="5" t="s">
        <v>199</v>
      </c>
      <c r="E25" s="5" t="s">
        <v>9</v>
      </c>
      <c r="F25" t="b">
        <v>1</v>
      </c>
    </row>
  </sheetData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99F16-E78C-4F71-95CD-3EE67A513EEF}">
  <sheetPr codeName="Sheet4"/>
  <dimension ref="A1:B4"/>
  <sheetViews>
    <sheetView workbookViewId="0">
      <selection activeCell="D30" sqref="D30"/>
    </sheetView>
  </sheetViews>
  <sheetFormatPr defaultRowHeight="15" x14ac:dyDescent="0.25"/>
  <cols>
    <col min="1" max="1" width="12.5703125" bestFit="1" customWidth="1"/>
    <col min="2" max="2" width="9.140625" bestFit="1" customWidth="1"/>
  </cols>
  <sheetData>
    <row r="1" spans="1:2" x14ac:dyDescent="0.25">
      <c r="A1" t="s">
        <v>248</v>
      </c>
      <c r="B1" t="s">
        <v>250</v>
      </c>
    </row>
    <row r="2" spans="1:2" x14ac:dyDescent="0.25">
      <c r="A2" s="16" t="s">
        <v>245</v>
      </c>
      <c r="B2" t="b">
        <v>0</v>
      </c>
    </row>
    <row r="3" spans="1:2" x14ac:dyDescent="0.25">
      <c r="A3" s="16" t="s">
        <v>246</v>
      </c>
      <c r="B3" t="b">
        <v>1</v>
      </c>
    </row>
    <row r="4" spans="1:2" x14ac:dyDescent="0.25">
      <c r="A4" s="16" t="s">
        <v>247</v>
      </c>
      <c r="B4" t="b"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D77"/>
  <sheetViews>
    <sheetView topLeftCell="D1" workbookViewId="0">
      <selection activeCell="H1" sqref="H1:H5"/>
    </sheetView>
  </sheetViews>
  <sheetFormatPr defaultRowHeight="15" x14ac:dyDescent="0.25"/>
  <cols>
    <col min="1" max="1" width="32.5703125" bestFit="1" customWidth="1"/>
    <col min="7" max="7" width="32.5703125" bestFit="1" customWidth="1"/>
    <col min="15" max="15" width="10.28515625" bestFit="1" customWidth="1"/>
  </cols>
  <sheetData>
    <row r="1" spans="1:30" x14ac:dyDescent="0.25">
      <c r="A1" t="s">
        <v>154</v>
      </c>
      <c r="B1" t="s">
        <v>153</v>
      </c>
      <c r="D1">
        <v>267</v>
      </c>
      <c r="E1">
        <v>0.38948640000000001</v>
      </c>
      <c r="G1" t="s">
        <v>176</v>
      </c>
      <c r="H1">
        <v>2307812</v>
      </c>
      <c r="W1" t="s">
        <v>182</v>
      </c>
      <c r="X1">
        <v>271.0050048828125</v>
      </c>
      <c r="AA1" t="s">
        <v>249</v>
      </c>
    </row>
    <row r="2" spans="1:30" x14ac:dyDescent="0.25">
      <c r="A2" t="s">
        <v>19</v>
      </c>
      <c r="B2" t="s">
        <v>10</v>
      </c>
      <c r="D2">
        <v>254</v>
      </c>
      <c r="E2">
        <v>0.31058000000000002</v>
      </c>
      <c r="G2" t="s">
        <v>177</v>
      </c>
      <c r="H2">
        <v>2307813</v>
      </c>
      <c r="W2" t="s">
        <v>183</v>
      </c>
      <c r="X2">
        <v>262.9949951171875</v>
      </c>
      <c r="AA2">
        <v>1203.9970703125</v>
      </c>
      <c r="AD2">
        <v>1506.31298828125</v>
      </c>
    </row>
    <row r="3" spans="1:30" x14ac:dyDescent="0.25">
      <c r="A3" t="s">
        <v>35</v>
      </c>
      <c r="B3" t="s">
        <v>34</v>
      </c>
      <c r="D3">
        <v>210</v>
      </c>
      <c r="E3">
        <v>0.26075999999999999</v>
      </c>
      <c r="G3" t="s">
        <v>178</v>
      </c>
      <c r="H3">
        <v>2307814</v>
      </c>
      <c r="W3" t="s">
        <v>185</v>
      </c>
      <c r="X3">
        <v>8.8000001907348633</v>
      </c>
    </row>
    <row r="4" spans="1:30" x14ac:dyDescent="0.25">
      <c r="A4" t="s">
        <v>12</v>
      </c>
      <c r="B4" t="s">
        <v>11</v>
      </c>
      <c r="D4">
        <v>208</v>
      </c>
      <c r="E4">
        <v>0.20913800000000002</v>
      </c>
      <c r="G4" t="s">
        <v>179</v>
      </c>
      <c r="H4">
        <v>2307815</v>
      </c>
      <c r="N4" t="s">
        <v>172</v>
      </c>
      <c r="W4" t="s">
        <v>186</v>
      </c>
      <c r="X4">
        <v>7.1999998092651367</v>
      </c>
    </row>
    <row r="5" spans="1:30" x14ac:dyDescent="0.25">
      <c r="A5" t="s">
        <v>14</v>
      </c>
      <c r="B5" t="s">
        <v>13</v>
      </c>
      <c r="G5" t="s">
        <v>180</v>
      </c>
      <c r="H5">
        <v>2307816</v>
      </c>
      <c r="W5" t="s">
        <v>227</v>
      </c>
      <c r="X5" s="2">
        <v>113.51</v>
      </c>
    </row>
    <row r="6" spans="1:30" x14ac:dyDescent="0.25">
      <c r="A6" t="s">
        <v>16</v>
      </c>
      <c r="B6" t="s">
        <v>15</v>
      </c>
      <c r="E6" s="15" t="s">
        <v>248</v>
      </c>
      <c r="F6" s="15"/>
      <c r="L6" t="s">
        <v>166</v>
      </c>
      <c r="M6" t="s">
        <v>167</v>
      </c>
      <c r="N6" t="s">
        <v>171</v>
      </c>
      <c r="O6" t="s">
        <v>168</v>
      </c>
      <c r="P6" t="s">
        <v>170</v>
      </c>
      <c r="Q6" t="s">
        <v>169</v>
      </c>
      <c r="R6" t="s">
        <v>164</v>
      </c>
      <c r="T6" t="s">
        <v>165</v>
      </c>
      <c r="W6" t="s">
        <v>228</v>
      </c>
      <c r="X6">
        <f>47.3/130</f>
        <v>0.36384615384615382</v>
      </c>
    </row>
    <row r="7" spans="1:30" x14ac:dyDescent="0.25">
      <c r="A7" t="s">
        <v>18</v>
      </c>
      <c r="B7" t="s">
        <v>17</v>
      </c>
      <c r="E7" t="s">
        <v>245</v>
      </c>
      <c r="F7" t="b">
        <v>0</v>
      </c>
      <c r="K7">
        <v>267</v>
      </c>
      <c r="L7">
        <v>0.3947</v>
      </c>
      <c r="M7">
        <f>47.3/130</f>
        <v>0.36384615384615382</v>
      </c>
      <c r="N7">
        <v>0.3715</v>
      </c>
      <c r="O7">
        <f>56/154</f>
        <v>0.36363636363636365</v>
      </c>
      <c r="P7">
        <v>0.39019999999999999</v>
      </c>
      <c r="Q7">
        <f>50.2/138</f>
        <v>0.36376811594202901</v>
      </c>
      <c r="T7">
        <v>0.36743999999999999</v>
      </c>
      <c r="U7">
        <f>T7*1.06</f>
        <v>0.38948640000000001</v>
      </c>
    </row>
    <row r="8" spans="1:30" x14ac:dyDescent="0.25">
      <c r="A8" t="s">
        <v>21</v>
      </c>
      <c r="B8" t="s">
        <v>20</v>
      </c>
      <c r="E8" t="s">
        <v>246</v>
      </c>
      <c r="F8" t="b">
        <v>1</v>
      </c>
      <c r="K8">
        <v>254</v>
      </c>
      <c r="L8">
        <f>(L7-M7)/M7</f>
        <v>8.4799154334038118E-2</v>
      </c>
      <c r="N8">
        <f>(N7-O7)/O7</f>
        <v>2.1624999999999964E-2</v>
      </c>
      <c r="P8">
        <f>(P7-Q7)/Q7</f>
        <v>7.2661354581673207E-2</v>
      </c>
      <c r="T8">
        <v>0.29299999999999998</v>
      </c>
      <c r="U8">
        <f>T8*1.06</f>
        <v>0.31058000000000002</v>
      </c>
      <c r="W8" s="15" t="s">
        <v>240</v>
      </c>
      <c r="X8" s="15"/>
    </row>
    <row r="9" spans="1:30" x14ac:dyDescent="0.25">
      <c r="A9" t="s">
        <v>23</v>
      </c>
      <c r="B9" t="s">
        <v>22</v>
      </c>
      <c r="E9" t="s">
        <v>247</v>
      </c>
      <c r="F9" t="b">
        <v>1</v>
      </c>
      <c r="K9">
        <v>210</v>
      </c>
      <c r="T9">
        <v>0.246</v>
      </c>
      <c r="U9">
        <f>T9*1.06</f>
        <v>0.26075999999999999</v>
      </c>
      <c r="W9" t="s">
        <v>182</v>
      </c>
      <c r="X9">
        <v>270</v>
      </c>
    </row>
    <row r="10" spans="1:30" x14ac:dyDescent="0.25">
      <c r="A10" t="s">
        <v>25</v>
      </c>
      <c r="B10" t="s">
        <v>24</v>
      </c>
      <c r="K10">
        <v>208</v>
      </c>
      <c r="Q10">
        <f>27.28/138</f>
        <v>0.19768115942028985</v>
      </c>
      <c r="T10">
        <v>0.1973</v>
      </c>
      <c r="U10">
        <f>T10*1.06</f>
        <v>0.20913800000000002</v>
      </c>
      <c r="W10" t="s">
        <v>183</v>
      </c>
      <c r="X10">
        <v>264</v>
      </c>
    </row>
    <row r="11" spans="1:30" x14ac:dyDescent="0.25">
      <c r="A11" t="s">
        <v>27</v>
      </c>
      <c r="B11" t="s">
        <v>26</v>
      </c>
      <c r="W11" t="s">
        <v>185</v>
      </c>
      <c r="X11">
        <v>8.5</v>
      </c>
    </row>
    <row r="12" spans="1:30" x14ac:dyDescent="0.25">
      <c r="A12" t="s">
        <v>29</v>
      </c>
      <c r="B12" t="s">
        <v>28</v>
      </c>
      <c r="W12" t="s">
        <v>186</v>
      </c>
      <c r="X12">
        <v>7.8000001907348633</v>
      </c>
    </row>
    <row r="13" spans="1:30" x14ac:dyDescent="0.25">
      <c r="A13" t="s">
        <v>31</v>
      </c>
      <c r="B13" t="s">
        <v>30</v>
      </c>
      <c r="W13" t="s">
        <v>227</v>
      </c>
      <c r="X13" s="2">
        <v>154</v>
      </c>
    </row>
    <row r="14" spans="1:30" x14ac:dyDescent="0.25">
      <c r="A14" t="s">
        <v>33</v>
      </c>
      <c r="B14" t="s">
        <v>32</v>
      </c>
      <c r="W14" t="s">
        <v>228</v>
      </c>
      <c r="X14">
        <f>47.3/130</f>
        <v>0.36384615384615382</v>
      </c>
    </row>
    <row r="15" spans="1:30" x14ac:dyDescent="0.25">
      <c r="A15" t="s">
        <v>37</v>
      </c>
      <c r="B15" t="s">
        <v>36</v>
      </c>
    </row>
    <row r="16" spans="1:30" x14ac:dyDescent="0.25">
      <c r="A16" t="s">
        <v>39</v>
      </c>
      <c r="B16" t="s">
        <v>38</v>
      </c>
      <c r="W16" s="15">
        <v>215</v>
      </c>
      <c r="X16" s="15"/>
    </row>
    <row r="17" spans="1:24" x14ac:dyDescent="0.25">
      <c r="A17" t="s">
        <v>41</v>
      </c>
      <c r="B17" t="s">
        <v>40</v>
      </c>
      <c r="W17" t="s">
        <v>182</v>
      </c>
      <c r="X17">
        <v>267.95999145507813</v>
      </c>
    </row>
    <row r="18" spans="1:24" x14ac:dyDescent="0.25">
      <c r="A18" t="s">
        <v>43</v>
      </c>
      <c r="B18" t="s">
        <v>42</v>
      </c>
      <c r="W18" t="s">
        <v>183</v>
      </c>
      <c r="X18">
        <v>260.04000854492188</v>
      </c>
    </row>
    <row r="19" spans="1:24" x14ac:dyDescent="0.25">
      <c r="A19" t="s">
        <v>45</v>
      </c>
      <c r="B19" t="s">
        <v>44</v>
      </c>
      <c r="W19" t="s">
        <v>185</v>
      </c>
      <c r="X19">
        <v>8.25</v>
      </c>
    </row>
    <row r="20" spans="1:24" x14ac:dyDescent="0.25">
      <c r="A20" t="s">
        <v>47</v>
      </c>
      <c r="B20" t="s">
        <v>46</v>
      </c>
      <c r="W20" t="s">
        <v>186</v>
      </c>
      <c r="X20">
        <v>6.75</v>
      </c>
    </row>
    <row r="21" spans="1:24" x14ac:dyDescent="0.25">
      <c r="A21" t="s">
        <v>49</v>
      </c>
      <c r="B21" t="s">
        <v>48</v>
      </c>
      <c r="K21" t="s">
        <v>202</v>
      </c>
      <c r="L21" t="s">
        <v>203</v>
      </c>
      <c r="M21">
        <v>215</v>
      </c>
      <c r="N21" t="s">
        <v>204</v>
      </c>
      <c r="W21" t="s">
        <v>227</v>
      </c>
      <c r="X21" s="2">
        <v>154</v>
      </c>
    </row>
    <row r="22" spans="1:24" x14ac:dyDescent="0.25">
      <c r="A22" t="s">
        <v>51</v>
      </c>
      <c r="B22" t="s">
        <v>50</v>
      </c>
      <c r="J22" t="s">
        <v>2</v>
      </c>
      <c r="K22" t="s">
        <v>290</v>
      </c>
      <c r="L22">
        <v>91178</v>
      </c>
      <c r="M22">
        <v>12366</v>
      </c>
      <c r="N22">
        <v>14255</v>
      </c>
      <c r="W22" t="s">
        <v>228</v>
      </c>
      <c r="X22">
        <f>47.3/130</f>
        <v>0.36384615384615382</v>
      </c>
    </row>
    <row r="23" spans="1:24" x14ac:dyDescent="0.25">
      <c r="A23" t="s">
        <v>53</v>
      </c>
      <c r="B23" t="s">
        <v>52</v>
      </c>
      <c r="J23" t="s">
        <v>206</v>
      </c>
      <c r="K23" t="s">
        <v>291</v>
      </c>
      <c r="L23">
        <v>160988</v>
      </c>
      <c r="N23">
        <v>156315</v>
      </c>
    </row>
    <row r="24" spans="1:24" x14ac:dyDescent="0.25">
      <c r="A24" t="s">
        <v>55</v>
      </c>
      <c r="B24" t="s">
        <v>54</v>
      </c>
      <c r="J24" t="s">
        <v>207</v>
      </c>
      <c r="K24" t="s">
        <v>263</v>
      </c>
      <c r="L24" t="s">
        <v>262</v>
      </c>
      <c r="M24" t="s">
        <v>243</v>
      </c>
      <c r="N24" t="s">
        <v>210</v>
      </c>
      <c r="W24" s="15" t="s">
        <v>204</v>
      </c>
      <c r="X24" s="15"/>
    </row>
    <row r="25" spans="1:24" x14ac:dyDescent="0.25">
      <c r="A25" t="s">
        <v>57</v>
      </c>
      <c r="B25" t="s">
        <v>56</v>
      </c>
      <c r="J25" t="s">
        <v>208</v>
      </c>
      <c r="K25" s="2">
        <v>2.17</v>
      </c>
      <c r="L25" s="2">
        <v>2.17</v>
      </c>
      <c r="M25" s="2">
        <v>1.87</v>
      </c>
      <c r="N25" s="2">
        <v>2.17</v>
      </c>
      <c r="W25" t="s">
        <v>182</v>
      </c>
      <c r="X25">
        <v>270</v>
      </c>
    </row>
    <row r="26" spans="1:24" x14ac:dyDescent="0.25">
      <c r="A26" t="s">
        <v>59</v>
      </c>
      <c r="B26" t="s">
        <v>58</v>
      </c>
      <c r="J26" t="s">
        <v>227</v>
      </c>
      <c r="K26">
        <v>131.41999999999999</v>
      </c>
      <c r="L26">
        <v>131.5</v>
      </c>
      <c r="M26">
        <v>113.51</v>
      </c>
      <c r="W26" t="s">
        <v>183</v>
      </c>
      <c r="X26">
        <v>264</v>
      </c>
    </row>
    <row r="27" spans="1:24" ht="360" x14ac:dyDescent="0.25">
      <c r="A27" t="s">
        <v>61</v>
      </c>
      <c r="B27" t="s">
        <v>60</v>
      </c>
      <c r="J27" s="5" t="s">
        <v>241</v>
      </c>
      <c r="K27" s="13" t="s">
        <v>288</v>
      </c>
      <c r="L27" s="13" t="s">
        <v>251</v>
      </c>
      <c r="M27" s="13" t="s">
        <v>244</v>
      </c>
      <c r="N27" s="5" t="s">
        <v>242</v>
      </c>
      <c r="O27" s="5"/>
      <c r="W27" t="s">
        <v>185</v>
      </c>
      <c r="X27">
        <v>8.5</v>
      </c>
    </row>
    <row r="28" spans="1:24" x14ac:dyDescent="0.25">
      <c r="A28" t="s">
        <v>63</v>
      </c>
      <c r="B28" t="s">
        <v>62</v>
      </c>
      <c r="W28" t="s">
        <v>186</v>
      </c>
      <c r="X28">
        <v>7.8000001907348633</v>
      </c>
    </row>
    <row r="29" spans="1:24" x14ac:dyDescent="0.25">
      <c r="A29" t="s">
        <v>65</v>
      </c>
      <c r="B29" t="s">
        <v>64</v>
      </c>
      <c r="W29" t="s">
        <v>227</v>
      </c>
      <c r="X29" s="2">
        <v>154</v>
      </c>
    </row>
    <row r="30" spans="1:24" x14ac:dyDescent="0.25">
      <c r="A30" t="s">
        <v>66</v>
      </c>
      <c r="B30" t="s">
        <v>66</v>
      </c>
      <c r="W30" t="s">
        <v>228</v>
      </c>
      <c r="X30">
        <f>47.3/130</f>
        <v>0.36384615384615382</v>
      </c>
    </row>
    <row r="31" spans="1:24" x14ac:dyDescent="0.25">
      <c r="A31" t="s">
        <v>68</v>
      </c>
      <c r="B31" t="s">
        <v>67</v>
      </c>
    </row>
    <row r="32" spans="1:24" x14ac:dyDescent="0.25">
      <c r="A32" t="s">
        <v>70</v>
      </c>
      <c r="B32" t="s">
        <v>69</v>
      </c>
    </row>
    <row r="33" spans="1:2" x14ac:dyDescent="0.25">
      <c r="A33" t="s">
        <v>72</v>
      </c>
      <c r="B33" t="s">
        <v>71</v>
      </c>
    </row>
    <row r="34" spans="1:2" x14ac:dyDescent="0.25">
      <c r="A34" t="s">
        <v>74</v>
      </c>
      <c r="B34" t="s">
        <v>73</v>
      </c>
    </row>
    <row r="35" spans="1:2" x14ac:dyDescent="0.25">
      <c r="A35" t="s">
        <v>76</v>
      </c>
      <c r="B35" t="s">
        <v>75</v>
      </c>
    </row>
    <row r="36" spans="1:2" x14ac:dyDescent="0.25">
      <c r="A36" t="s">
        <v>78</v>
      </c>
      <c r="B36" t="s">
        <v>77</v>
      </c>
    </row>
    <row r="37" spans="1:2" x14ac:dyDescent="0.25">
      <c r="A37" t="s">
        <v>80</v>
      </c>
      <c r="B37" t="s">
        <v>79</v>
      </c>
    </row>
    <row r="38" spans="1:2" x14ac:dyDescent="0.25">
      <c r="A38" t="s">
        <v>82</v>
      </c>
      <c r="B38" t="s">
        <v>81</v>
      </c>
    </row>
    <row r="39" spans="1:2" x14ac:dyDescent="0.25">
      <c r="A39" t="s">
        <v>84</v>
      </c>
      <c r="B39" t="s">
        <v>83</v>
      </c>
    </row>
    <row r="40" spans="1:2" x14ac:dyDescent="0.25">
      <c r="A40" t="s">
        <v>86</v>
      </c>
      <c r="B40" t="s">
        <v>85</v>
      </c>
    </row>
    <row r="41" spans="1:2" x14ac:dyDescent="0.25">
      <c r="A41" t="s">
        <v>88</v>
      </c>
      <c r="B41" t="s">
        <v>87</v>
      </c>
    </row>
    <row r="42" spans="1:2" x14ac:dyDescent="0.25">
      <c r="A42" t="s">
        <v>90</v>
      </c>
      <c r="B42" t="s">
        <v>89</v>
      </c>
    </row>
    <row r="43" spans="1:2" x14ac:dyDescent="0.25">
      <c r="A43" t="s">
        <v>92</v>
      </c>
      <c r="B43" t="s">
        <v>91</v>
      </c>
    </row>
    <row r="44" spans="1:2" x14ac:dyDescent="0.25">
      <c r="A44" t="s">
        <v>94</v>
      </c>
      <c r="B44" t="s">
        <v>93</v>
      </c>
    </row>
    <row r="45" spans="1:2" x14ac:dyDescent="0.25">
      <c r="A45" t="s">
        <v>96</v>
      </c>
      <c r="B45" t="s">
        <v>95</v>
      </c>
    </row>
    <row r="46" spans="1:2" x14ac:dyDescent="0.25">
      <c r="A46" t="s">
        <v>98</v>
      </c>
      <c r="B46" t="s">
        <v>97</v>
      </c>
    </row>
    <row r="47" spans="1:2" x14ac:dyDescent="0.25">
      <c r="A47" t="s">
        <v>100</v>
      </c>
      <c r="B47" t="s">
        <v>99</v>
      </c>
    </row>
    <row r="48" spans="1:2" x14ac:dyDescent="0.25">
      <c r="A48" t="s">
        <v>102</v>
      </c>
      <c r="B48" t="s">
        <v>101</v>
      </c>
    </row>
    <row r="49" spans="1:2" x14ac:dyDescent="0.25">
      <c r="A49" t="s">
        <v>104</v>
      </c>
      <c r="B49" t="s">
        <v>103</v>
      </c>
    </row>
    <row r="50" spans="1:2" x14ac:dyDescent="0.25">
      <c r="A50" t="s">
        <v>106</v>
      </c>
      <c r="B50" t="s">
        <v>105</v>
      </c>
    </row>
    <row r="51" spans="1:2" x14ac:dyDescent="0.25">
      <c r="A51" t="s">
        <v>108</v>
      </c>
      <c r="B51" t="s">
        <v>107</v>
      </c>
    </row>
    <row r="52" spans="1:2" x14ac:dyDescent="0.25">
      <c r="A52" t="s">
        <v>110</v>
      </c>
      <c r="B52" t="s">
        <v>109</v>
      </c>
    </row>
    <row r="53" spans="1:2" x14ac:dyDescent="0.25">
      <c r="A53" t="s">
        <v>112</v>
      </c>
      <c r="B53" t="s">
        <v>111</v>
      </c>
    </row>
    <row r="54" spans="1:2" x14ac:dyDescent="0.25">
      <c r="A54" t="s">
        <v>114</v>
      </c>
      <c r="B54" t="s">
        <v>113</v>
      </c>
    </row>
    <row r="55" spans="1:2" x14ac:dyDescent="0.25">
      <c r="A55" t="s">
        <v>116</v>
      </c>
      <c r="B55" t="s">
        <v>115</v>
      </c>
    </row>
    <row r="56" spans="1:2" x14ac:dyDescent="0.25">
      <c r="A56" t="s">
        <v>118</v>
      </c>
      <c r="B56" t="s">
        <v>117</v>
      </c>
    </row>
    <row r="57" spans="1:2" x14ac:dyDescent="0.25">
      <c r="A57" t="s">
        <v>120</v>
      </c>
      <c r="B57" t="s">
        <v>119</v>
      </c>
    </row>
    <row r="58" spans="1:2" x14ac:dyDescent="0.25">
      <c r="A58" t="s">
        <v>122</v>
      </c>
      <c r="B58" t="s">
        <v>121</v>
      </c>
    </row>
    <row r="59" spans="1:2" x14ac:dyDescent="0.25">
      <c r="A59" t="s">
        <v>124</v>
      </c>
      <c r="B59" t="s">
        <v>123</v>
      </c>
    </row>
    <row r="60" spans="1:2" x14ac:dyDescent="0.25">
      <c r="A60" t="s">
        <v>126</v>
      </c>
      <c r="B60" t="s">
        <v>125</v>
      </c>
    </row>
    <row r="61" spans="1:2" x14ac:dyDescent="0.25">
      <c r="A61" t="s">
        <v>128</v>
      </c>
      <c r="B61" t="s">
        <v>127</v>
      </c>
    </row>
    <row r="62" spans="1:2" x14ac:dyDescent="0.25">
      <c r="A62" t="s">
        <v>130</v>
      </c>
      <c r="B62" t="s">
        <v>129</v>
      </c>
    </row>
    <row r="63" spans="1:2" x14ac:dyDescent="0.25">
      <c r="A63" t="s">
        <v>132</v>
      </c>
      <c r="B63" t="s">
        <v>131</v>
      </c>
    </row>
    <row r="64" spans="1:2" x14ac:dyDescent="0.25">
      <c r="A64" t="s">
        <v>134</v>
      </c>
      <c r="B64" t="s">
        <v>133</v>
      </c>
    </row>
    <row r="65" spans="1:2" x14ac:dyDescent="0.25">
      <c r="A65" t="s">
        <v>136</v>
      </c>
      <c r="B65" t="s">
        <v>135</v>
      </c>
    </row>
    <row r="66" spans="1:2" x14ac:dyDescent="0.25">
      <c r="A66" t="s">
        <v>138</v>
      </c>
      <c r="B66" t="s">
        <v>137</v>
      </c>
    </row>
    <row r="67" spans="1:2" x14ac:dyDescent="0.25">
      <c r="A67" t="s">
        <v>140</v>
      </c>
      <c r="B67" t="s">
        <v>139</v>
      </c>
    </row>
    <row r="68" spans="1:2" x14ac:dyDescent="0.25">
      <c r="A68" t="s">
        <v>142</v>
      </c>
      <c r="B68" t="s">
        <v>141</v>
      </c>
    </row>
    <row r="69" spans="1:2" x14ac:dyDescent="0.25">
      <c r="A69" t="s">
        <v>144</v>
      </c>
      <c r="B69" t="s">
        <v>143</v>
      </c>
    </row>
    <row r="70" spans="1:2" x14ac:dyDescent="0.25">
      <c r="A70" t="s">
        <v>146</v>
      </c>
      <c r="B70" t="s">
        <v>145</v>
      </c>
    </row>
    <row r="71" spans="1:2" x14ac:dyDescent="0.25">
      <c r="A71" t="s">
        <v>148</v>
      </c>
      <c r="B71" t="s">
        <v>147</v>
      </c>
    </row>
    <row r="72" spans="1:2" x14ac:dyDescent="0.25">
      <c r="A72" t="s">
        <v>150</v>
      </c>
      <c r="B72" t="s">
        <v>149</v>
      </c>
    </row>
    <row r="73" spans="1:2" x14ac:dyDescent="0.25">
      <c r="A73" t="s">
        <v>152</v>
      </c>
      <c r="B73" t="s">
        <v>151</v>
      </c>
    </row>
    <row r="74" spans="1:2" x14ac:dyDescent="0.25">
      <c r="A74" t="s">
        <v>156</v>
      </c>
      <c r="B74" t="s">
        <v>155</v>
      </c>
    </row>
    <row r="75" spans="1:2" x14ac:dyDescent="0.25">
      <c r="A75" t="s">
        <v>158</v>
      </c>
      <c r="B75" t="s">
        <v>157</v>
      </c>
    </row>
    <row r="76" spans="1:2" x14ac:dyDescent="0.25">
      <c r="A76" t="s">
        <v>160</v>
      </c>
      <c r="B76" t="s">
        <v>159</v>
      </c>
    </row>
    <row r="77" spans="1:2" x14ac:dyDescent="0.25">
      <c r="A77" t="s">
        <v>162</v>
      </c>
      <c r="B77" t="s">
        <v>161</v>
      </c>
    </row>
  </sheetData>
  <mergeCells count="4">
    <mergeCell ref="W8:X8"/>
    <mergeCell ref="W16:X16"/>
    <mergeCell ref="W24:X24"/>
    <mergeCell ref="E6:F6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igrationWizIdSecurityGroups xmlns="8e81cc99-94dd-4cfc-aa9f-d8c4fc7dc509" xsi:nil="true"/>
    <MigrationWizIdPermissionLevels xmlns="8e81cc99-94dd-4cfc-aa9f-d8c4fc7dc509" xsi:nil="true"/>
    <MigrationWizIdPermissions xmlns="8e81cc99-94dd-4cfc-aa9f-d8c4fc7dc509" xsi:nil="true"/>
    <MigrationWizIdDocumentLibraryPermissions xmlns="8e81cc99-94dd-4cfc-aa9f-d8c4fc7dc509" xsi:nil="true"/>
    <MigrationWizId xmlns="8e81cc99-94dd-4cfc-aa9f-d8c4fc7dc509" xsi:nil="true"/>
    <_activity xmlns="8e81cc99-94dd-4cfc-aa9f-d8c4fc7dc50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1E655B78A654940BA91C0654B61B38A" ma:contentTypeVersion="23" ma:contentTypeDescription="Create a new document." ma:contentTypeScope="" ma:versionID="cfb1f48abafba56839d28beabd031f02">
  <xsd:schema xmlns:xsd="http://www.w3.org/2001/XMLSchema" xmlns:xs="http://www.w3.org/2001/XMLSchema" xmlns:p="http://schemas.microsoft.com/office/2006/metadata/properties" xmlns:ns3="8e81cc99-94dd-4cfc-aa9f-d8c4fc7dc509" xmlns:ns4="e2cad8e1-7a0a-4dc9-b7ea-2f8d495f6182" targetNamespace="http://schemas.microsoft.com/office/2006/metadata/properties" ma:root="true" ma:fieldsID="88ecf0ea56665f817f8362f2c75bac50" ns3:_="" ns4:_="">
    <xsd:import namespace="8e81cc99-94dd-4cfc-aa9f-d8c4fc7dc509"/>
    <xsd:import namespace="e2cad8e1-7a0a-4dc9-b7ea-2f8d495f6182"/>
    <xsd:element name="properties">
      <xsd:complexType>
        <xsd:sequence>
          <xsd:element name="documentManagement">
            <xsd:complexType>
              <xsd:all>
                <xsd:element ref="ns3:MigrationWizId" minOccurs="0"/>
                <xsd:element ref="ns3:MigrationWizIdPermissions" minOccurs="0"/>
                <xsd:element ref="ns3:MigrationWizIdPermissionLevels" minOccurs="0"/>
                <xsd:element ref="ns3:MigrationWizIdDocumentLibraryPermissions" minOccurs="0"/>
                <xsd:element ref="ns3:MigrationWizIdSecurityGroups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_activity" minOccurs="0"/>
                <xsd:element ref="ns3:MediaServiceLocation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e81cc99-94dd-4cfc-aa9f-d8c4fc7dc509" elementFormDefault="qualified">
    <xsd:import namespace="http://schemas.microsoft.com/office/2006/documentManagement/types"/>
    <xsd:import namespace="http://schemas.microsoft.com/office/infopath/2007/PartnerControls"/>
    <xsd:element name="MigrationWizId" ma:index="8" nillable="true" ma:displayName="MigrationWizId" ma:internalName="MigrationWizId">
      <xsd:simpleType>
        <xsd:restriction base="dms:Text"/>
      </xsd:simpleType>
    </xsd:element>
    <xsd:element name="MigrationWizIdPermissions" ma:index="9" nillable="true" ma:displayName="MigrationWizIdPermissions" ma:internalName="MigrationWizIdPermissions">
      <xsd:simpleType>
        <xsd:restriction base="dms:Text"/>
      </xsd:simpleType>
    </xsd:element>
    <xsd:element name="MigrationWizIdPermissionLevels" ma:index="10" nillable="true" ma:displayName="MigrationWizIdPermissionLevels" ma:internalName="MigrationWizIdPermissionLevels">
      <xsd:simpleType>
        <xsd:restriction base="dms:Text"/>
      </xsd:simpleType>
    </xsd:element>
    <xsd:element name="MigrationWizIdDocumentLibraryPermissions" ma:index="11" nillable="true" ma:displayName="MigrationWizIdDocumentLibraryPermissions" ma:internalName="MigrationWizIdDocumentLibraryPermissions">
      <xsd:simpleType>
        <xsd:restriction base="dms:Text"/>
      </xsd:simpleType>
    </xsd:element>
    <xsd:element name="MigrationWizIdSecurityGroups" ma:index="12" nillable="true" ma:displayName="MigrationWizIdSecurityGroups" ma:internalName="MigrationWizIdSecurityGroups">
      <xsd:simpleType>
        <xsd:restriction base="dms:Text"/>
      </xsd:simpleType>
    </xsd:element>
    <xsd:element name="MediaServiceMetadata" ma:index="13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21" nillable="true" ma:displayName="Tags" ma:internalName="MediaServiceAutoTags" ma:readOnly="true">
      <xsd:simpleType>
        <xsd:restriction base="dms:Text"/>
      </xsd:simpleType>
    </xsd:element>
    <xsd:element name="MediaServiceOCR" ma:index="2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5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26" nillable="true" ma:displayName="_activity" ma:hidden="true" ma:internalName="_activity">
      <xsd:simpleType>
        <xsd:restriction base="dms:Note"/>
      </xsd:simpleType>
    </xsd:element>
    <xsd:element name="MediaServiceLocation" ma:index="27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9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3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2cad8e1-7a0a-4dc9-b7ea-2f8d495f6182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7079621F-73F8-4A08-9481-FDD15D360C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84ED0C7-9F15-456C-AA66-D7C095E2C845}">
  <ds:schemaRefs>
    <ds:schemaRef ds:uri="http://schemas.microsoft.com/office/2006/documentManagement/types"/>
    <ds:schemaRef ds:uri="http://www.w3.org/XML/1998/namespace"/>
    <ds:schemaRef ds:uri="http://purl.org/dc/elements/1.1/"/>
    <ds:schemaRef ds:uri="http://schemas.microsoft.com/office/2006/metadata/properties"/>
    <ds:schemaRef ds:uri="http://purl.org/dc/terms/"/>
    <ds:schemaRef ds:uri="http://purl.org/dc/dcmitype/"/>
    <ds:schemaRef ds:uri="http://schemas.openxmlformats.org/package/2006/metadata/core-properties"/>
    <ds:schemaRef ds:uri="http://schemas.microsoft.com/office/infopath/2007/PartnerControls"/>
    <ds:schemaRef ds:uri="e2cad8e1-7a0a-4dc9-b7ea-2f8d495f6182"/>
    <ds:schemaRef ds:uri="8e81cc99-94dd-4cfc-aa9f-d8c4fc7dc509"/>
  </ds:schemaRefs>
</ds:datastoreItem>
</file>

<file path=customXml/itemProps3.xml><?xml version="1.0" encoding="utf-8"?>
<ds:datastoreItem xmlns:ds="http://schemas.openxmlformats.org/officeDocument/2006/customXml" ds:itemID="{3B0A4A02-8AED-45F6-85FF-19E2FB21D3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e81cc99-94dd-4cfc-aa9f-d8c4fc7dc509"/>
    <ds:schemaRef ds:uri="e2cad8e1-7a0a-4dc9-b7ea-2f8d495f618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9588464-81DA-4BDA-B0AC-B271DFD5AD0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Sheet1</vt:lpstr>
      <vt:lpstr>SandTrans</vt:lpstr>
      <vt:lpstr>AppControl</vt:lpstr>
      <vt:lpstr>Sheet2</vt:lpstr>
      <vt:lpstr>Defects</vt:lpstr>
      <vt:lpstr>TubeODs</vt:lpstr>
      <vt:lpstr>WebbItems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Parkinson, Jesse</dc:creator>
  <cp:lastModifiedBy>Patil, Dhananjay</cp:lastModifiedBy>
  <dcterms:created xsi:type="dcterms:W3CDTF">2025-11-15T12:56:42Z</dcterms:created>
  <dcterms:modified xsi:type="dcterms:W3CDTF">2026-03-16T11:59:12Z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0x010100A1E655B78A654940BA91C0654B61B38A</vt:lpwstr>
  </property>
</Properties>
</file>