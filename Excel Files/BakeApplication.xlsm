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omentivetech-my.sharepoint.com/personal/jesse_parkinson_momentivetech_com/Documents/Documents/Development Files/Furnace Deck/"/>
    </mc:Choice>
  </mc:AlternateContent>
  <xr:revisionPtr revIDLastSave="1662" documentId="8_{6681055B-0C06-4505-BBA8-094D838AD286}" xr6:coauthVersionLast="47" xr6:coauthVersionMax="47" xr10:uidLastSave="{8E9AC156-1052-4606-97DD-1A5A4289FA84}"/>
  <bookViews>
    <workbookView xWindow="33945" yWindow="2580" windowWidth="21600" windowHeight="11295" xr2:uid="{00000000-000D-0000-FFFF-FFFF00000000}"/>
  </bookViews>
  <sheets>
    <sheet name="Sheet1" sheetId="1" r:id="rId1"/>
    <sheet name="Sheet2" sheetId="2" r:id="rId2"/>
    <sheet name="SandTrans" sheetId="3" r:id="rId3"/>
  </sheets>
  <functionGroups builtInGroupCount="19"/>
  <definedNames>
    <definedName name="_xlnm._FilterDatabase" localSheetId="0" hidden="1">Sheet1!$A$1:$M$1</definedName>
    <definedName name="Defects">Sheet2!$A$1:$B$93</definedName>
    <definedName name="Furnaces">Sheet2!$C$7:$C$32</definedName>
    <definedName name="Hampers">Sheet2!$G$13:$H$30</definedName>
    <definedName name="LabelPrinters">Sheet2!$D$34:$F$38</definedName>
    <definedName name="NewarkOvens">Sheet2!$G$1:$H$10</definedName>
    <definedName name="TubeODs">Sheet2!$D$1:$E$4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10" i="2" l="1"/>
  <c r="Q10" i="2"/>
  <c r="U9" i="2"/>
  <c r="U8" i="2"/>
  <c r="P8" i="2"/>
  <c r="N8" i="2"/>
  <c r="L8" i="2"/>
  <c r="U7" i="2"/>
  <c r="Q7" i="2"/>
  <c r="O7" i="2"/>
  <c r="M7" i="2"/>
</calcChain>
</file>

<file path=xl/sharedStrings.xml><?xml version="1.0" encoding="utf-8"?>
<sst xmlns="http://schemas.openxmlformats.org/spreadsheetml/2006/main" count="25670" uniqueCount="1664">
  <si>
    <t>Oven</t>
  </si>
  <si>
    <t>Date/Time</t>
  </si>
  <si>
    <t>Pallet Card</t>
  </si>
  <si>
    <t>Operator</t>
  </si>
  <si>
    <t>Process Order</t>
  </si>
  <si>
    <t>Item Number</t>
  </si>
  <si>
    <t>Item Description</t>
  </si>
  <si>
    <t>Batch</t>
  </si>
  <si>
    <t>Total Bake Hours</t>
  </si>
  <si>
    <t>Entered in SAP?</t>
  </si>
  <si>
    <t>Time Per Tube</t>
  </si>
  <si>
    <t>Unbaked Item</t>
  </si>
  <si>
    <t>UnBaked Desc</t>
  </si>
  <si>
    <t>Baked Qty</t>
  </si>
  <si>
    <t>Unbaked Qty</t>
  </si>
  <si>
    <t>Comments</t>
  </si>
  <si>
    <t>Hamper Item</t>
  </si>
  <si>
    <t>Hamper qty</t>
  </si>
  <si>
    <t>Hamper Loc</t>
  </si>
  <si>
    <t>Hamper mvt type</t>
  </si>
  <si>
    <t>Strapping Num</t>
  </si>
  <si>
    <t>Strapping QTY</t>
  </si>
  <si>
    <t>Strapping Loc</t>
  </si>
  <si>
    <t>Strapping mvt type</t>
  </si>
  <si>
    <t>Source Stock Location</t>
  </si>
  <si>
    <t>NumLabel1</t>
  </si>
  <si>
    <t>lblQty1</t>
  </si>
  <si>
    <t>NumLabel2</t>
  </si>
  <si>
    <t>lblQty2</t>
  </si>
  <si>
    <t>NumLabel3</t>
  </si>
  <si>
    <t>lblQty3</t>
  </si>
  <si>
    <t>NumLabel4</t>
  </si>
  <si>
    <t>lblQty4</t>
  </si>
  <si>
    <t>Second Hamper Item</t>
  </si>
  <si>
    <t>Second Hamper qty</t>
  </si>
  <si>
    <t>Second Hamper Loc</t>
  </si>
  <si>
    <t>Second Hamper mvt type</t>
  </si>
  <si>
    <t>NV0F</t>
  </si>
  <si>
    <t>NV0D</t>
  </si>
  <si>
    <t>NV0G</t>
  </si>
  <si>
    <t>0100</t>
  </si>
  <si>
    <t/>
  </si>
  <si>
    <t>NV0H</t>
  </si>
  <si>
    <t>NV0E</t>
  </si>
  <si>
    <t>NV0I</t>
  </si>
  <si>
    <t>NV0A</t>
  </si>
  <si>
    <t>214FSB 251X267-138 IN BAKED</t>
  </si>
  <si>
    <t>NV0B</t>
  </si>
  <si>
    <t>NV0J</t>
  </si>
  <si>
    <t>0015</t>
  </si>
  <si>
    <t>NV0C</t>
  </si>
  <si>
    <t>ADHERED MATL</t>
  </si>
  <si>
    <t>ADHM</t>
  </si>
  <si>
    <t>A</t>
  </si>
  <si>
    <t>Online</t>
  </si>
  <si>
    <t>Airline Bumpy</t>
  </si>
  <si>
    <t>AIRB</t>
  </si>
  <si>
    <t>B</t>
  </si>
  <si>
    <t>Airlines last 2” both ends</t>
  </si>
  <si>
    <t>AIRE</t>
  </si>
  <si>
    <t>C</t>
  </si>
  <si>
    <t>AIRLINES-ARROWHEAD</t>
  </si>
  <si>
    <t>AIRH</t>
  </si>
  <si>
    <t>D</t>
  </si>
  <si>
    <t>Kg/inch</t>
  </si>
  <si>
    <t>AIRLINE</t>
  </si>
  <si>
    <t>AIRL</t>
  </si>
  <si>
    <t>E</t>
  </si>
  <si>
    <t>Airline Open</t>
  </si>
  <si>
    <t>AIRO</t>
  </si>
  <si>
    <t>F</t>
  </si>
  <si>
    <t>130" sand</t>
  </si>
  <si>
    <t>130" MM03</t>
  </si>
  <si>
    <t>154" sand</t>
  </si>
  <si>
    <t>154" MM03</t>
  </si>
  <si>
    <t>138" sand</t>
  </si>
  <si>
    <t>138" MM03</t>
  </si>
  <si>
    <t>112"</t>
  </si>
  <si>
    <t>Actual</t>
  </si>
  <si>
    <t>Airline Stringer</t>
  </si>
  <si>
    <t>AIRS</t>
  </si>
  <si>
    <t>NF21</t>
  </si>
  <si>
    <t>G</t>
  </si>
  <si>
    <t>BAFFLE CHANGE</t>
  </si>
  <si>
    <t>BACH</t>
  </si>
  <si>
    <t>NF22</t>
  </si>
  <si>
    <t>H</t>
  </si>
  <si>
    <t>UNBANKING LOSS</t>
  </si>
  <si>
    <t>BANK</t>
  </si>
  <si>
    <t>NF23</t>
  </si>
  <si>
    <t>I</t>
  </si>
  <si>
    <t>Bat wing gray line</t>
  </si>
  <si>
    <t>BATW</t>
  </si>
  <si>
    <t>NF24</t>
  </si>
  <si>
    <t>J</t>
  </si>
  <si>
    <t>BROWN/BLUE/BLACK LINE</t>
  </si>
  <si>
    <t>BBBL</t>
  </si>
  <si>
    <t>NF25</t>
  </si>
  <si>
    <t>Black Spot</t>
  </si>
  <si>
    <t>BLSX</t>
  </si>
  <si>
    <t>NF26</t>
  </si>
  <si>
    <t>BOWED</t>
  </si>
  <si>
    <t>BOWD</t>
  </si>
  <si>
    <t>NF27</t>
  </si>
  <si>
    <t>52" EMPTY Hamper</t>
  </si>
  <si>
    <t>BROKEN HANDLING</t>
  </si>
  <si>
    <t>BRK1</t>
  </si>
  <si>
    <t>NF28</t>
  </si>
  <si>
    <t>58" EMPTY Hamper</t>
  </si>
  <si>
    <t>BUBBLE</t>
  </si>
  <si>
    <t>BUB1</t>
  </si>
  <si>
    <t>66" EMPTY Hamper</t>
  </si>
  <si>
    <t>BUBBLE CLUSTER</t>
  </si>
  <si>
    <t>BUB2</t>
  </si>
  <si>
    <t>70" EMPTY Hamper</t>
  </si>
  <si>
    <t>BUBBLES - OD</t>
  </si>
  <si>
    <t>BUB7</t>
  </si>
  <si>
    <t>86" EMPTY Hamper</t>
  </si>
  <si>
    <t>FURNACE CHANGEOVER</t>
  </si>
  <si>
    <t>CHNG</t>
  </si>
  <si>
    <t>110" EMPTY HAMPER</t>
  </si>
  <si>
    <t>CHICKEN SCRATCH</t>
  </si>
  <si>
    <t>CHSC</t>
  </si>
  <si>
    <t>130" (187-210) 8-PACK HAMPER</t>
  </si>
  <si>
    <t>CORE LEG LINES</t>
  </si>
  <si>
    <t>CLEG</t>
  </si>
  <si>
    <t>130" EMPTY HAMPER</t>
  </si>
  <si>
    <t>Core Legs at start-up</t>
  </si>
  <si>
    <t>CLGS</t>
  </si>
  <si>
    <t>130-2 (254-264) 4-PACK HAMPER</t>
  </si>
  <si>
    <t>CLEAR SPOT</t>
  </si>
  <si>
    <t>CLSP</t>
  </si>
  <si>
    <t>148" (187-210) 8-PACK HAMPER</t>
  </si>
  <si>
    <t>Coloration or Streaks</t>
  </si>
  <si>
    <t>COLR</t>
  </si>
  <si>
    <t>NF29</t>
  </si>
  <si>
    <t>148" EMPTY HAMPER</t>
  </si>
  <si>
    <t>CRACK</t>
  </si>
  <si>
    <t>CRAK</t>
  </si>
  <si>
    <t>NF30</t>
  </si>
  <si>
    <t>148-2 (254-264) 4-PACK HAMPER</t>
  </si>
  <si>
    <t>CRACK - SEAM</t>
  </si>
  <si>
    <t>CRKS</t>
  </si>
  <si>
    <t>NF31</t>
  </si>
  <si>
    <t>156" (187-210) 8-PACK HAMPER</t>
  </si>
  <si>
    <t>Stress cracks</t>
  </si>
  <si>
    <t>CRST</t>
  </si>
  <si>
    <t>NF32</t>
  </si>
  <si>
    <t>156" CULLET HAMPER</t>
  </si>
  <si>
    <t>DRAW BREAK</t>
  </si>
  <si>
    <t>DBRK</t>
  </si>
  <si>
    <t>NF33</t>
  </si>
  <si>
    <t>156" EMPTY HAMPER</t>
  </si>
  <si>
    <t>DIRTY BUBBLE</t>
  </si>
  <si>
    <t>DBUB</t>
  </si>
  <si>
    <t>NF34</t>
  </si>
  <si>
    <t>156-2 (254-264) 4-PACK HAMPER</t>
  </si>
  <si>
    <t>DISCOLORED</t>
  </si>
  <si>
    <t>DCOL</t>
  </si>
  <si>
    <t>NF35</t>
  </si>
  <si>
    <t>168 -2 (254-264) 4-PACK HAMPER</t>
  </si>
  <si>
    <t>DEVITRIFICATION</t>
  </si>
  <si>
    <t>DEVT</t>
  </si>
  <si>
    <t>NF36</t>
  </si>
  <si>
    <t>168" EMPTY HAMPER KIT</t>
  </si>
  <si>
    <t>DIP</t>
  </si>
  <si>
    <t>DIP1</t>
  </si>
  <si>
    <t>NF37</t>
  </si>
  <si>
    <t>DIRT</t>
  </si>
  <si>
    <t>NF38</t>
  </si>
  <si>
    <t>DIMPLED BUBBLE</t>
  </si>
  <si>
    <t>DMBB</t>
  </si>
  <si>
    <t>FURNACE DRAIN</t>
  </si>
  <si>
    <t>DRAN</t>
  </si>
  <si>
    <t>Location</t>
  </si>
  <si>
    <t>Name</t>
  </si>
  <si>
    <t>Label Color</t>
  </si>
  <si>
    <t>FEEDER WATER LEAK</t>
  </si>
  <si>
    <t>FEWL</t>
  </si>
  <si>
    <t>Oven Area</t>
  </si>
  <si>
    <t>HEBPRNP055</t>
  </si>
  <si>
    <t>Yellow</t>
  </si>
  <si>
    <t>FLAT TUBE</t>
  </si>
  <si>
    <t>FLAT</t>
  </si>
  <si>
    <t>Lower Shack</t>
  </si>
  <si>
    <t>HEBPRNP054</t>
  </si>
  <si>
    <t>Flow lines</t>
  </si>
  <si>
    <t>FLOW</t>
  </si>
  <si>
    <t>PPE Machine</t>
  </si>
  <si>
    <t>HEBPRNP057</t>
  </si>
  <si>
    <t>White</t>
  </si>
  <si>
    <t>FROSTED SPOTS</t>
  </si>
  <si>
    <t>FRST</t>
  </si>
  <si>
    <t>Upper Shack</t>
  </si>
  <si>
    <t>HEBPRNP056</t>
  </si>
  <si>
    <t>GRAY LINE</t>
  </si>
  <si>
    <t>GRAY</t>
  </si>
  <si>
    <t>Graphite Marks</t>
  </si>
  <si>
    <t>GRMK</t>
  </si>
  <si>
    <t>HEAVY WALL</t>
  </si>
  <si>
    <t>HEWA</t>
  </si>
  <si>
    <t>ID QTZ ADHERED</t>
  </si>
  <si>
    <t>IDQA</t>
  </si>
  <si>
    <t>INCLUSION</t>
  </si>
  <si>
    <t>INC1</t>
  </si>
  <si>
    <t>MANY INCLUSIONS</t>
  </si>
  <si>
    <t>INC2</t>
  </si>
  <si>
    <t>INCLUSION - BLUE</t>
  </si>
  <si>
    <t>INC3</t>
  </si>
  <si>
    <t>INCLUSION - RED</t>
  </si>
  <si>
    <t>INC4</t>
  </si>
  <si>
    <t>INCLUSION - WHITE</t>
  </si>
  <si>
    <t>INC5</t>
  </si>
  <si>
    <t>INCLUSION ID</t>
  </si>
  <si>
    <t>INC6</t>
  </si>
  <si>
    <t>INCLUSION OD</t>
  </si>
  <si>
    <t>INC7</t>
  </si>
  <si>
    <t>Inclusion Exposed</t>
  </si>
  <si>
    <t>INC8</t>
  </si>
  <si>
    <t>LARGE OD</t>
  </si>
  <si>
    <t>LGOD</t>
  </si>
  <si>
    <t>LENGTH - LONG</t>
  </si>
  <si>
    <t>LNGL</t>
  </si>
  <si>
    <t>LENGTH - SHORT</t>
  </si>
  <si>
    <t>LNGS</t>
  </si>
  <si>
    <t>LIGHT WALL</t>
  </si>
  <si>
    <t>LTWA</t>
  </si>
  <si>
    <t>LIGHT WALL AT END</t>
  </si>
  <si>
    <t>LTWE</t>
  </si>
  <si>
    <t>METAL</t>
  </si>
  <si>
    <t>METL</t>
  </si>
  <si>
    <t>Metal at start-up</t>
  </si>
  <si>
    <t>METS</t>
  </si>
  <si>
    <t>MISC MAINT OTHER</t>
  </si>
  <si>
    <t>MMP1</t>
  </si>
  <si>
    <t>MISC MAINT - CHIP OUT</t>
  </si>
  <si>
    <t>MMP2</t>
  </si>
  <si>
    <t>MISC MAINT - CLEAN OUT</t>
  </si>
  <si>
    <t>MMP3</t>
  </si>
  <si>
    <t>MISC MAINT - Crust Removal</t>
  </si>
  <si>
    <t>MMP4</t>
  </si>
  <si>
    <t>MISC MAINT - Cutter Repair</t>
  </si>
  <si>
    <t>MMP5</t>
  </si>
  <si>
    <t>MISC MAINT - DRW MACHINE/ROLLS</t>
  </si>
  <si>
    <t>MMP6</t>
  </si>
  <si>
    <t>MISC MAINT - Feeder Clean</t>
  </si>
  <si>
    <t>MMP7</t>
  </si>
  <si>
    <t>MOLY DARKENING - OD</t>
  </si>
  <si>
    <t>MOLO</t>
  </si>
  <si>
    <t>MOLY DARKENING</t>
  </si>
  <si>
    <t>MOLY</t>
  </si>
  <si>
    <t>MISCELLANEOUS DISTORTION</t>
  </si>
  <si>
    <t>MSCD</t>
  </si>
  <si>
    <t>Miscellaneous</t>
  </si>
  <si>
    <t>MSCL</t>
  </si>
  <si>
    <t>OPEN BUBBLE</t>
  </si>
  <si>
    <t>OBUB</t>
  </si>
  <si>
    <t>OPEN INCLUSION</t>
  </si>
  <si>
    <t>OINC</t>
  </si>
  <si>
    <t>Out of Control Parameter</t>
  </si>
  <si>
    <t>OOCP</t>
  </si>
  <si>
    <t>Optical distortion</t>
  </si>
  <si>
    <t>OPDT</t>
  </si>
  <si>
    <t>ORANGE PEEL</t>
  </si>
  <si>
    <t>ORGP</t>
  </si>
  <si>
    <t>OVALITY</t>
  </si>
  <si>
    <t>OVAL</t>
  </si>
  <si>
    <t>PULSE</t>
  </si>
  <si>
    <t>PULS</t>
  </si>
  <si>
    <t>ROLLER MARK</t>
  </si>
  <si>
    <t>ROLL</t>
  </si>
  <si>
    <t>SAND CHEM FAIL</t>
  </si>
  <si>
    <t>SACH</t>
  </si>
  <si>
    <t>Airlines at start-up</t>
  </si>
  <si>
    <t>SAIR</t>
  </si>
  <si>
    <t>Core Legs at Start-up</t>
  </si>
  <si>
    <t>SCLG</t>
  </si>
  <si>
    <t>SIDING</t>
  </si>
  <si>
    <t>SIDG</t>
  </si>
  <si>
    <t>SMET</t>
  </si>
  <si>
    <t>SMALL ID</t>
  </si>
  <si>
    <t>SMID</t>
  </si>
  <si>
    <t>SMALL OD</t>
  </si>
  <si>
    <t>SMOD</t>
  </si>
  <si>
    <t>FURNACE STARTUP</t>
  </si>
  <si>
    <t>STAR</t>
  </si>
  <si>
    <t>STRINGERS</t>
  </si>
  <si>
    <t>STNG</t>
  </si>
  <si>
    <t>STREAK</t>
  </si>
  <si>
    <t>STRE</t>
  </si>
  <si>
    <t>STRIATIONS</t>
  </si>
  <si>
    <t>STRI</t>
  </si>
  <si>
    <t>SWAB MARKS</t>
  </si>
  <si>
    <t>SWAB</t>
  </si>
  <si>
    <t>SIZE CHANGE</t>
  </si>
  <si>
    <t>SZCH</t>
  </si>
  <si>
    <t>TAPER</t>
  </si>
  <si>
    <t>TAPR</t>
  </si>
  <si>
    <t>FURNACE SAND TRANSITION</t>
  </si>
  <si>
    <t>TRAN</t>
  </si>
  <si>
    <t>TWISTED</t>
  </si>
  <si>
    <t>TWST</t>
  </si>
  <si>
    <t>VAPOR</t>
  </si>
  <si>
    <t>VAPR</t>
  </si>
  <si>
    <t>Sand Item</t>
  </si>
  <si>
    <t>Sand Batch</t>
  </si>
  <si>
    <t>Qty</t>
  </si>
  <si>
    <t>From Location</t>
  </si>
  <si>
    <t>To Location</t>
  </si>
  <si>
    <t>In SAP</t>
  </si>
  <si>
    <t>24hwqq0218</t>
  </si>
  <si>
    <t>24hwqq0163</t>
  </si>
  <si>
    <t>24GWQQ0020</t>
  </si>
  <si>
    <t>24HWQQ0218</t>
  </si>
  <si>
    <t>24FWQQ0125</t>
  </si>
  <si>
    <t>24HWQQ0239</t>
  </si>
  <si>
    <t>24HWQQ0159</t>
  </si>
  <si>
    <t>24HWQQ0151</t>
  </si>
  <si>
    <t>25AWQQ0316</t>
  </si>
  <si>
    <t>25AWQQ0999</t>
  </si>
  <si>
    <t>24HHRA295</t>
  </si>
  <si>
    <t>25BWQQ0100</t>
  </si>
  <si>
    <t>25BWQQ0101</t>
  </si>
  <si>
    <t>25AWQQ0259</t>
  </si>
  <si>
    <t>25AWQQ0106</t>
  </si>
  <si>
    <t>25AWQQ0270</t>
  </si>
  <si>
    <t>25AWQQ0307</t>
  </si>
  <si>
    <t>25BWQQ0201</t>
  </si>
  <si>
    <t>25BWQQ0222</t>
  </si>
  <si>
    <t>25HWQQ0083</t>
  </si>
  <si>
    <t>25HWQQ0041</t>
  </si>
  <si>
    <t>25HWQQ0082</t>
  </si>
  <si>
    <t>25HWQQ0084</t>
  </si>
  <si>
    <t>25HWQQ0192</t>
  </si>
  <si>
    <t>25HWQQ0032</t>
  </si>
  <si>
    <t>25HWQQ0067</t>
  </si>
  <si>
    <t>25HWQQ0048</t>
  </si>
  <si>
    <t>25HWQQ0049</t>
  </si>
  <si>
    <t>25HWQQ0064</t>
  </si>
  <si>
    <t>25HWQQ0053</t>
  </si>
  <si>
    <t>25GWQQ0163</t>
  </si>
  <si>
    <t>25HWQQ0047</t>
  </si>
  <si>
    <t>394.17</t>
  </si>
  <si>
    <t>197.085</t>
  </si>
  <si>
    <t>25HWQQ0044</t>
  </si>
  <si>
    <t>P45426F</t>
  </si>
  <si>
    <t>25GWQQ0162</t>
  </si>
  <si>
    <t>25HWQQ0022</t>
  </si>
  <si>
    <t>25HWQQ0030</t>
  </si>
  <si>
    <t>25HWQQ0133</t>
  </si>
  <si>
    <t>25HWQQ0010</t>
  </si>
  <si>
    <t>25HWQQ0058</t>
  </si>
  <si>
    <t>P45423F</t>
  </si>
  <si>
    <t>25HWQQ0069</t>
  </si>
  <si>
    <t>25HWQQ0068</t>
  </si>
  <si>
    <t>25HWQQ0142</t>
  </si>
  <si>
    <t>25HWQQ0132</t>
  </si>
  <si>
    <t>25HWQQ0120</t>
  </si>
  <si>
    <t>25HWQQ0125</t>
  </si>
  <si>
    <t>25HWQQ0026</t>
  </si>
  <si>
    <t>25HWQQ0060</t>
  </si>
  <si>
    <t>25HWQQ0131</t>
  </si>
  <si>
    <t>25HWQQ0218</t>
  </si>
  <si>
    <t>25HWQQ0213</t>
  </si>
  <si>
    <t>25HWQQ0121</t>
  </si>
  <si>
    <t>25HWQQ0138</t>
  </si>
  <si>
    <t>25HWQQ0126</t>
  </si>
  <si>
    <t>25HWQQ0215</t>
  </si>
  <si>
    <t>25HWQQ0214</t>
  </si>
  <si>
    <t>25HWQQ0137</t>
  </si>
  <si>
    <t>25CWQQ0019</t>
  </si>
  <si>
    <t>25AWQQ0271</t>
  </si>
  <si>
    <t>25BHRA022</t>
  </si>
  <si>
    <t>wickhamc</t>
  </si>
  <si>
    <t>214SQGB 12.6X17.8-1250 BAKED</t>
  </si>
  <si>
    <t>25GNQA005</t>
  </si>
  <si>
    <t>214USQG 12.6X17.8-1250</t>
  </si>
  <si>
    <t>0020</t>
  </si>
  <si>
    <t>Not Serialized</t>
  </si>
  <si>
    <t>2</t>
  </si>
  <si>
    <t>433</t>
  </si>
  <si>
    <t>224HVB 251X267-3300 BAKED</t>
  </si>
  <si>
    <t>25GNQA032</t>
  </si>
  <si>
    <t>224HVU 251X267-3300</t>
  </si>
  <si>
    <t>4</t>
  </si>
  <si>
    <t>214B 8X11-1295 BAKED</t>
  </si>
  <si>
    <t>25GNQA002</t>
  </si>
  <si>
    <t>214U 8X11-1295</t>
  </si>
  <si>
    <t>205</t>
  </si>
  <si>
    <t>214B 9X11.8-1295 FC BAKED</t>
  </si>
  <si>
    <t>25GNQA001</t>
  </si>
  <si>
    <t>214U 9X11.8-1295 FC</t>
  </si>
  <si>
    <t>79</t>
  </si>
  <si>
    <t>richcreekr</t>
  </si>
  <si>
    <t>214B 11X13-51IN SEMI BAKED</t>
  </si>
  <si>
    <t>214U 11X13-51IN SEMI</t>
  </si>
  <si>
    <t>250</t>
  </si>
  <si>
    <t>214HVB 251X267-2743 BAKED</t>
  </si>
  <si>
    <t>25GNQA009</t>
  </si>
  <si>
    <t>214HVU 251X267-2743</t>
  </si>
  <si>
    <t>8</t>
  </si>
  <si>
    <t>Belcherc</t>
  </si>
  <si>
    <t>214HVB 251X267-3750 BAKED</t>
  </si>
  <si>
    <t>25GNQA034</t>
  </si>
  <si>
    <t>214HVU 251X267-3750</t>
  </si>
  <si>
    <t>214HVB 196.9X208-108IN BAKED</t>
  </si>
  <si>
    <t>25GNQA019</t>
  </si>
  <si>
    <t>214HVU 196.9X208-108IN</t>
  </si>
  <si>
    <t>R/O</t>
  </si>
  <si>
    <t>12</t>
  </si>
  <si>
    <t>214B 14X18-1295 FC BAKED</t>
  </si>
  <si>
    <t>214U 14X18-1295 FC</t>
  </si>
  <si>
    <t>165</t>
  </si>
  <si>
    <t>214B 14X18-51IN SEMI BAKED</t>
  </si>
  <si>
    <t>214U 14X18-51IN SEMI</t>
  </si>
  <si>
    <t>104</t>
  </si>
  <si>
    <t>25GNQA020</t>
  </si>
  <si>
    <t>214B 7X9.5-51IN SEMI BAKED</t>
  </si>
  <si>
    <t>214U 7X9.5-51IN SEMI</t>
  </si>
  <si>
    <t>319</t>
  </si>
  <si>
    <t>219SQGB 52X60-1221 T2 BAKED</t>
  </si>
  <si>
    <t>25GNQA007</t>
  </si>
  <si>
    <t>219USQG 52X60-1221 T2</t>
  </si>
  <si>
    <t>roll over</t>
  </si>
  <si>
    <t>342</t>
  </si>
  <si>
    <t>214FSB 196.9X208-108 IN BAKED</t>
  </si>
  <si>
    <t>25HNQA011</t>
  </si>
  <si>
    <t>214FSU 196.9X208-108 IN</t>
  </si>
  <si>
    <t>25HNQA014</t>
  </si>
  <si>
    <t>214FSB 196.9X208-112 IN BAKED</t>
  </si>
  <si>
    <t>25HNQA006</t>
  </si>
  <si>
    <t>214FSU 196.9X208-112 IN</t>
  </si>
  <si>
    <t>25HNQA019</t>
  </si>
  <si>
    <t>214FSU 251X267-138 IN</t>
  </si>
  <si>
    <t>25HNQA018</t>
  </si>
  <si>
    <t>214B 9.35X14.35-1295.4FC BAKED</t>
  </si>
  <si>
    <t>25HNQA001</t>
  </si>
  <si>
    <t>214U 9.35X14.35-1295.4FC</t>
  </si>
  <si>
    <t>257</t>
  </si>
  <si>
    <t>214B 10X15-1220 FC BAKED</t>
  </si>
  <si>
    <t>214U 10X15-1220 FC</t>
  </si>
  <si>
    <t>168</t>
  </si>
  <si>
    <t>214B 22X25-1710 T AUV OP - BAKED</t>
  </si>
  <si>
    <t>214U 22X25-1710 T AUV OP</t>
  </si>
  <si>
    <t>84</t>
  </si>
  <si>
    <t>214B 26.4X30-1200 T AUV OP - BAKED</t>
  </si>
  <si>
    <t>214U 26.4X30-1200 T OP AUV</t>
  </si>
  <si>
    <t>70</t>
  </si>
  <si>
    <t>214B 22X25-2540 FC BAKED</t>
  </si>
  <si>
    <t>214U 22X25-2540 FC</t>
  </si>
  <si>
    <t>107</t>
  </si>
  <si>
    <t>25HNQA040</t>
  </si>
  <si>
    <t>hold for dark material</t>
  </si>
  <si>
    <t>355</t>
  </si>
  <si>
    <t>214FSU 196.2X210-108 IN</t>
  </si>
  <si>
    <t>25HNQA012</t>
  </si>
  <si>
    <t>25HNQA041</t>
  </si>
  <si>
    <t>PARKINSONJ</t>
  </si>
  <si>
    <t>214FSB 196.2X210-108 IN BAKED</t>
  </si>
  <si>
    <t>loweb</t>
  </si>
  <si>
    <t>214B 20X22.5-1295 - BAKED</t>
  </si>
  <si>
    <t>214U 20X22.5-1295</t>
  </si>
  <si>
    <t>66</t>
  </si>
  <si>
    <t>224HVB 196.2X210-144 IN BAKED</t>
  </si>
  <si>
    <t>25HNQA009</t>
  </si>
  <si>
    <t>25HNQA021</t>
  </si>
  <si>
    <t>25GNQA012</t>
  </si>
  <si>
    <t>214B 22.4X25.2-1810 T BAKED</t>
  </si>
  <si>
    <t>25HNQA003</t>
  </si>
  <si>
    <t>214U 22.4X25.2-1810 T</t>
  </si>
  <si>
    <t>335</t>
  </si>
  <si>
    <t>25HNQA004</t>
  </si>
  <si>
    <t>313</t>
  </si>
  <si>
    <t>224HVU 196.2X210-144 IN</t>
  </si>
  <si>
    <t>25HNQA005</t>
  </si>
  <si>
    <t>290</t>
  </si>
  <si>
    <t>214HVB 196.2X210-2743 BAKED</t>
  </si>
  <si>
    <t>214HVU 196.2X210-2743MM</t>
  </si>
  <si>
    <t>214BP0 9X11-2000 - BAKED</t>
  </si>
  <si>
    <t>214UP0 9X11-2000</t>
  </si>
  <si>
    <t>322</t>
  </si>
  <si>
    <t>25HNQA043</t>
  </si>
  <si>
    <t>214B 8X12-1600 SEMI BAKED</t>
  </si>
  <si>
    <t>25HNQA002</t>
  </si>
  <si>
    <t>214U 8X12-1600 SEMI</t>
  </si>
  <si>
    <t>ROLL OVER</t>
  </si>
  <si>
    <t>135</t>
  </si>
  <si>
    <t>214B 8X12-1300 SEMI BAKED</t>
  </si>
  <si>
    <t>214U 8X12-1300 SEMI</t>
  </si>
  <si>
    <t>215</t>
  </si>
  <si>
    <t>25GNQA008</t>
  </si>
  <si>
    <t>141</t>
  </si>
  <si>
    <t>25HNQA020</t>
  </si>
  <si>
    <t>138</t>
  </si>
  <si>
    <t>giffordj</t>
  </si>
  <si>
    <t>25GNQA004</t>
  </si>
  <si>
    <t>251</t>
  </si>
  <si>
    <t>244B 7X10-63IN SEMI BAKED</t>
  </si>
  <si>
    <t>244U 7X10-63IN SEMI</t>
  </si>
  <si>
    <t>244UQ0 9X13-1295 SEMI</t>
  </si>
  <si>
    <t>61</t>
  </si>
  <si>
    <t>244UQ0 11.8X17.8-1475 SEMI</t>
  </si>
  <si>
    <t>78</t>
  </si>
  <si>
    <t>224UP0 9X15-1500</t>
  </si>
  <si>
    <t>65</t>
  </si>
  <si>
    <t>224BP0 9X15-1500 BAKED</t>
  </si>
  <si>
    <t>244BQ0 11.8X17.8-1475 SEMI BAKED</t>
  </si>
  <si>
    <t>BELCHERC</t>
  </si>
  <si>
    <t>244BQ0 9X13-1295 SEMI BAKED</t>
  </si>
  <si>
    <t>244BQ0 12X16-1750 SEMI BAKED</t>
  </si>
  <si>
    <t>244UQ0 12X16-1750 SEMI</t>
  </si>
  <si>
    <t>98</t>
  </si>
  <si>
    <t>214BP 64.5X70.5-1700 N-BAKED</t>
  </si>
  <si>
    <t>214UP 64.5X70.5-1700 N</t>
  </si>
  <si>
    <t>213</t>
  </si>
  <si>
    <t>25HNQA022</t>
  </si>
  <si>
    <t>114</t>
  </si>
  <si>
    <t>large oven</t>
  </si>
  <si>
    <t>216</t>
  </si>
  <si>
    <t>224B 11.4X14-1550-BAKED</t>
  </si>
  <si>
    <t>224U 11.4X14-1550</t>
  </si>
  <si>
    <t>70.5</t>
  </si>
  <si>
    <t>25HNQA016</t>
  </si>
  <si>
    <t>25HNQA049</t>
  </si>
  <si>
    <t>25GNQA013</t>
  </si>
  <si>
    <t>1</t>
  </si>
  <si>
    <t>25GNQA014</t>
  </si>
  <si>
    <t>182</t>
  </si>
  <si>
    <t>25HNQA007</t>
  </si>
  <si>
    <t>249</t>
  </si>
  <si>
    <t>25GNQA016</t>
  </si>
  <si>
    <t>Canterb</t>
  </si>
  <si>
    <t>25HNQA047</t>
  </si>
  <si>
    <t>25GNQA017</t>
  </si>
  <si>
    <t>021B 9X11-1150 BAKED</t>
  </si>
  <si>
    <t>214U 19X25-1167.2 T</t>
  </si>
  <si>
    <t>234</t>
  </si>
  <si>
    <t>214AQV1 30X33-1690 BAKED</t>
  </si>
  <si>
    <t>214UQV1 30X33-1690</t>
  </si>
  <si>
    <t>231</t>
  </si>
  <si>
    <t>214B 66X70-51IN FC BAKED</t>
  </si>
  <si>
    <t>214U 66X70-51IN FC</t>
  </si>
  <si>
    <t>115</t>
  </si>
  <si>
    <t>113</t>
  </si>
  <si>
    <t>25HNQA054</t>
  </si>
  <si>
    <t>DavisKa</t>
  </si>
  <si>
    <t>214A2 10X12-1270 T BAKED</t>
  </si>
  <si>
    <t>214U 10X12-1270 T</t>
  </si>
  <si>
    <t>212</t>
  </si>
  <si>
    <t>QR214BP0 19-59IN T BAKED</t>
  </si>
  <si>
    <t>QR214UP0 19-59IN T</t>
  </si>
  <si>
    <t>0035</t>
  </si>
  <si>
    <t>144</t>
  </si>
  <si>
    <t>25HNQA050</t>
  </si>
  <si>
    <t>25GNQA018</t>
  </si>
  <si>
    <t>58</t>
  </si>
  <si>
    <t>214FSB 240.5X254-112IN BAKED</t>
  </si>
  <si>
    <t>25HNQA044</t>
  </si>
  <si>
    <t>214FSU 240.5X254-112IN</t>
  </si>
  <si>
    <t>5</t>
  </si>
  <si>
    <t>moorek</t>
  </si>
  <si>
    <t>145</t>
  </si>
  <si>
    <t>25HNQA055</t>
  </si>
  <si>
    <t>TorrensJ</t>
  </si>
  <si>
    <t>214BQ10% 42X50-1524 - BAKED</t>
  </si>
  <si>
    <t xml:space="preserve">25HNQA001	</t>
  </si>
  <si>
    <t>214UQ10% 42X50-1524</t>
  </si>
  <si>
    <t>307</t>
  </si>
  <si>
    <t>214B 63X67-54IN FC BAKED</t>
  </si>
  <si>
    <t>202</t>
  </si>
  <si>
    <t>214A 44X46.6-1250-BAKED</t>
  </si>
  <si>
    <t>214U 44X46.6-1250</t>
  </si>
  <si>
    <t>229</t>
  </si>
  <si>
    <t>110</t>
  </si>
  <si>
    <t>90</t>
  </si>
  <si>
    <t>125</t>
  </si>
  <si>
    <t>80</t>
  </si>
  <si>
    <t>214FSB 240.5X254-120IN BAKED</t>
  </si>
  <si>
    <t>25HNQA015</t>
  </si>
  <si>
    <t>214FSU 240.5X254-120IN</t>
  </si>
  <si>
    <t>25HNQA056</t>
  </si>
  <si>
    <t>214AQ10% 41X50-1200 BAKED</t>
  </si>
  <si>
    <t>25JNQA001</t>
  </si>
  <si>
    <t>214UQ10% 41X50-1200</t>
  </si>
  <si>
    <t>156</t>
  </si>
  <si>
    <t>119</t>
  </si>
  <si>
    <t>120</t>
  </si>
  <si>
    <t>25HNQA023</t>
  </si>
  <si>
    <t>214HVB 196.9X208-3600 BAKED</t>
  </si>
  <si>
    <t>214HVU 196.9X208-3600</t>
  </si>
  <si>
    <t>BaileyJ</t>
  </si>
  <si>
    <t>021U 9X11-1150</t>
  </si>
  <si>
    <t>2 bake HRs on this card one for 1.5 the other is 5. i think it was baked wrong the first time at 1.5HRs then was baked again to total 5 HRS</t>
  </si>
  <si>
    <t>274</t>
  </si>
  <si>
    <t>25HNQA008</t>
  </si>
  <si>
    <t>232</t>
  </si>
  <si>
    <t>240</t>
  </si>
  <si>
    <t>25HNQA057</t>
  </si>
  <si>
    <t>214HVB 196.9X208-2438 BAKED</t>
  </si>
  <si>
    <t>214HVU 196.9X208-2438</t>
  </si>
  <si>
    <t>214FSB 240.5X254-138IN BAKED</t>
  </si>
  <si>
    <t>25HNQA029</t>
  </si>
  <si>
    <t>214FSU 240.5X254-138IN</t>
  </si>
  <si>
    <t>89</t>
  </si>
  <si>
    <t>91</t>
  </si>
  <si>
    <t>214B 43X46.5-1269.2 BAKED</t>
  </si>
  <si>
    <t>214U 43X46.5-1269.2</t>
  </si>
  <si>
    <t>214B 23X25-1710 T AUV OP - BAKED</t>
  </si>
  <si>
    <t>214U 23X25-1710 T AUV OP</t>
  </si>
  <si>
    <t>*No unbaked KGs in inventory*</t>
  </si>
  <si>
    <t>214B 20X23-1676 T UE AUV BAKED</t>
  </si>
  <si>
    <t>214U 20X23-1676 T UE AUV</t>
  </si>
  <si>
    <t>214B 50X54-2000-BAKED</t>
  </si>
  <si>
    <t>214U 50X54-2000</t>
  </si>
  <si>
    <t>225</t>
  </si>
  <si>
    <t>25JNQA024</t>
  </si>
  <si>
    <t>101</t>
  </si>
  <si>
    <t>25HNQA030</t>
  </si>
  <si>
    <t>25JNQA002</t>
  </si>
  <si>
    <t>GIFFORDJ</t>
  </si>
  <si>
    <t>25HNQA058</t>
  </si>
  <si>
    <t>broke one in handling</t>
  </si>
  <si>
    <t>3</t>
  </si>
  <si>
    <t>214B 50X54-1549 BAKED</t>
  </si>
  <si>
    <t>214U 50X54-1549</t>
  </si>
  <si>
    <t>163</t>
  </si>
  <si>
    <t>25JNQA017</t>
  </si>
  <si>
    <t>214HVB 251X267-3300 BAKED</t>
  </si>
  <si>
    <t>214HVU 251X267-3300</t>
  </si>
  <si>
    <t>SIEMERM</t>
  </si>
  <si>
    <t>214B 22X25.8-51IN FC BAKED</t>
  </si>
  <si>
    <t>214U 22X25.8-51IN FC</t>
  </si>
  <si>
    <t>222</t>
  </si>
  <si>
    <t>111</t>
  </si>
  <si>
    <t>214B 50X54-1930.4-BAKED</t>
  </si>
  <si>
    <t>214U 50X54-1930.4</t>
  </si>
  <si>
    <t>210</t>
  </si>
  <si>
    <t>25JNQA018</t>
  </si>
  <si>
    <t>214AQ10% 51X55-2000 BAKED</t>
  </si>
  <si>
    <t>214UQ10% 51X55-2000</t>
  </si>
  <si>
    <t>214A2Q10% 51X55-1700 BAKED</t>
  </si>
  <si>
    <t>214UQ10% 51X55-1700</t>
  </si>
  <si>
    <t>170</t>
  </si>
  <si>
    <t>214B 25X27-1295 FC BAKED</t>
  </si>
  <si>
    <t>214U 25X27-1295 FC</t>
  </si>
  <si>
    <t>160</t>
  </si>
  <si>
    <t>davisk</t>
  </si>
  <si>
    <t>184</t>
  </si>
  <si>
    <t>214B 53X57-1220 FC BAKED</t>
  </si>
  <si>
    <t>214U 53X57-1220 FC</t>
  </si>
  <si>
    <t>25HTQA021</t>
  </si>
  <si>
    <t>214B 25X28-2020 BAKED</t>
  </si>
  <si>
    <t>214U 25X28-2020</t>
  </si>
  <si>
    <t>177</t>
  </si>
  <si>
    <t>133</t>
  </si>
  <si>
    <t>214B 30X34-1295 FC BAKED</t>
  </si>
  <si>
    <t>214U 30X34-1295 FC</t>
  </si>
  <si>
    <t>162</t>
  </si>
  <si>
    <t>25HNQA052</t>
  </si>
  <si>
    <t>214B 32X35-1295 FC BAKED</t>
  </si>
  <si>
    <t>214U 32X35-1295 FC</t>
  </si>
  <si>
    <t>183</t>
  </si>
  <si>
    <t>214B 46X50-1295 FC BAKED</t>
  </si>
  <si>
    <t>25JNQA004</t>
  </si>
  <si>
    <t>214U 46X50-1295 FC</t>
  </si>
  <si>
    <t>64</t>
  </si>
  <si>
    <t>214A2QV1 46X50-1650 UE BAKED</t>
  </si>
  <si>
    <t>214UQV1 46X50-1650 UE</t>
  </si>
  <si>
    <t>200</t>
  </si>
  <si>
    <t>richcreekj</t>
  </si>
  <si>
    <t>0400</t>
  </si>
  <si>
    <t>92</t>
  </si>
  <si>
    <t>0300</t>
  </si>
  <si>
    <t>25HNQA053</t>
  </si>
  <si>
    <t>214B 42X45-1295 FC BAKED</t>
  </si>
  <si>
    <t>214U 42X45-1295 FC</t>
  </si>
  <si>
    <t>130</t>
  </si>
  <si>
    <t>QR214B 19-51IN FC T BAKED</t>
  </si>
  <si>
    <t>QR214U 19-51IN FC T</t>
  </si>
  <si>
    <t>0050</t>
  </si>
  <si>
    <t>88</t>
  </si>
  <si>
    <t>Roll over</t>
  </si>
  <si>
    <t>TOUVELLB</t>
  </si>
  <si>
    <t>214B 42X46-1295 BAKED</t>
  </si>
  <si>
    <t>214U 42X46-1295</t>
  </si>
  <si>
    <t>176</t>
  </si>
  <si>
    <t>25JNQA032</t>
  </si>
  <si>
    <t>214HVB 249X264-3500 BAKED</t>
  </si>
  <si>
    <t>25HNQA013</t>
  </si>
  <si>
    <t>214HVU 249X264-3500</t>
  </si>
  <si>
    <t>25HNQA059</t>
  </si>
  <si>
    <t>402</t>
  </si>
  <si>
    <t>214B 40X44-1295 FC BAKED</t>
  </si>
  <si>
    <t>214U 40X44-1295 FC</t>
  </si>
  <si>
    <t>350</t>
  </si>
  <si>
    <t>25JNQA046</t>
  </si>
  <si>
    <t>214B 32X35-2020 BAKED</t>
  </si>
  <si>
    <t>214U 32X35-2020</t>
  </si>
  <si>
    <t>208</t>
  </si>
  <si>
    <t>25HNQA010</t>
  </si>
  <si>
    <t>25HNQA060</t>
  </si>
  <si>
    <t>214U 40X44-2540 T FC</t>
  </si>
  <si>
    <t>214B 40X44-2540 T FC BAKED</t>
  </si>
  <si>
    <t>6</t>
  </si>
  <si>
    <t>25JNQA047</t>
  </si>
  <si>
    <t>214B 32.2X35.8-2020 T BAKED</t>
  </si>
  <si>
    <t>214U 32.2X35.8-2020 T</t>
  </si>
  <si>
    <t>214B 40X43-1270 BAKED</t>
  </si>
  <si>
    <t>214U 40X43-1270</t>
  </si>
  <si>
    <t>wheel over to HV area. out of Hampers</t>
  </si>
  <si>
    <t>25HNQA061</t>
  </si>
  <si>
    <t>230</t>
  </si>
  <si>
    <t>148</t>
  </si>
  <si>
    <t>25JNQA033</t>
  </si>
  <si>
    <t>214B 45X49-1300 BAKED</t>
  </si>
  <si>
    <t>214U 45X49-1300</t>
  </si>
  <si>
    <t>214B 34X38-1295 FC BAKED</t>
  </si>
  <si>
    <t>214U 34X38-1295 FC</t>
  </si>
  <si>
    <t>204</t>
  </si>
  <si>
    <t>25HNQA062</t>
  </si>
  <si>
    <t>25JNQA034</t>
  </si>
  <si>
    <t>214HVB 249X264-2845 BAKED</t>
  </si>
  <si>
    <t>214HVU 249X264-2845</t>
  </si>
  <si>
    <t>214BSQG 44X50-1150 BAKED</t>
  </si>
  <si>
    <t>214USQG 44X50-1150</t>
  </si>
  <si>
    <t>360</t>
  </si>
  <si>
    <t>214B 35X38-51IN SEMI BAKED</t>
  </si>
  <si>
    <t>214U 35X38-51IN SEMI</t>
  </si>
  <si>
    <t>155</t>
  </si>
  <si>
    <t>25JNQA048</t>
  </si>
  <si>
    <t>25HNQA063</t>
  </si>
  <si>
    <t>214B 24X30-1295 FC BAKED</t>
  </si>
  <si>
    <t>214U 24X30-1295 FC</t>
  </si>
  <si>
    <t>323</t>
  </si>
  <si>
    <t>25JNQA049</t>
  </si>
  <si>
    <t>25HNQA024</t>
  </si>
  <si>
    <t>25JNQA015</t>
  </si>
  <si>
    <t>214B 20X24-1295 FC BAKED</t>
  </si>
  <si>
    <t>214U 20X24-1295 FC</t>
  </si>
  <si>
    <t>348</t>
  </si>
  <si>
    <t>25JNQA019</t>
  </si>
  <si>
    <t>214HVB 240.5X254-3300 BAKED</t>
  </si>
  <si>
    <t>25JNQA005</t>
  </si>
  <si>
    <t>214HVU 240.5X254-3300</t>
  </si>
  <si>
    <t>375</t>
  </si>
  <si>
    <t>TOMASCHK</t>
  </si>
  <si>
    <t>25JNQA016</t>
  </si>
  <si>
    <t>214U 17X20-51IN SEMI</t>
  </si>
  <si>
    <t>Roll Over</t>
  </si>
  <si>
    <t>150</t>
  </si>
  <si>
    <t>34</t>
  </si>
  <si>
    <t>214B 17X20-51IN SEMI BAKED</t>
  </si>
  <si>
    <t>25JNQA035</t>
  </si>
  <si>
    <t>25JNQA064</t>
  </si>
  <si>
    <t>214B 14X16-1295 FC BAKED</t>
  </si>
  <si>
    <t>214U 14X16-1295 FC</t>
  </si>
  <si>
    <t>139</t>
  </si>
  <si>
    <t>153</t>
  </si>
  <si>
    <t>25JNQA025</t>
  </si>
  <si>
    <t>214A 47X50-1150-BAKED</t>
  </si>
  <si>
    <t>214U 47X50-1150</t>
  </si>
  <si>
    <t>121</t>
  </si>
  <si>
    <t>124</t>
  </si>
  <si>
    <t>117</t>
  </si>
  <si>
    <t>63</t>
  </si>
  <si>
    <t>25JNQA036</t>
  </si>
  <si>
    <t>25JNQA065</t>
  </si>
  <si>
    <t>254</t>
  </si>
  <si>
    <t>105</t>
  </si>
  <si>
    <t>25JNQA026</t>
  </si>
  <si>
    <t>25JNQA050</t>
  </si>
  <si>
    <t>0</t>
  </si>
  <si>
    <t>118</t>
  </si>
  <si>
    <t>100</t>
  </si>
  <si>
    <t>214B 13X15-1295 FC BAKED</t>
  </si>
  <si>
    <t>214U 13X15-1295 FC</t>
  </si>
  <si>
    <t>25JNQA006</t>
  </si>
  <si>
    <t>211</t>
  </si>
  <si>
    <t>25JNQA051</t>
  </si>
  <si>
    <t>214B 18X21.6-1295 FC BAKED</t>
  </si>
  <si>
    <t>214U 18X21.6-1295 FC</t>
  </si>
  <si>
    <t>99</t>
  </si>
  <si>
    <t>25JNQA066</t>
  </si>
  <si>
    <t>214HVB 196.9X208-138IN BAKED</t>
  </si>
  <si>
    <t>214HVU 196.9X208-138IN</t>
  </si>
  <si>
    <t>214FSB 251X267-154 IN BAKED</t>
  </si>
  <si>
    <t>214FSU 251X267-154 IN</t>
  </si>
  <si>
    <t>25JNQA009</t>
  </si>
  <si>
    <t>214HVB 240.5X254-2600 BAKED</t>
  </si>
  <si>
    <t>214HVU 240.5X254-2600</t>
  </si>
  <si>
    <t>9</t>
  </si>
  <si>
    <t>112</t>
  </si>
  <si>
    <t>108</t>
  </si>
  <si>
    <t>25JNQA067</t>
  </si>
  <si>
    <t>Not completed by oven operator</t>
  </si>
  <si>
    <t>Pallet card not completed NOR entered in SAP</t>
  </si>
  <si>
    <t>25JNQA010</t>
  </si>
  <si>
    <t>Not entered in SAP</t>
  </si>
  <si>
    <t>97</t>
  </si>
  <si>
    <t>214B 25X28.8-1295 FC BAKED</t>
  </si>
  <si>
    <t>214U 25X28.8-1295 FC</t>
  </si>
  <si>
    <t>243</t>
  </si>
  <si>
    <t>QR214B 25.3-915 T2 BAKED</t>
  </si>
  <si>
    <t>25JNQA007</t>
  </si>
  <si>
    <t>QR214U 25.3-915 T2</t>
  </si>
  <si>
    <t>406</t>
  </si>
  <si>
    <t>25JNQA068</t>
  </si>
  <si>
    <t>102</t>
  </si>
  <si>
    <t>25JNQA037</t>
  </si>
  <si>
    <t>25JNQA011</t>
  </si>
  <si>
    <t>25JNQA038</t>
  </si>
  <si>
    <t>109</t>
  </si>
  <si>
    <t>106</t>
  </si>
  <si>
    <t>214FSB 251X267- (84-154) IN BAKED</t>
  </si>
  <si>
    <t>214FSU 251X267- (84-154) IN</t>
  </si>
  <si>
    <t>24JNQA011</t>
  </si>
  <si>
    <t>214B 22X25-1295 FC BAKED</t>
  </si>
  <si>
    <t>214U 22X25-1295 FC</t>
  </si>
  <si>
    <t>25JNQA069</t>
  </si>
  <si>
    <t>25JNQA008</t>
  </si>
  <si>
    <t>425</t>
  </si>
  <si>
    <t>214HVB 240.5X254-2850 BAKED</t>
  </si>
  <si>
    <t>214HVU 240.5X254-2850</t>
  </si>
  <si>
    <t>25JNQA012</t>
  </si>
  <si>
    <t>25JNQA013</t>
  </si>
  <si>
    <t>103</t>
  </si>
  <si>
    <t>25JNQA003</t>
  </si>
  <si>
    <t>214HVB 196.2X210-144IN BAKED</t>
  </si>
  <si>
    <t>214HVU 196.2X210-144IN</t>
  </si>
  <si>
    <t>25JNQA070</t>
  </si>
  <si>
    <t>198</t>
  </si>
  <si>
    <t>25JNQA052</t>
  </si>
  <si>
    <t>25JNQA053</t>
  </si>
  <si>
    <t>214B 20X23-1524 T BAKED</t>
  </si>
  <si>
    <t>214U 20X23-1524 T</t>
  </si>
  <si>
    <t>285</t>
  </si>
  <si>
    <t>QR214Q5MMB 30-53IN T BAKED</t>
  </si>
  <si>
    <t>QR214UQ5MM 30-53IN T</t>
  </si>
  <si>
    <t>214U 25X29-1260 UE</t>
  </si>
  <si>
    <t>180</t>
  </si>
  <si>
    <t>126</t>
  </si>
  <si>
    <t>85</t>
  </si>
  <si>
    <t>25JNQA039</t>
  </si>
  <si>
    <t>bradleyt</t>
  </si>
  <si>
    <t>94</t>
  </si>
  <si>
    <t>86</t>
  </si>
  <si>
    <t>214B 35X40-1397 FC BAKED</t>
  </si>
  <si>
    <t>214U 35X40-1397 FC</t>
  </si>
  <si>
    <t>214B 32X38-1295 FC BAKED</t>
  </si>
  <si>
    <t>214U 32X38-1295 FC</t>
  </si>
  <si>
    <t>214B 55X59-1295 FC BAKED</t>
  </si>
  <si>
    <t>214U 55X59-1295 FC</t>
  </si>
  <si>
    <t>Marting</t>
  </si>
  <si>
    <t>25JNQA040</t>
  </si>
  <si>
    <t>QR214B 35-51IN T BAKED</t>
  </si>
  <si>
    <t>QR214U 35-51IN T</t>
  </si>
  <si>
    <t>214HVB 240.5X254-2540 BAKED</t>
  </si>
  <si>
    <t>214HVU 240.5X254-2540</t>
  </si>
  <si>
    <t>214A 28X32-2000 BAKED</t>
  </si>
  <si>
    <t>214U 28X32-2000</t>
  </si>
  <si>
    <t>196</t>
  </si>
  <si>
    <t>214B 28X32-1295 FC BAKED</t>
  </si>
  <si>
    <t>214U 28X32-1295 FC</t>
  </si>
  <si>
    <t>QR214B 35-96IN I21STD BAKED (EACH)</t>
  </si>
  <si>
    <t>25JNQA042</t>
  </si>
  <si>
    <t>QR214U 35-96IN I21STD NEW</t>
  </si>
  <si>
    <t>robinsond</t>
  </si>
  <si>
    <t>214U 27X30-2000</t>
  </si>
  <si>
    <t>214A 25X29-1260 UE BAKED</t>
  </si>
  <si>
    <t>306</t>
  </si>
  <si>
    <t>25JNQA043</t>
  </si>
  <si>
    <t>214A2Q10% 25X28-2250 BAKED</t>
  </si>
  <si>
    <t>214UQ10% 25X28-2250</t>
  </si>
  <si>
    <t>252</t>
  </si>
  <si>
    <t>25JNQA027</t>
  </si>
  <si>
    <t>214SCB 125X135-100IN BAKED</t>
  </si>
  <si>
    <t>214SCU 125X135-100IN</t>
  </si>
  <si>
    <t>10</t>
  </si>
  <si>
    <t>214A 25X28-2200 BAKED</t>
  </si>
  <si>
    <t>214U 25X28-2200</t>
  </si>
  <si>
    <t>370</t>
  </si>
  <si>
    <t>214B 53.2X61-1524 FC BAKED</t>
  </si>
  <si>
    <t>214U 53.2X61-1524 FC</t>
  </si>
  <si>
    <t>158</t>
  </si>
  <si>
    <t>25JNQA014</t>
  </si>
  <si>
    <t>214FSB 196.2X210-120 IN BAKED</t>
  </si>
  <si>
    <t>214FSU 196.2X210-120 IN</t>
  </si>
  <si>
    <t>224HVB 251X267-3750 BAKED</t>
  </si>
  <si>
    <t>224HVU 251X267-3750</t>
  </si>
  <si>
    <t>FloodM</t>
  </si>
  <si>
    <t>214B 26X30.7-1295 UE BAKED</t>
  </si>
  <si>
    <t>214U 26X30.7-1295 UE</t>
  </si>
  <si>
    <t>186</t>
  </si>
  <si>
    <t>214B 23X25-1800 BAKED</t>
  </si>
  <si>
    <t>214U 23X25-1800</t>
  </si>
  <si>
    <t>209</t>
  </si>
  <si>
    <t>178</t>
  </si>
  <si>
    <t>25JNQA028</t>
  </si>
  <si>
    <t>25JNQA044</t>
  </si>
  <si>
    <t>214FSB 251X267-130 IN BAKED</t>
  </si>
  <si>
    <t>25KNQA016</t>
  </si>
  <si>
    <t>214FSU 251X267-130 IN</t>
  </si>
  <si>
    <t xml:space="preserve">25KNQA016	</t>
  </si>
  <si>
    <t xml:space="preserve">25JNQA013	</t>
  </si>
  <si>
    <t>25KNQA041</t>
  </si>
  <si>
    <t>25KNQA044</t>
  </si>
  <si>
    <t>r/o</t>
  </si>
  <si>
    <t>409</t>
  </si>
  <si>
    <t>214Q0B 29X38-1315 SEMI BAKED</t>
  </si>
  <si>
    <t>214Q0U 29X38-1315 SEMI</t>
  </si>
  <si>
    <t>25KNQA042</t>
  </si>
  <si>
    <t>214HVB 249X264-2900 BAKED</t>
  </si>
  <si>
    <t>25KNQA017</t>
  </si>
  <si>
    <t>214B 16X19-1295 FC BAKED</t>
  </si>
  <si>
    <t>214U 16X19-1295 FC</t>
  </si>
  <si>
    <t>283</t>
  </si>
  <si>
    <t>41</t>
  </si>
  <si>
    <t>214B 60X64-1219.2 FC BAKED</t>
  </si>
  <si>
    <t>214U 60X64-1219.2 FC</t>
  </si>
  <si>
    <t>72</t>
  </si>
  <si>
    <t>25KNQA043</t>
  </si>
  <si>
    <t>25JNQA045</t>
  </si>
  <si>
    <t>25KNQA045</t>
  </si>
  <si>
    <t>25KNQA046</t>
  </si>
  <si>
    <t>25KNQA004</t>
  </si>
  <si>
    <t>312</t>
  </si>
  <si>
    <t>25KNQA005</t>
  </si>
  <si>
    <t>25KNQA054</t>
  </si>
  <si>
    <t>25KNQA047</t>
  </si>
  <si>
    <t>214B 32X36-1295 FC BAKED</t>
  </si>
  <si>
    <t>25KNQA001</t>
  </si>
  <si>
    <t>214U 32X36-1295 FC</t>
  </si>
  <si>
    <t>220</t>
  </si>
  <si>
    <t>214FSB 196.2X210-130 IN BAKED</t>
  </si>
  <si>
    <t>214FSU 196.2X210-130 IN</t>
  </si>
  <si>
    <t>25KNQA055</t>
  </si>
  <si>
    <t>25JNQA020</t>
  </si>
  <si>
    <t>214HVU 249X264-2388</t>
  </si>
  <si>
    <t>25KNQA048</t>
  </si>
  <si>
    <t>Robinsond</t>
  </si>
  <si>
    <t>214B 32.4X36-1500 BAKED</t>
  </si>
  <si>
    <t>214U 32.4X36-1500</t>
  </si>
  <si>
    <t>214A 30X33-1220 BAKED</t>
  </si>
  <si>
    <t>214U 30X33-1220</t>
  </si>
  <si>
    <t>192</t>
  </si>
  <si>
    <t>214HVB 249X264-2388 BAKED</t>
  </si>
  <si>
    <t>214A 30X33-1050 BAKED</t>
  </si>
  <si>
    <t>214U 30X33-1050</t>
  </si>
  <si>
    <t>81</t>
  </si>
  <si>
    <t>25KNQA014</t>
  </si>
  <si>
    <t>25KNQA049</t>
  </si>
  <si>
    <t>25KNQA003</t>
  </si>
  <si>
    <t>403</t>
  </si>
  <si>
    <t>191</t>
  </si>
  <si>
    <t>25KNQA050</t>
  </si>
  <si>
    <t>25KNQA015</t>
  </si>
  <si>
    <t>197</t>
  </si>
  <si>
    <t>188</t>
  </si>
  <si>
    <t>25JNQA021</t>
  </si>
  <si>
    <t>25KNQA019</t>
  </si>
  <si>
    <t>25KNQA051</t>
  </si>
  <si>
    <t>25JNQA022</t>
  </si>
  <si>
    <t>25KNQA020</t>
  </si>
  <si>
    <t>25KNQA052</t>
  </si>
  <si>
    <t>214SCB 64X72-1370 BAKED</t>
  </si>
  <si>
    <t>214SCU 64X72-1370</t>
  </si>
  <si>
    <t>214A 34X37-1220 BAKED</t>
  </si>
  <si>
    <t>214U 34X37-1220</t>
  </si>
  <si>
    <t>143</t>
  </si>
  <si>
    <t>For Bryan</t>
  </si>
  <si>
    <t>214B 37X40-1295.4 FC BAKED</t>
  </si>
  <si>
    <t>214U 37X40-1295.4 FC</t>
  </si>
  <si>
    <t>32</t>
  </si>
  <si>
    <t>25JNQA023</t>
  </si>
  <si>
    <t>214HVB 196.2X210-3505 BAKED</t>
  </si>
  <si>
    <t>214HVU 196.2X210-3505</t>
  </si>
  <si>
    <t>25KNQA021</t>
  </si>
  <si>
    <t>214A2 79X83-1600  T  FC BAKED</t>
  </si>
  <si>
    <t>214U 79X83-1600  T</t>
  </si>
  <si>
    <t>25KNQA002</t>
  </si>
  <si>
    <t>123</t>
  </si>
  <si>
    <t>214A 25X28-1120 BAKED</t>
  </si>
  <si>
    <t>214U 25X28-1120</t>
  </si>
  <si>
    <t>87</t>
  </si>
  <si>
    <t>214A 74.5X79-1050 BAKED</t>
  </si>
  <si>
    <t>214U 74.5X79-1050</t>
  </si>
  <si>
    <t>25KNQA026</t>
  </si>
  <si>
    <t>214B 72X76-1325 T BAKED</t>
  </si>
  <si>
    <t>214U 72X76-1325 T</t>
  </si>
  <si>
    <t xml:space="preserve">25KNQA053	</t>
  </si>
  <si>
    <t>25KNQA053</t>
  </si>
  <si>
    <t>214B 70X75-66IN BAKED</t>
  </si>
  <si>
    <t>214U 70X75-66IN</t>
  </si>
  <si>
    <t>175</t>
  </si>
  <si>
    <t>25KNQA022</t>
  </si>
  <si>
    <t>QR214B 15-1200 T FC OSD BAKED</t>
  </si>
  <si>
    <t>QR214U 15-1200 T FC OSD</t>
  </si>
  <si>
    <t>276</t>
  </si>
  <si>
    <t>QR214BP0 16-1266 TQP-BAKED</t>
  </si>
  <si>
    <t>QR214UP0 16-1266 TQP</t>
  </si>
  <si>
    <t>96</t>
  </si>
  <si>
    <t>330</t>
  </si>
  <si>
    <t>25KNQA018</t>
  </si>
  <si>
    <t>25KNQA023</t>
  </si>
  <si>
    <t>25KNQA006</t>
  </si>
  <si>
    <t>304</t>
  </si>
  <si>
    <t>241</t>
  </si>
  <si>
    <t>214SCB 78X84-54IN BAKED</t>
  </si>
  <si>
    <t>214SCU 78X84-54IN</t>
  </si>
  <si>
    <t>26</t>
  </si>
  <si>
    <t>214B 80X85.5-1904 BAKED</t>
  </si>
  <si>
    <t>214U 80X85.5-1904</t>
  </si>
  <si>
    <t>93</t>
  </si>
  <si>
    <t>25KNQA010</t>
  </si>
  <si>
    <t>1 Tube kept on cart for Michele..</t>
  </si>
  <si>
    <t>214B 20X23-1295 FC BAKED</t>
  </si>
  <si>
    <t>214U 20X23-1295 FC</t>
  </si>
  <si>
    <t>Broke one tube while loading hamper. hoi</t>
  </si>
  <si>
    <t>25KNQA011</t>
  </si>
  <si>
    <t>QR214B 10-1220 FC BAKED</t>
  </si>
  <si>
    <t>QR214U 10-1220 FC</t>
  </si>
  <si>
    <t>71</t>
  </si>
  <si>
    <t>QR214B 10-51IN FC BAKED</t>
  </si>
  <si>
    <t>QR214U 10-51IN FC</t>
  </si>
  <si>
    <t>159</t>
  </si>
  <si>
    <t>daviska</t>
  </si>
  <si>
    <t>QR214B 12-51IN FC BAKED</t>
  </si>
  <si>
    <t>QR214U 12-51IN FC</t>
  </si>
  <si>
    <t>219</t>
  </si>
  <si>
    <t>QR214B 15-51IN-BAKED</t>
  </si>
  <si>
    <t>QR214U 15-51IN</t>
  </si>
  <si>
    <t>218</t>
  </si>
  <si>
    <t>214HVB 196.2X210-3200 BAKED</t>
  </si>
  <si>
    <t>214HVU 196.2X210-3200</t>
  </si>
  <si>
    <t>25KNQA012</t>
  </si>
  <si>
    <t>QR214B 19-1200 T FC OSD BAKED</t>
  </si>
  <si>
    <t>QR214U 19-1200 T FC OSD</t>
  </si>
  <si>
    <t>214B 34X40-1050-BAKED</t>
  </si>
  <si>
    <t>214U 34X40-1050</t>
  </si>
  <si>
    <t>25KNQA056</t>
  </si>
  <si>
    <t>1st entry was wrong area, cancled tomove</t>
  </si>
  <si>
    <t>317</t>
  </si>
  <si>
    <t>25KNQA029</t>
  </si>
  <si>
    <t>marting</t>
  </si>
  <si>
    <t>25KNQA057</t>
  </si>
  <si>
    <t>QR214B 30.5-1275 T FC BAKED</t>
  </si>
  <si>
    <t>QR214U 30.5-1275 T FC</t>
  </si>
  <si>
    <t>416</t>
  </si>
  <si>
    <t>173</t>
  </si>
  <si>
    <t>25KNQA024</t>
  </si>
  <si>
    <t>25KNQA058</t>
  </si>
  <si>
    <t>25KNQA030</t>
  </si>
  <si>
    <t>QR214B 35-1730 T FC CCG BAKED</t>
  </si>
  <si>
    <t>QR214U 35-1730 T FC CCG</t>
  </si>
  <si>
    <t>415</t>
  </si>
  <si>
    <t>214HVB 196.2X210-3048 T BAKED</t>
  </si>
  <si>
    <t>214HVU 196.2X210-3048 T</t>
  </si>
  <si>
    <t>214SCU 95X100-66IN</t>
  </si>
  <si>
    <t>30</t>
  </si>
  <si>
    <t>214FSB 88X97-108 IN BAKED</t>
  </si>
  <si>
    <t>214FSU 88X97-108 IN</t>
  </si>
  <si>
    <t>413</t>
  </si>
  <si>
    <t>214FSB 88X97-120 IN BAKED</t>
  </si>
  <si>
    <t>214FSU 88X97-120 IN</t>
  </si>
  <si>
    <t>214SCB 80X85-66IN BAKED</t>
  </si>
  <si>
    <t>214SCU 80X85-66IN</t>
  </si>
  <si>
    <t>36</t>
  </si>
  <si>
    <t>214FSB 80X88-96 IN BAKED</t>
  </si>
  <si>
    <t>214FSU 80X88-96 IN</t>
  </si>
  <si>
    <t>214DBA 6.5 MAX - 51IN BAKED</t>
  </si>
  <si>
    <t>214DBU 6.5 MAX -51 IN</t>
  </si>
  <si>
    <t>122</t>
  </si>
  <si>
    <t>25KNQA025</t>
  </si>
  <si>
    <t>214SCB 75X80-1370 BAKED</t>
  </si>
  <si>
    <t>214SCU 75X80-1370</t>
  </si>
  <si>
    <t>214B 42X50-1574 BAKED</t>
  </si>
  <si>
    <t>214U 42X50-1574</t>
  </si>
  <si>
    <t>25JWQA002</t>
  </si>
  <si>
    <t>76</t>
  </si>
  <si>
    <t>400</t>
  </si>
  <si>
    <t>214FSB 80X88-120 IN BAKED</t>
  </si>
  <si>
    <t>214FSU 80X88-120 IN</t>
  </si>
  <si>
    <t>214B 20X22-1710 T AUV OP - BAKED</t>
  </si>
  <si>
    <t>214U 20X22-1710 T AUV OP</t>
  </si>
  <si>
    <t>25KNQA007</t>
  </si>
  <si>
    <t>214FSB 88X97-96 IN BAKED</t>
  </si>
  <si>
    <t>214FSU 88X97-96 IN</t>
  </si>
  <si>
    <t>412</t>
  </si>
  <si>
    <t>25KNQA027</t>
  </si>
  <si>
    <t>25KNQA008</t>
  </si>
  <si>
    <t>214U 21X25.2-1397 T FC</t>
  </si>
  <si>
    <t>380</t>
  </si>
  <si>
    <t>214HVU 249X264-2900</t>
  </si>
  <si>
    <t>137</t>
  </si>
  <si>
    <t>25KNQA028</t>
  </si>
  <si>
    <t>214B 21X25.2-1397 T FC BAKED</t>
  </si>
  <si>
    <t>194</t>
  </si>
  <si>
    <t>190</t>
  </si>
  <si>
    <t>134</t>
  </si>
  <si>
    <t>21</t>
  </si>
  <si>
    <t>288</t>
  </si>
  <si>
    <t>214SCB 82X86-72IN BAKED</t>
  </si>
  <si>
    <t>44</t>
  </si>
  <si>
    <t>214DBA 9-51IN BAKED</t>
  </si>
  <si>
    <t>214DBU 9-51 IN</t>
  </si>
  <si>
    <t>140</t>
  </si>
  <si>
    <t>25KNQA059</t>
  </si>
  <si>
    <t>25KNQA060</t>
  </si>
  <si>
    <t>25KNQA061</t>
  </si>
  <si>
    <t>214SCB 90X95-66IN BAKED</t>
  </si>
  <si>
    <t>214SCU 90X95-66IN</t>
  </si>
  <si>
    <t>418</t>
  </si>
  <si>
    <t>021DB 6.5 MAX - 51IN BAKED</t>
  </si>
  <si>
    <t>021DBU 6.5 MAX -51 IN</t>
  </si>
  <si>
    <t>25KNQA009</t>
  </si>
  <si>
    <t>214FSB 196.2X210-138 IN BAKED</t>
  </si>
  <si>
    <t>214FSU 196.2X210-138 IN</t>
  </si>
  <si>
    <t>25KNQA031</t>
  </si>
  <si>
    <t>203</t>
  </si>
  <si>
    <t>369</t>
  </si>
  <si>
    <t>189</t>
  </si>
  <si>
    <t>157</t>
  </si>
  <si>
    <t>25KNQA032</t>
  </si>
  <si>
    <t>214FSB 196.2X210-112 IN BAKED</t>
  </si>
  <si>
    <t>214FSU 196.2X210-112 IN</t>
  </si>
  <si>
    <t>393</t>
  </si>
  <si>
    <t>25KNQA062</t>
  </si>
  <si>
    <t>214A 30X34-2020 BAKED</t>
  </si>
  <si>
    <t>25MNQA001</t>
  </si>
  <si>
    <t>214U 30X34-2020</t>
  </si>
  <si>
    <t>152</t>
  </si>
  <si>
    <t>214B 26X29-1295 FC BAKED</t>
  </si>
  <si>
    <t>214U 26X29-1295 FC</t>
  </si>
  <si>
    <t>193</t>
  </si>
  <si>
    <t>25KNQA063</t>
  </si>
  <si>
    <t>25KNQA071</t>
  </si>
  <si>
    <t>214A 25X28-2000 UE BAKED</t>
  </si>
  <si>
    <t>214U 25X28-2000 UE</t>
  </si>
  <si>
    <t>167</t>
  </si>
  <si>
    <t>25KNQA033</t>
  </si>
  <si>
    <t>214A 32.4X36-2020 BAKED</t>
  </si>
  <si>
    <t>214U 32.4X36-2020</t>
  </si>
  <si>
    <t>228</t>
  </si>
  <si>
    <t>25KNQA034</t>
  </si>
  <si>
    <t>214B 31X35-1000 BAKED</t>
  </si>
  <si>
    <t>214U 31X35-1000</t>
  </si>
  <si>
    <t>174</t>
  </si>
  <si>
    <t>195</t>
  </si>
  <si>
    <t>214FSB 240.5X254-130IN BAKED</t>
  </si>
  <si>
    <t>214FSU 240.5X254-130IN</t>
  </si>
  <si>
    <t>25KNQA072</t>
  </si>
  <si>
    <t>390</t>
  </si>
  <si>
    <t>214BSQG 37X43-1300-BAKED</t>
  </si>
  <si>
    <t>214USQG 37X43-1300</t>
  </si>
  <si>
    <t>247</t>
  </si>
  <si>
    <t>171</t>
  </si>
  <si>
    <t>25MNQA002</t>
  </si>
  <si>
    <t>407</t>
  </si>
  <si>
    <t>199</t>
  </si>
  <si>
    <t>25MNQA064</t>
  </si>
  <si>
    <t>214SQGB 39X45-1050 T BAKED</t>
  </si>
  <si>
    <t>214USQG 39X45-1050 T</t>
  </si>
  <si>
    <t>365</t>
  </si>
  <si>
    <t>25MNQA065</t>
  </si>
  <si>
    <t>214B 39X45-1050 BAKED</t>
  </si>
  <si>
    <t>214U 39X45-1050</t>
  </si>
  <si>
    <t>scratch critical,,roll over</t>
  </si>
  <si>
    <t>214B 40X46-1600 FC BAKED</t>
  </si>
  <si>
    <t>214U 40X46-1600 FC</t>
  </si>
  <si>
    <t>214FSB 196.9X208-120 IN BAKED</t>
  </si>
  <si>
    <t>214FSU 196.9X208-120 IN</t>
  </si>
  <si>
    <t>214FSB 88X100-84IN LAVB BAKED</t>
  </si>
  <si>
    <t>214FSU 88X100-84IN LAVB</t>
  </si>
  <si>
    <t>219DBA 6.5 MAX - 51IN BAKED</t>
  </si>
  <si>
    <t>219DBU 6.5 MAX -51 IN</t>
  </si>
  <si>
    <t>142</t>
  </si>
  <si>
    <t>25MNQA066</t>
  </si>
  <si>
    <t>214BQ0 39.95X47.15-1290 SEMI BAKED</t>
  </si>
  <si>
    <t>214UQ0 39.95X47.15-1290 SEMI</t>
  </si>
  <si>
    <t>263</t>
  </si>
  <si>
    <t>25MNQA067</t>
  </si>
  <si>
    <t>214B 34X38-1270 T OSD BAKED</t>
  </si>
  <si>
    <t>214U 34X38-1270 T OSD</t>
  </si>
  <si>
    <t>25KNQA073</t>
  </si>
  <si>
    <t>219DBA 9 MAX - 51IN BAKED</t>
  </si>
  <si>
    <t>219DBU 9 MAX -51 IN</t>
  </si>
  <si>
    <t>303</t>
  </si>
  <si>
    <t>25MNQA068</t>
  </si>
  <si>
    <t>67</t>
  </si>
  <si>
    <t>214B 38X42-1200 FC BAKED</t>
  </si>
  <si>
    <t>214U 38X42-1200 FC</t>
  </si>
  <si>
    <t>154</t>
  </si>
  <si>
    <t>25MNQA069</t>
  </si>
  <si>
    <t>25KNQA074</t>
  </si>
  <si>
    <t>25MNQA070</t>
  </si>
  <si>
    <t>214B 38X42-1295 FC BAKED</t>
  </si>
  <si>
    <t>214U 38X42-1295 FC</t>
  </si>
  <si>
    <t>214B 38X42-1260 UE T OSD BAKED</t>
  </si>
  <si>
    <t>214U 38X42-1260 UE T OSD</t>
  </si>
  <si>
    <t>164</t>
  </si>
  <si>
    <t>25MNQA071</t>
  </si>
  <si>
    <t>25MNQA004</t>
  </si>
  <si>
    <t>25KNQA013</t>
  </si>
  <si>
    <t>25MNQA005</t>
  </si>
  <si>
    <t>83</t>
  </si>
  <si>
    <t>214SQGB 38X45.4-1150 T OP BAKED</t>
  </si>
  <si>
    <t>214USQG 38X45.4-1150 T OP</t>
  </si>
  <si>
    <t>256</t>
  </si>
  <si>
    <t>214B 65X75-1524 SEMI BAKED</t>
  </si>
  <si>
    <t>214U 65X75-1524 SEMI</t>
  </si>
  <si>
    <t>25MNQA003</t>
  </si>
  <si>
    <t>25MNQA054</t>
  </si>
  <si>
    <t>QR214B 35-96IN BAKED (I21 REJ) EA</t>
  </si>
  <si>
    <t>QR214U 35-96IN (I21 REJ)EA</t>
  </si>
  <si>
    <t>25MNQA023</t>
  </si>
  <si>
    <t>329</t>
  </si>
  <si>
    <t>25MNQA055</t>
  </si>
  <si>
    <t>25KNQA075</t>
  </si>
  <si>
    <t>25MNQA035</t>
  </si>
  <si>
    <t>25MNQA024</t>
  </si>
  <si>
    <t>77</t>
  </si>
  <si>
    <t>214B 25X29-1850 BAKED</t>
  </si>
  <si>
    <t>214U 25X29-1850</t>
  </si>
  <si>
    <t xml:space="preserve">25MNQA013	</t>
  </si>
  <si>
    <t>25MNQA013</t>
  </si>
  <si>
    <t>25MNQA036</t>
  </si>
  <si>
    <t>214B 29X33-51IN BAKED</t>
  </si>
  <si>
    <t>214U 29X33-51IN</t>
  </si>
  <si>
    <t>25KNQA076</t>
  </si>
  <si>
    <t>25MNQA072</t>
  </si>
  <si>
    <t xml:space="preserve">25MNQA073	</t>
  </si>
  <si>
    <t>25MNQA073</t>
  </si>
  <si>
    <t>214B 33X41-1250 BAKED</t>
  </si>
  <si>
    <t>214U 33X41-1250</t>
  </si>
  <si>
    <t>297</t>
  </si>
  <si>
    <t>214FSB 155.3X165-112 IN T BAKED</t>
  </si>
  <si>
    <t>214FSU 155.3X165-112 IN T</t>
  </si>
  <si>
    <t>25MNQA056</t>
  </si>
  <si>
    <t>356</t>
  </si>
  <si>
    <t>25MNQA063</t>
  </si>
  <si>
    <t>25MNQA057</t>
  </si>
  <si>
    <t>25MNQA012</t>
  </si>
  <si>
    <t>420</t>
  </si>
  <si>
    <t>25KNQA078</t>
  </si>
  <si>
    <t>214B 32.4X36-2050 BAKED</t>
  </si>
  <si>
    <t>214U 32.4X36-2050</t>
  </si>
  <si>
    <t>25MNQA014</t>
  </si>
  <si>
    <t>25MNQA015</t>
  </si>
  <si>
    <t>7</t>
  </si>
  <si>
    <t>25MNQA006</t>
  </si>
  <si>
    <t>165.5</t>
  </si>
  <si>
    <t>169.5</t>
  </si>
  <si>
    <t>25MNQA027</t>
  </si>
  <si>
    <t>224HVB 240.5X254-2844.8 BAKED</t>
  </si>
  <si>
    <t>224HVU 240.5X254-2844.8</t>
  </si>
  <si>
    <t>25MNQA028</t>
  </si>
  <si>
    <t>224HVB 240.5X254-2743 BAKED</t>
  </si>
  <si>
    <t>224HVU 240.5X254-2743</t>
  </si>
  <si>
    <t>214B 32X35-51IN SEMI BAKED</t>
  </si>
  <si>
    <t>214U 32X35-51IN SEMI</t>
  </si>
  <si>
    <t>semi-roll over</t>
  </si>
  <si>
    <t>25MNQA029</t>
  </si>
  <si>
    <t>429</t>
  </si>
  <si>
    <t>25MNQA007</t>
  </si>
  <si>
    <t>16</t>
  </si>
  <si>
    <t>25MNQA030</t>
  </si>
  <si>
    <t>224HVB 240.5X254-3500 BAKED</t>
  </si>
  <si>
    <t>224HVU 240.5X254-3500</t>
  </si>
  <si>
    <t>25MNQA008</t>
  </si>
  <si>
    <t>25MNQA031</t>
  </si>
  <si>
    <t>25MNQA038</t>
  </si>
  <si>
    <t>353</t>
  </si>
  <si>
    <t>25MNQA009</t>
  </si>
  <si>
    <t>410</t>
  </si>
  <si>
    <t>25MNQA058</t>
  </si>
  <si>
    <t>25MNQA010</t>
  </si>
  <si>
    <t>25MNQA059</t>
  </si>
  <si>
    <t>25MNQA011</t>
  </si>
  <si>
    <t>QR214B 33-51IN BAKED</t>
  </si>
  <si>
    <t>QR214U 33-51IN</t>
  </si>
  <si>
    <t>405</t>
  </si>
  <si>
    <t>QR214B 28.7-43IN T BAKED</t>
  </si>
  <si>
    <t>QR214U 28.7-43IN T</t>
  </si>
  <si>
    <t>25MDQA012</t>
  </si>
  <si>
    <t>25MNQA060</t>
  </si>
  <si>
    <t>25MNQA017</t>
  </si>
  <si>
    <t>25MNQA061</t>
  </si>
  <si>
    <t>25MNQA062</t>
  </si>
  <si>
    <t>25MNQA016</t>
  </si>
  <si>
    <t>25MNQA020</t>
  </si>
  <si>
    <t>127</t>
  </si>
  <si>
    <t>Bake time wrong loaded by 016</t>
  </si>
  <si>
    <t>25NNQA004</t>
  </si>
  <si>
    <t>214B 27X30-1400 FC BAKED</t>
  </si>
  <si>
    <t>214U 27X30-1400 FC</t>
  </si>
  <si>
    <t>221</t>
  </si>
  <si>
    <t>408</t>
  </si>
  <si>
    <t>25NNQA065</t>
  </si>
  <si>
    <t>25NNQA005</t>
  </si>
  <si>
    <t>214AQ10% 25X28-2250 BAKED</t>
  </si>
  <si>
    <t>25NNQA002</t>
  </si>
  <si>
    <t>214A 25X28-3000 BAKED</t>
  </si>
  <si>
    <t>214U 25X28-3000</t>
  </si>
  <si>
    <t>25MNQA021</t>
  </si>
  <si>
    <t>25MNQA018</t>
  </si>
  <si>
    <t>25NNQA016</t>
  </si>
  <si>
    <t>214HVB 155.3X165-3048 BAKED</t>
  </si>
  <si>
    <t>214HVU 155.3X165-3048</t>
  </si>
  <si>
    <t>25MNQA019</t>
  </si>
  <si>
    <t>404</t>
  </si>
  <si>
    <t>214FSB 155.3X165-120 IN BAKED</t>
  </si>
  <si>
    <t>25NNQA001</t>
  </si>
  <si>
    <t>214FSU 155.3X165-120 IN</t>
  </si>
  <si>
    <t>25NNQA017</t>
  </si>
  <si>
    <t>25NNQA018</t>
  </si>
  <si>
    <t>214A 22X26-2000 FC BAKED</t>
  </si>
  <si>
    <t>214U 22X26-2000 FC</t>
  </si>
  <si>
    <t>102.5</t>
  </si>
  <si>
    <t>25KNQA079</t>
  </si>
  <si>
    <t>214B 18X21.6-86IN SEMI BAKED</t>
  </si>
  <si>
    <t>214U 18X21.6-86IN SEMI</t>
  </si>
  <si>
    <t>25NNQA074</t>
  </si>
  <si>
    <t>25NNQA019</t>
  </si>
  <si>
    <t>25NNQA021</t>
  </si>
  <si>
    <t>436</t>
  </si>
  <si>
    <t>25NNQA075</t>
  </si>
  <si>
    <t>214A2 24X28-2300 FC BAKED</t>
  </si>
  <si>
    <t>214U 24X28-2300 FC</t>
  </si>
  <si>
    <t>214BP0 30X36-51IN BAKED</t>
  </si>
  <si>
    <t>214UP0 30X36-51IN</t>
  </si>
  <si>
    <t>214HVB 196.2X210-2438 BAKED</t>
  </si>
  <si>
    <t>25NNQA007</t>
  </si>
  <si>
    <t>214HVU 196.2X210-2438</t>
  </si>
  <si>
    <t>214HVB 196.2X210-2845 BAKED</t>
  </si>
  <si>
    <t>214HVU 196.2X210-2845</t>
  </si>
  <si>
    <t>25MNQA100</t>
  </si>
  <si>
    <t>214HVB 240.5X254-3000 BAKED</t>
  </si>
  <si>
    <t>214HVU 240.5X254-3000</t>
  </si>
  <si>
    <t>214SCB  145X151-2588 BAKED</t>
  </si>
  <si>
    <t>25NNQA003</t>
  </si>
  <si>
    <t>214SCU 145X151-2588</t>
  </si>
  <si>
    <t>18</t>
  </si>
  <si>
    <t>214B 16X20-1295 FC BAKED</t>
  </si>
  <si>
    <t>214U 16X20-1295 FC</t>
  </si>
  <si>
    <t>214FSB 151.8X160-108 IN BAKED</t>
  </si>
  <si>
    <t>214FSU 151.8X160-108 IN</t>
  </si>
  <si>
    <t>QR214BP0 16-1270 BAKED</t>
  </si>
  <si>
    <t>QR214UP0 16-1270</t>
  </si>
  <si>
    <t>QR214B 16-51IN FC T BAKED</t>
  </si>
  <si>
    <t>QR214U 16-51IN FC T</t>
  </si>
  <si>
    <t>QR214BP0 15-1574-BAKED</t>
  </si>
  <si>
    <t>QR214UP0 15-1574</t>
  </si>
  <si>
    <t xml:space="preserve">25NNQA006	</t>
  </si>
  <si>
    <t>25NNQA006</t>
  </si>
  <si>
    <t>25NNQA039</t>
  </si>
  <si>
    <t>25NNQA076</t>
  </si>
  <si>
    <t>QR224BP0 16-1375 BAKED</t>
  </si>
  <si>
    <t>QR224UP0 16-1375</t>
  </si>
  <si>
    <t>rollover</t>
  </si>
  <si>
    <t>206</t>
  </si>
  <si>
    <t>QR214BP0 19-1750 BAKED</t>
  </si>
  <si>
    <t xml:space="preserve">25KNQA004	</t>
  </si>
  <si>
    <t>QR214UP0 19-1750</t>
  </si>
  <si>
    <t>QR224BP0 13-1400 BAKED</t>
  </si>
  <si>
    <t>QR224UP0 13-1400</t>
  </si>
  <si>
    <t>128</t>
  </si>
  <si>
    <t>QR224BP0 14-51IN BAKED</t>
  </si>
  <si>
    <t>QR224UP0 14-51IN</t>
  </si>
  <si>
    <t>56</t>
  </si>
  <si>
    <t>25NNQA077</t>
  </si>
  <si>
    <t>25NNQA101</t>
  </si>
  <si>
    <t>214FSB 196.9X208-138 IN BAKED</t>
  </si>
  <si>
    <t>214FSU 196.9X208-138 IN</t>
  </si>
  <si>
    <t>219A4 38X44-1100 T FC OSD BAKED</t>
  </si>
  <si>
    <t>219U 38X44-1100 T FC OSD</t>
  </si>
  <si>
    <t>25NNQA078</t>
  </si>
  <si>
    <t>QR224BP0 12-51IN BAKED</t>
  </si>
  <si>
    <t>QR224UP0 12-51IN</t>
  </si>
  <si>
    <t>QR224BP0 10-51IN T BAKED</t>
  </si>
  <si>
    <t>QR224UP0 10-51IN T</t>
  </si>
  <si>
    <t>25NNQA027</t>
  </si>
  <si>
    <t>Baked# is correct i dbl checked schedule</t>
  </si>
  <si>
    <t>25NNQA079</t>
  </si>
  <si>
    <t>25NNQA020</t>
  </si>
  <si>
    <t>25NNQA059</t>
  </si>
  <si>
    <t>QR224BP0 30-1250 BAKED</t>
  </si>
  <si>
    <t>QR224UP0 30-1250</t>
  </si>
  <si>
    <t>116</t>
  </si>
  <si>
    <t>25NNQA023</t>
  </si>
  <si>
    <t>25NNQA022</t>
  </si>
  <si>
    <t>25NNQA060</t>
  </si>
  <si>
    <t>25NNQA028</t>
  </si>
  <si>
    <t>219B 29.6X32-1250 BAKED</t>
  </si>
  <si>
    <t>219U 29.6X32-1250</t>
  </si>
  <si>
    <t>QR244B 35-96IN I21STD BAKED (EACH)</t>
  </si>
  <si>
    <t>QR244U 35-96IN I21STD (EACH)</t>
  </si>
  <si>
    <t>25NNQA024</t>
  </si>
  <si>
    <t>227</t>
  </si>
  <si>
    <t>25NNQA009</t>
  </si>
  <si>
    <t>217</t>
  </si>
  <si>
    <t>25NNQA025</t>
  </si>
  <si>
    <t>25NNQA026</t>
  </si>
  <si>
    <t>25NNQA010</t>
  </si>
  <si>
    <t>25NNQA102</t>
  </si>
  <si>
    <t>QR214B 40-1220  BAKED</t>
  </si>
  <si>
    <t>QR214U 40-1220</t>
  </si>
  <si>
    <t>149</t>
  </si>
  <si>
    <t>305</t>
  </si>
  <si>
    <t>219A4P1 26X30-1250 UE ORC BAKED</t>
  </si>
  <si>
    <t>219UP1 26X30-1250 UE ORC</t>
  </si>
  <si>
    <t>25NNQA011</t>
  </si>
  <si>
    <t>25NNQA012</t>
  </si>
  <si>
    <t>25NNQA029</t>
  </si>
  <si>
    <t>QR214B 30-1524 REJECT BAKED OP</t>
  </si>
  <si>
    <t>QR214U 30 X 1524 REJECT OP</t>
  </si>
  <si>
    <t>347</t>
  </si>
  <si>
    <t>25NNQA061</t>
  </si>
  <si>
    <t>147</t>
  </si>
  <si>
    <t>25NNQA030</t>
  </si>
  <si>
    <t>25NNQA031</t>
  </si>
  <si>
    <t>25NNQA032</t>
  </si>
  <si>
    <t>25NNQA068</t>
  </si>
  <si>
    <t>25NNQA033</t>
  </si>
  <si>
    <t>25NNQA080</t>
  </si>
  <si>
    <t>25NNQA034</t>
  </si>
  <si>
    <t>25NNQA103</t>
  </si>
  <si>
    <t>25NNQA081</t>
  </si>
  <si>
    <t>25NNQA035</t>
  </si>
  <si>
    <t>428</t>
  </si>
  <si>
    <t>25NNQA037</t>
  </si>
  <si>
    <t>25NNQA036</t>
  </si>
  <si>
    <t>25NNQA104</t>
  </si>
  <si>
    <t>25NNQA038</t>
  </si>
  <si>
    <t>419</t>
  </si>
  <si>
    <t>25NNQA105</t>
  </si>
  <si>
    <t>25NNQA082</t>
  </si>
  <si>
    <t>25NNQA083</t>
  </si>
  <si>
    <t>25NNQA084</t>
  </si>
  <si>
    <t>25NNQA040</t>
  </si>
  <si>
    <t>25NNQA042</t>
  </si>
  <si>
    <t>25NNQA043</t>
  </si>
  <si>
    <t>25NNQA041</t>
  </si>
  <si>
    <t>432</t>
  </si>
  <si>
    <t>25NNQA044</t>
  </si>
  <si>
    <t>25NNQA062</t>
  </si>
  <si>
    <t>25NNQA045</t>
  </si>
  <si>
    <t>411</t>
  </si>
  <si>
    <t>25NNQA064</t>
  </si>
  <si>
    <t>25NNQA046</t>
  </si>
  <si>
    <t>25NNQA047</t>
  </si>
  <si>
    <t>25NNQA063</t>
  </si>
  <si>
    <t>QR214B 25-51IN FC BAKED</t>
  </si>
  <si>
    <t>QR214U 25-51IN FC</t>
  </si>
  <si>
    <t>25NNQA048</t>
  </si>
  <si>
    <t>25NNQA049</t>
  </si>
  <si>
    <t>25NNQA086</t>
  </si>
  <si>
    <t>25NNQA088</t>
  </si>
  <si>
    <t>25NNQA050</t>
  </si>
  <si>
    <t>214SCB 135X141-72IN BAKED</t>
  </si>
  <si>
    <t>214SCU 135X141-72IN</t>
  </si>
  <si>
    <t>25NNQA051</t>
  </si>
  <si>
    <t>426</t>
  </si>
  <si>
    <t>25NNQA087</t>
  </si>
  <si>
    <t>25NNQA052</t>
  </si>
  <si>
    <t>26ANQA001</t>
  </si>
  <si>
    <t>QR214BP0 22-43IN BAKED</t>
  </si>
  <si>
    <t>QR214UP0 22-43IN</t>
  </si>
  <si>
    <t>25NNQA053</t>
  </si>
  <si>
    <t>25NNQA054</t>
  </si>
  <si>
    <t>38</t>
  </si>
  <si>
    <t>25NNQA055</t>
  </si>
  <si>
    <t>26ANQA002</t>
  </si>
  <si>
    <t>25NNQA056</t>
  </si>
  <si>
    <t>214SCB 135X141-90IN BAKED</t>
  </si>
  <si>
    <t>214SCU 135X141-90IN</t>
  </si>
  <si>
    <t>214SCB 135X141-102IN BAKED</t>
  </si>
  <si>
    <t>214SCU 135X141-102IN</t>
  </si>
  <si>
    <t>25NNQA057</t>
  </si>
  <si>
    <t>25NNQA058</t>
  </si>
  <si>
    <t>214SCB 75X80-66IN S BAKED</t>
  </si>
  <si>
    <t>214SCU 75X80-66IN</t>
  </si>
  <si>
    <t>414</t>
  </si>
  <si>
    <t>QR214BP0 18-1750 BAKED</t>
  </si>
  <si>
    <t>QR214UP0 18-1750</t>
  </si>
  <si>
    <t>26ANQA003</t>
  </si>
  <si>
    <t>26ANQA004</t>
  </si>
  <si>
    <t>Cut at 130"</t>
  </si>
  <si>
    <t>QR214B 6-51IN FC BAKED</t>
  </si>
  <si>
    <t>QR214U 6-51IN FC</t>
  </si>
  <si>
    <t>75</t>
  </si>
  <si>
    <t>247.5</t>
  </si>
  <si>
    <t>214SCB 145X151-1674 BAKED</t>
  </si>
  <si>
    <t>214SCU 145X151-1674</t>
  </si>
  <si>
    <t>214SCB 150X156-102IN BAKED</t>
  </si>
  <si>
    <t>214SCU 150X156-102IN</t>
  </si>
  <si>
    <t>25NNQA066</t>
  </si>
  <si>
    <t>QR214B 4-51IN FC BAKED</t>
  </si>
  <si>
    <t>QR214U 4-51IN FC</t>
  </si>
  <si>
    <t>310</t>
  </si>
  <si>
    <t>25NNQA067</t>
  </si>
  <si>
    <t>26ANQA005</t>
  </si>
  <si>
    <t>298</t>
  </si>
  <si>
    <t>68</t>
  </si>
  <si>
    <t>46</t>
  </si>
  <si>
    <t>214FSB 155.3X165-96 IN BAKED</t>
  </si>
  <si>
    <t>214FSU 155.3X165-96 IN</t>
  </si>
  <si>
    <t>26ANQA006</t>
  </si>
  <si>
    <t>214FSB 251X267- (84-130) IN BAKED</t>
  </si>
  <si>
    <t>214FSU 251X267- (84-130) IN</t>
  </si>
  <si>
    <t>26ANQA007</t>
  </si>
  <si>
    <t>QR214B 25-55IN BAKED</t>
  </si>
  <si>
    <t>QR214U 25-55IN</t>
  </si>
  <si>
    <t>QR214B 3-51IN FC BAKED</t>
  </si>
  <si>
    <t>QR214U 3-51IN FC</t>
  </si>
  <si>
    <t>26ANQA008</t>
  </si>
  <si>
    <t>214FSB 155.3X165-138 IN BAKED</t>
  </si>
  <si>
    <t>214FSU 155.3X165-138 IN</t>
  </si>
  <si>
    <t>214FSB 151.8X160-84 IN BAKED</t>
  </si>
  <si>
    <t>214FSU 151.8X160-84 IN</t>
  </si>
  <si>
    <t>172</t>
  </si>
  <si>
    <t>QR214B 2.5-51IN FC BAKED</t>
  </si>
  <si>
    <t>QR214U 2.5-51IN FC</t>
  </si>
  <si>
    <t>300</t>
  </si>
  <si>
    <t>QR224BP0 18-1750 BAKED</t>
  </si>
  <si>
    <t>QR224UP0 18-1750</t>
  </si>
  <si>
    <t>26ANQA009</t>
  </si>
  <si>
    <t>26ANQA010</t>
  </si>
  <si>
    <t>QR214B 2-51IN FC BAKED</t>
  </si>
  <si>
    <t>QR214U 2-51IN FC</t>
  </si>
  <si>
    <t>26ANQA011</t>
  </si>
  <si>
    <t>reynoldsd</t>
  </si>
  <si>
    <t>26ANQA012</t>
  </si>
  <si>
    <t>26ANQA013</t>
  </si>
  <si>
    <t>QR224 2.8-1400 T -BAKED</t>
  </si>
  <si>
    <t>QR224U 2.8-1400 T</t>
  </si>
  <si>
    <t>QR224B 2.5-48IN FC BAKED</t>
  </si>
  <si>
    <t>QR224U 2.5-48IN FC</t>
  </si>
  <si>
    <t>QR244B 2-51IN FC BAKED</t>
  </si>
  <si>
    <t>QR244U 2-51IN FC</t>
  </si>
  <si>
    <t>QR224B 3.5-51IN FC BAKED</t>
  </si>
  <si>
    <t>QR224U 3.5-51IN FC</t>
  </si>
  <si>
    <t>62</t>
  </si>
  <si>
    <t>QR214B 40-1221 UE BAKED</t>
  </si>
  <si>
    <t>QR214U 40-1221 UE</t>
  </si>
  <si>
    <t>QR224B 4.5-1295.4-BAKED</t>
  </si>
  <si>
    <t>QR224U 4.5-1295.4</t>
  </si>
  <si>
    <t>QR214B 17-1200 FC BAKED</t>
  </si>
  <si>
    <t>QR214U 17-1200 FC</t>
  </si>
  <si>
    <t>QR224B 4-51IN FC BAKED</t>
  </si>
  <si>
    <t>QR224U 4-51IN FC</t>
  </si>
  <si>
    <t>QR214B 16-1220 FC BAKED</t>
  </si>
  <si>
    <t>QR214U 16-1220 FC</t>
  </si>
  <si>
    <t>324</t>
  </si>
  <si>
    <t>QR214B 13-51IN FC T BAKED</t>
  </si>
  <si>
    <t>26BNQA001</t>
  </si>
  <si>
    <t>QR214U 13-51IN FC T</t>
  </si>
  <si>
    <t>QR214B 14-51IN FC BAKED</t>
  </si>
  <si>
    <t>QR214U 14-51IN FC</t>
  </si>
  <si>
    <t>QR214B 5.2-1295.4 FC BAKED</t>
  </si>
  <si>
    <t>QR214U 5.2-1295.4 FC</t>
  </si>
  <si>
    <t>QR224B 5-51IN FC BAKED</t>
  </si>
  <si>
    <t>QR224U 5-51IN FC</t>
  </si>
  <si>
    <t>26BNQA005</t>
  </si>
  <si>
    <t>26BNQA006</t>
  </si>
  <si>
    <t>26BNQA004</t>
  </si>
  <si>
    <t>311</t>
  </si>
  <si>
    <t>QR214B 33.3-1250 BAKED</t>
  </si>
  <si>
    <t>QR214U 33.3-1200</t>
  </si>
  <si>
    <t>26BNQA008</t>
  </si>
  <si>
    <t>214B 42X45-1900 BAKED</t>
  </si>
  <si>
    <t>214U 42X45-1900</t>
  </si>
  <si>
    <t>214B 41X45-1300 BAKED</t>
  </si>
  <si>
    <t>214U 41X45-1300</t>
  </si>
  <si>
    <t>26BNQA009</t>
  </si>
  <si>
    <t>214B 41.2X45.2-1520 BAKED</t>
  </si>
  <si>
    <t>214U 41.2X45.2-1520</t>
  </si>
  <si>
    <t>26BNQA014</t>
  </si>
  <si>
    <t>435</t>
  </si>
  <si>
    <t>26BNQA007</t>
  </si>
  <si>
    <t>26BNQA002</t>
  </si>
  <si>
    <t>26BNQA015</t>
  </si>
  <si>
    <t>26BNQA010</t>
  </si>
  <si>
    <t>26BNQA003</t>
  </si>
  <si>
    <t>26BNQA016</t>
  </si>
  <si>
    <t>26BNQA011</t>
  </si>
  <si>
    <t>214HVB 240.5X254-2845 BAKED</t>
  </si>
  <si>
    <t>214HVU 240.5X254-2845</t>
  </si>
  <si>
    <t>226</t>
  </si>
  <si>
    <t>214B 43X48.1-1080 UE T OSD BAKED</t>
  </si>
  <si>
    <t>214U 43X48.1-1080 UE T OSD</t>
  </si>
  <si>
    <t>packed by another crew</t>
  </si>
  <si>
    <t>214B 45X50-1700 T FC BAKED</t>
  </si>
  <si>
    <t>214U 45X50-1700 T FC</t>
  </si>
  <si>
    <t>292</t>
  </si>
  <si>
    <t>26BNQA018</t>
  </si>
  <si>
    <t>26BNQA019</t>
  </si>
  <si>
    <t>QR214B 5-51IN FC BAKED</t>
  </si>
  <si>
    <t>QR214U 5-51IN FC</t>
  </si>
  <si>
    <t>316</t>
  </si>
  <si>
    <t xml:space="preserve">26ANQA001	</t>
  </si>
  <si>
    <t>214B 32X36-55IN FC BAKED</t>
  </si>
  <si>
    <t>214U 32X36-55IN FC</t>
  </si>
  <si>
    <t>214B 29X32-2020 BAKED</t>
  </si>
  <si>
    <t>214U 29X32-2020</t>
  </si>
  <si>
    <t>26BNQA020</t>
  </si>
  <si>
    <t>QR214B 4.2-51 FC BAKED</t>
  </si>
  <si>
    <t>QR214U 4.2-51 FC</t>
  </si>
  <si>
    <t>214B 28X34-1295 BAKED</t>
  </si>
  <si>
    <t>214U 28X34-1295</t>
  </si>
  <si>
    <t>179</t>
  </si>
  <si>
    <t>QR214BP0 22-1290 BAKED</t>
  </si>
  <si>
    <t>QR214UP0 22-1290</t>
  </si>
  <si>
    <t>26BNQA021</t>
  </si>
  <si>
    <t>302</t>
  </si>
  <si>
    <t>214B 28X34-1500 BAKED</t>
  </si>
  <si>
    <t>214U 28X34-1500</t>
  </si>
  <si>
    <t>417</t>
  </si>
  <si>
    <t>Swinehartc</t>
  </si>
  <si>
    <t>QR214BP0 19-51IN T BAKED</t>
  </si>
  <si>
    <t>QR214UP0 19-51IN T</t>
  </si>
  <si>
    <t>55</t>
  </si>
  <si>
    <t>26BNQA012</t>
  </si>
  <si>
    <t>26BNQA013</t>
  </si>
  <si>
    <t>26BNQA022</t>
  </si>
  <si>
    <t>270</t>
  </si>
  <si>
    <t>320</t>
  </si>
  <si>
    <t>214B 26X30-51IN SEMI BAKED</t>
  </si>
  <si>
    <t>214U 26X30-51IN SEMI</t>
  </si>
  <si>
    <t>SEMI-Roll Over</t>
  </si>
  <si>
    <t>26BNQA023</t>
  </si>
  <si>
    <t>401</t>
  </si>
  <si>
    <t>QR214B 3.05-51IN T FC BAKED</t>
  </si>
  <si>
    <t>QR214U 3.05-51IN T FC OP</t>
  </si>
  <si>
    <t>QR214B 3.5-51IN FC BAKED</t>
  </si>
  <si>
    <t>QR214U 3.5-51IN FC</t>
  </si>
  <si>
    <t>214B 26X30-1295.4 FC BAKED</t>
  </si>
  <si>
    <t>214U 26X30-1295.4 FC</t>
  </si>
  <si>
    <t>214B 24X28-1850 T BF BAKED</t>
  </si>
  <si>
    <t>214U 24X28-1850 T BF</t>
  </si>
  <si>
    <t>26BNQA024</t>
  </si>
  <si>
    <t>427</t>
  </si>
  <si>
    <t>26BNQA025</t>
  </si>
  <si>
    <t>26BNQA026</t>
  </si>
  <si>
    <t>214HVB 249X264-3100 BAKED</t>
  </si>
  <si>
    <t xml:space="preserve">26BNQA001	</t>
  </si>
  <si>
    <t>214HVU 249X264-3100</t>
  </si>
  <si>
    <t>272</t>
  </si>
  <si>
    <t>26BNQA027</t>
  </si>
  <si>
    <t>26BNQA028</t>
  </si>
  <si>
    <t>214SQGB 33X40.4-1100 T OP BAKED</t>
  </si>
  <si>
    <t>214USQG 33X40.4-1100 T OP</t>
  </si>
  <si>
    <t>26BNQA029</t>
  </si>
  <si>
    <t>26BNQA030</t>
  </si>
  <si>
    <t>275</t>
  </si>
  <si>
    <t xml:space="preserve">26BNQA012	</t>
  </si>
  <si>
    <t>26BNQA031</t>
  </si>
  <si>
    <t>Daviska</t>
  </si>
  <si>
    <t>214BSQG 33.8X41-1100 T BAKED</t>
  </si>
  <si>
    <t>214USQG 33.8X41-1100 T</t>
  </si>
  <si>
    <t>266</t>
  </si>
  <si>
    <t>26BNQA017</t>
  </si>
  <si>
    <t>26BNQA032</t>
  </si>
  <si>
    <t>26BNQA033</t>
  </si>
  <si>
    <t>26BNQA034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</si>
</sst>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3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/>
  </cellStyleXfs>
  <cellXfs count="9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/>
    <xf numFmtId="1" fontId="0" fillId="0" borderId="0" xfId="0" applyNumberFormat="1"/>
    <xf numFmtId="164" fontId="0" fillId="0" borderId="0" xfId="0" applyNumberFormat="1"/>
    <xf numFmtId="1" fontId="0" fillId="2" borderId="0" xfId="0" applyNumberFormat="1" applyFill="1"/>
    <xf numFmtId="49" fontId="0" fillId="2" borderId="0" xfId="0" applyNumberFormat="1" applyFill="1"/>
    <xf numFmtId="164" fontId="0" fillId="2" borderId="0" xfId="0" applyNumberFormat="1" applyFill="1"/>
    <xf numFmtId="0" fontId="0" fillId="2" borderId="0" xfId="0" applyFill="1"/>
  </cellXfs>
  <cellStyles count="2">
    <cellStyle name="Normal" xfId="0" builtinId="0"/>
    <cellStyle name="Normal 2" xfId="1" xr:uid="{00000000-0005-0000-0000-000001000000}"/>
  </cellStyles>
  <dxfs count="5">
    <dxf>
      <numFmt numFmtId="30" formatCode="@"/>
    </dxf>
    <dxf>
      <numFmt numFmtId="30" formatCode="@"/>
    </dxf>
    <dxf>
      <numFmt numFmtId="164" formatCode="0.000"/>
    </dxf>
    <dxf>
      <numFmt numFmtId="30" formatCode="@"/>
    </dxf>
    <dxf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6663168-B585-49AB-994C-54C71E186203}" name="Table2" displayName="Table2" ref="A1:F148" totalsRowShown="0">
  <autoFilter ref="A1:F148" xr:uid="{26663168-B585-49AB-994C-54C71E186203}"/>
  <tableColumns count="6">
    <tableColumn id="1" xr3:uid="{724FB7E2-820D-405B-8A93-24A97000A0B3}" name="Sand Item" dataDxfId="4"/>
    <tableColumn id="2" xr3:uid="{7551391B-F5A6-42D0-ADCF-217A15780DB2}" name="Sand Batch" dataDxfId="3"/>
    <tableColumn id="3" xr3:uid="{3510469D-7545-459B-A92D-43656A803C0F}" name="Qty" dataDxfId="2"/>
    <tableColumn id="4" xr3:uid="{973CC9B2-5EF8-4C4F-BC8E-EA41A7E1DB39}" name="From Location" dataDxfId="1"/>
    <tableColumn id="5" xr3:uid="{0E6A2936-7B0A-40CB-B442-A51FDF38A0F9}" name="To Location" dataDxfId="0"/>
    <tableColumn id="6" xr3:uid="{1CEC46DE-FF40-4829-A056-56DDBF9927A4}" name="In SAP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R1651"/>
  <sheetViews>
    <sheetView tabSelected="1" workbookViewId="0">
      <pane ySplit="1" topLeftCell="A62" activePane="bottomLeft" state="frozen"/>
      <selection pane="bottomLeft" activeCell="B77" sqref="B77"/>
    </sheetView>
  </sheetViews>
  <sheetFormatPr defaultColWidth="13" defaultRowHeight="15" x14ac:dyDescent="0.25"/>
  <cols>
    <col min="1" max="1" width="7.7109375" bestFit="1" customWidth="1"/>
    <col min="2" max="2" width="15.5703125" bestFit="1" customWidth="1"/>
    <col min="3" max="3" width="13.28515625" customWidth="1"/>
    <col min="4" max="4" width="12.140625" bestFit="1" customWidth="1"/>
    <col min="5" max="5" width="15.85546875" bestFit="1" customWidth="1"/>
    <col min="6" max="6" width="14.7109375" bestFit="1" customWidth="1"/>
    <col min="7" max="7" width="34.5703125" bestFit="1" customWidth="1"/>
    <col min="8" max="8" width="12.140625" bestFit="1" customWidth="1"/>
    <col min="9" max="9" width="18.28515625" bestFit="1" customWidth="1"/>
    <col min="10" max="10" width="19.140625" bestFit="1" customWidth="1"/>
    <col min="11" max="11" width="18" bestFit="1" customWidth="1"/>
    <col min="12" max="12" width="15.5703125" bestFit="1" customWidth="1"/>
    <col min="13" max="13" width="29.42578125" style="2" bestFit="1" customWidth="1"/>
    <col min="14" max="14" width="9.7109375" bestFit="1" customWidth="1"/>
    <col min="15" max="15" width="12.140625" bestFit="1" customWidth="1"/>
    <col min="16" max="16" width="121.42578125" style="2" bestFit="1" customWidth="1"/>
    <col min="17" max="17" width="12.28515625" bestFit="1" customWidth="1"/>
    <col min="18" max="18" width="11" bestFit="1" customWidth="1"/>
    <col min="19" max="19" width="11.42578125" style="2" bestFit="1" customWidth="1"/>
    <col min="20" max="20" width="15.7109375" bestFit="1" customWidth="1"/>
    <col min="21" max="21" width="14.28515625" bestFit="1" customWidth="1"/>
    <col min="22" max="22" width="13.42578125" bestFit="1" customWidth="1"/>
    <col min="23" max="23" width="12.85546875" style="2" bestFit="1" customWidth="1"/>
    <col min="24" max="24" width="17.28515625" bestFit="1" customWidth="1"/>
    <col min="25" max="25" width="20.42578125" style="2" bestFit="1" customWidth="1"/>
    <col min="26" max="26" width="13.28515625" style="2" bestFit="1" customWidth="1"/>
    <col min="27" max="27" width="11" style="2" bestFit="1" customWidth="1"/>
    <col min="28" max="28" width="7.140625" style="2" bestFit="1" customWidth="1"/>
    <col min="29" max="29" width="11" style="2" bestFit="1" customWidth="1"/>
    <col min="30" max="30" width="7.140625" style="2" bestFit="1" customWidth="1"/>
    <col min="31" max="31" width="11" style="2" bestFit="1" customWidth="1"/>
    <col min="32" max="32" width="7.140625" bestFit="1" customWidth="1"/>
    <col min="33" max="33" width="11" bestFit="1" customWidth="1"/>
    <col min="34" max="34" width="7.140625" bestFit="1" customWidth="1"/>
    <col min="35" max="35" width="19.42578125" bestFit="1" customWidth="1"/>
    <col min="36" max="36" width="18.140625" bestFit="1" customWidth="1"/>
    <col min="37" max="37" width="18.5703125" style="2" bestFit="1" customWidth="1"/>
    <col min="38" max="38" width="22.85546875" bestFit="1" customWidth="1"/>
    <col min="39" max="39" width="5.5703125" bestFit="1" customWidth="1"/>
    <col min="40" max="44" width="5.85546875" bestFit="1" customWidth="1"/>
  </cols>
  <sheetData>
    <row r="1" spans="1:4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s="1" t="s">
        <v>9</v>
      </c>
      <c r="K1" s="1" t="s">
        <v>10</v>
      </c>
      <c r="L1" t="s">
        <v>11</v>
      </c>
      <c r="M1" s="2" t="s">
        <v>12</v>
      </c>
      <c r="N1" t="s">
        <v>13</v>
      </c>
      <c r="O1" t="s">
        <v>14</v>
      </c>
      <c r="P1" s="2" t="s">
        <v>15</v>
      </c>
      <c r="Q1" t="s">
        <v>16</v>
      </c>
      <c r="R1" t="s">
        <v>17</v>
      </c>
      <c r="S1" s="2" t="s">
        <v>18</v>
      </c>
      <c r="T1" t="s">
        <v>19</v>
      </c>
      <c r="U1" t="s">
        <v>20</v>
      </c>
      <c r="V1" t="s">
        <v>21</v>
      </c>
      <c r="W1" s="2" t="s">
        <v>22</v>
      </c>
      <c r="X1" t="s">
        <v>23</v>
      </c>
      <c r="Y1" s="2" t="s">
        <v>24</v>
      </c>
      <c r="AA1" s="2" t="s">
        <v>25</v>
      </c>
      <c r="AB1" s="2" t="s">
        <v>26</v>
      </c>
      <c r="AC1" s="2" t="s">
        <v>27</v>
      </c>
      <c r="AD1" s="2" t="s">
        <v>28</v>
      </c>
      <c r="AE1" s="2" t="s">
        <v>29</v>
      </c>
      <c r="AF1" s="2" t="s">
        <v>30</v>
      </c>
      <c r="AG1" s="2" t="s">
        <v>31</v>
      </c>
      <c r="AH1" s="2" t="s">
        <v>32</v>
      </c>
      <c r="AI1" t="s">
        <v>33</v>
      </c>
      <c r="AJ1" t="s">
        <v>34</v>
      </c>
      <c r="AK1" s="2" t="s">
        <v>35</v>
      </c>
      <c r="AL1" t="s">
        <v>36</v>
      </c>
      <c r="AM1" t="s">
        <v>37</v>
      </c>
      <c r="AN1" t="s">
        <v>38</v>
      </c>
      <c r="AO1" t="s">
        <v>38</v>
      </c>
      <c r="AP1" t="s">
        <v>38</v>
      </c>
      <c r="AQ1" t="s">
        <v>38</v>
      </c>
      <c r="AR1" t="s">
        <v>38</v>
      </c>
    </row>
    <row r="2" spans="1:44" x14ac:dyDescent="0.25">
      <c r="A2" t="s">
        <v>39</v>
      </c>
      <c r="B2">
        <v>45869.625185185185</v>
      </c>
      <c r="C2">
        <v>91222</v>
      </c>
      <c r="D2" t="s">
        <v>373</v>
      </c>
      <c r="E2">
        <v>4492864</v>
      </c>
      <c r="F2">
        <v>2105270</v>
      </c>
      <c r="G2" t="s">
        <v>374</v>
      </c>
      <c r="H2" t="s">
        <v>375</v>
      </c>
      <c r="I2">
        <v>2.5</v>
      </c>
      <c r="J2" t="b">
        <v>1</v>
      </c>
      <c r="K2">
        <v>5.7736720554272519E-3</v>
      </c>
      <c r="L2">
        <v>2106544</v>
      </c>
      <c r="M2" t="s">
        <v>376</v>
      </c>
      <c r="N2">
        <v>433</v>
      </c>
      <c r="O2">
        <v>433</v>
      </c>
      <c r="P2"/>
      <c r="Q2">
        <v>0</v>
      </c>
      <c r="R2">
        <v>0</v>
      </c>
      <c r="S2" t="s">
        <v>40</v>
      </c>
      <c r="T2">
        <v>261</v>
      </c>
      <c r="U2">
        <v>147664</v>
      </c>
      <c r="V2">
        <v>0</v>
      </c>
      <c r="W2" t="s">
        <v>40</v>
      </c>
      <c r="X2">
        <v>261</v>
      </c>
      <c r="Y2" t="s">
        <v>377</v>
      </c>
      <c r="Z2" t="s">
        <v>378</v>
      </c>
      <c r="AA2" t="s">
        <v>379</v>
      </c>
      <c r="AB2" t="s">
        <v>380</v>
      </c>
      <c r="AC2" t="s">
        <v>41</v>
      </c>
      <c r="AD2" t="s">
        <v>41</v>
      </c>
      <c r="AE2" t="s">
        <v>41</v>
      </c>
      <c r="AF2" t="s">
        <v>41</v>
      </c>
      <c r="AG2" t="s">
        <v>41</v>
      </c>
      <c r="AH2" t="s">
        <v>41</v>
      </c>
      <c r="AK2"/>
    </row>
    <row r="3" spans="1:44" x14ac:dyDescent="0.25">
      <c r="A3" t="s">
        <v>42</v>
      </c>
      <c r="B3">
        <v>45873.547731481478</v>
      </c>
      <c r="C3">
        <v>91042</v>
      </c>
      <c r="D3" t="s">
        <v>373</v>
      </c>
      <c r="E3">
        <v>4492489</v>
      </c>
      <c r="F3">
        <v>2304754</v>
      </c>
      <c r="G3" t="s">
        <v>381</v>
      </c>
      <c r="H3" t="s">
        <v>382</v>
      </c>
      <c r="I3">
        <v>14</v>
      </c>
      <c r="J3" t="b">
        <v>1</v>
      </c>
      <c r="K3">
        <v>1.75</v>
      </c>
      <c r="L3">
        <v>2304755</v>
      </c>
      <c r="M3" t="s">
        <v>383</v>
      </c>
      <c r="N3">
        <v>8</v>
      </c>
      <c r="O3">
        <v>8</v>
      </c>
      <c r="P3"/>
      <c r="Q3">
        <v>134968</v>
      </c>
      <c r="R3">
        <v>2</v>
      </c>
      <c r="S3" t="s">
        <v>40</v>
      </c>
      <c r="T3">
        <v>261</v>
      </c>
      <c r="U3">
        <v>147664</v>
      </c>
      <c r="V3">
        <v>48</v>
      </c>
      <c r="W3" t="s">
        <v>40</v>
      </c>
      <c r="X3">
        <v>261</v>
      </c>
      <c r="Y3" t="s">
        <v>377</v>
      </c>
      <c r="Z3" t="s">
        <v>378</v>
      </c>
      <c r="AA3" t="s">
        <v>384</v>
      </c>
      <c r="AB3" t="s">
        <v>384</v>
      </c>
      <c r="AC3" t="s">
        <v>41</v>
      </c>
      <c r="AD3" t="s">
        <v>41</v>
      </c>
      <c r="AE3" t="s">
        <v>41</v>
      </c>
      <c r="AF3" t="s">
        <v>41</v>
      </c>
      <c r="AG3" t="s">
        <v>41</v>
      </c>
      <c r="AH3" t="s">
        <v>41</v>
      </c>
      <c r="AK3"/>
    </row>
    <row r="4" spans="1:44" x14ac:dyDescent="0.25">
      <c r="A4" t="s">
        <v>37</v>
      </c>
      <c r="B4">
        <v>45873.58997685185</v>
      </c>
      <c r="C4">
        <v>91233</v>
      </c>
      <c r="D4" t="s">
        <v>373</v>
      </c>
      <c r="E4">
        <v>4484654</v>
      </c>
      <c r="F4">
        <v>123650</v>
      </c>
      <c r="G4" t="s">
        <v>385</v>
      </c>
      <c r="H4" t="s">
        <v>386</v>
      </c>
      <c r="I4">
        <v>3</v>
      </c>
      <c r="J4" t="b">
        <v>1</v>
      </c>
      <c r="K4">
        <v>1.4634146341463415E-2</v>
      </c>
      <c r="L4">
        <v>123651</v>
      </c>
      <c r="M4" t="s">
        <v>387</v>
      </c>
      <c r="N4">
        <v>205</v>
      </c>
      <c r="O4">
        <v>182</v>
      </c>
      <c r="P4"/>
      <c r="Q4">
        <v>134913</v>
      </c>
      <c r="R4">
        <v>1</v>
      </c>
      <c r="S4" t="s">
        <v>40</v>
      </c>
      <c r="T4">
        <v>261</v>
      </c>
      <c r="U4">
        <v>147664</v>
      </c>
      <c r="V4">
        <v>24</v>
      </c>
      <c r="W4" t="s">
        <v>40</v>
      </c>
      <c r="X4">
        <v>261</v>
      </c>
      <c r="Y4" t="s">
        <v>377</v>
      </c>
      <c r="Z4" t="s">
        <v>378</v>
      </c>
      <c r="AA4" t="s">
        <v>379</v>
      </c>
      <c r="AB4" t="s">
        <v>388</v>
      </c>
      <c r="AC4" t="s">
        <v>41</v>
      </c>
      <c r="AD4" t="s">
        <v>41</v>
      </c>
      <c r="AE4" t="s">
        <v>41</v>
      </c>
      <c r="AF4" t="s">
        <v>41</v>
      </c>
      <c r="AG4" t="s">
        <v>41</v>
      </c>
      <c r="AH4" t="s">
        <v>41</v>
      </c>
      <c r="AK4"/>
    </row>
    <row r="5" spans="1:44" x14ac:dyDescent="0.25">
      <c r="A5" t="s">
        <v>37</v>
      </c>
      <c r="B5">
        <v>45873.592129629629</v>
      </c>
      <c r="C5">
        <v>91236</v>
      </c>
      <c r="D5" t="s">
        <v>373</v>
      </c>
      <c r="E5">
        <v>4488861</v>
      </c>
      <c r="F5">
        <v>2116550</v>
      </c>
      <c r="G5" t="s">
        <v>389</v>
      </c>
      <c r="H5" t="s">
        <v>390</v>
      </c>
      <c r="I5">
        <v>3</v>
      </c>
      <c r="J5" t="b">
        <v>1</v>
      </c>
      <c r="K5">
        <v>3.7974683544303799E-2</v>
      </c>
      <c r="L5">
        <v>2117700</v>
      </c>
      <c r="M5" t="s">
        <v>391</v>
      </c>
      <c r="N5">
        <v>79</v>
      </c>
      <c r="O5">
        <v>50</v>
      </c>
      <c r="P5"/>
      <c r="Q5">
        <v>134913</v>
      </c>
      <c r="R5">
        <v>1</v>
      </c>
      <c r="S5" t="s">
        <v>40</v>
      </c>
      <c r="T5">
        <v>261</v>
      </c>
      <c r="U5">
        <v>147664</v>
      </c>
      <c r="V5">
        <v>24</v>
      </c>
      <c r="W5" t="s">
        <v>40</v>
      </c>
      <c r="X5">
        <v>261</v>
      </c>
      <c r="Y5" t="s">
        <v>377</v>
      </c>
      <c r="Z5" t="s">
        <v>378</v>
      </c>
      <c r="AA5" t="s">
        <v>379</v>
      </c>
      <c r="AB5" t="s">
        <v>392</v>
      </c>
      <c r="AC5" t="s">
        <v>41</v>
      </c>
      <c r="AD5" t="s">
        <v>41</v>
      </c>
      <c r="AE5" t="s">
        <v>41</v>
      </c>
      <c r="AF5" t="s">
        <v>41</v>
      </c>
      <c r="AG5" t="s">
        <v>41</v>
      </c>
      <c r="AH5" t="s">
        <v>41</v>
      </c>
      <c r="AK5"/>
    </row>
    <row r="6" spans="1:44" x14ac:dyDescent="0.25">
      <c r="A6" t="s">
        <v>37</v>
      </c>
      <c r="B6">
        <v>45875.475474537037</v>
      </c>
      <c r="C6">
        <v>91240</v>
      </c>
      <c r="D6" t="s">
        <v>393</v>
      </c>
      <c r="E6">
        <v>4488873</v>
      </c>
      <c r="F6">
        <v>2105470</v>
      </c>
      <c r="G6" t="s">
        <v>394</v>
      </c>
      <c r="H6" t="s">
        <v>390</v>
      </c>
      <c r="I6">
        <v>1.5</v>
      </c>
      <c r="J6" t="b">
        <v>1</v>
      </c>
      <c r="K6">
        <v>6.0000000000000001E-3</v>
      </c>
      <c r="L6">
        <v>2106726</v>
      </c>
      <c r="M6" t="s">
        <v>395</v>
      </c>
      <c r="N6">
        <v>250</v>
      </c>
      <c r="O6">
        <v>250</v>
      </c>
      <c r="P6"/>
      <c r="Q6">
        <v>134912</v>
      </c>
      <c r="R6">
        <v>1</v>
      </c>
      <c r="S6" t="s">
        <v>40</v>
      </c>
      <c r="T6">
        <v>261</v>
      </c>
      <c r="U6">
        <v>147664</v>
      </c>
      <c r="V6">
        <v>24</v>
      </c>
      <c r="W6" t="s">
        <v>40</v>
      </c>
      <c r="X6">
        <v>261</v>
      </c>
      <c r="Y6" t="s">
        <v>377</v>
      </c>
      <c r="Z6" t="s">
        <v>378</v>
      </c>
      <c r="AA6" t="s">
        <v>379</v>
      </c>
      <c r="AB6" t="s">
        <v>396</v>
      </c>
      <c r="AC6" t="s">
        <v>41</v>
      </c>
      <c r="AD6" t="s">
        <v>41</v>
      </c>
      <c r="AE6" t="s">
        <v>41</v>
      </c>
      <c r="AF6" t="s">
        <v>41</v>
      </c>
      <c r="AG6" t="s">
        <v>41</v>
      </c>
      <c r="AH6" t="s">
        <v>41</v>
      </c>
      <c r="AK6"/>
    </row>
    <row r="7" spans="1:44" x14ac:dyDescent="0.25">
      <c r="A7" t="s">
        <v>43</v>
      </c>
      <c r="B7">
        <v>45875.482858796298</v>
      </c>
      <c r="C7">
        <v>89491</v>
      </c>
      <c r="D7" t="s">
        <v>393</v>
      </c>
      <c r="E7">
        <v>4493104</v>
      </c>
      <c r="F7">
        <v>2301366</v>
      </c>
      <c r="G7" t="s">
        <v>397</v>
      </c>
      <c r="H7" t="s">
        <v>398</v>
      </c>
      <c r="I7">
        <v>14</v>
      </c>
      <c r="J7" t="b">
        <v>1</v>
      </c>
      <c r="K7">
        <v>1.75</v>
      </c>
      <c r="L7">
        <v>2301367</v>
      </c>
      <c r="M7" t="s">
        <v>399</v>
      </c>
      <c r="N7">
        <v>8</v>
      </c>
      <c r="O7">
        <v>8</v>
      </c>
      <c r="P7"/>
      <c r="Q7">
        <v>0</v>
      </c>
      <c r="R7">
        <v>0</v>
      </c>
      <c r="S7" t="s">
        <v>40</v>
      </c>
      <c r="T7">
        <v>261</v>
      </c>
      <c r="U7">
        <v>147664</v>
      </c>
      <c r="V7">
        <v>0</v>
      </c>
      <c r="W7" t="s">
        <v>40</v>
      </c>
      <c r="X7">
        <v>261</v>
      </c>
      <c r="Y7" t="s">
        <v>377</v>
      </c>
      <c r="Z7" t="s">
        <v>378</v>
      </c>
      <c r="AA7" t="s">
        <v>379</v>
      </c>
      <c r="AB7" t="s">
        <v>400</v>
      </c>
      <c r="AC7" t="s">
        <v>41</v>
      </c>
      <c r="AD7" t="s">
        <v>41</v>
      </c>
      <c r="AE7" t="s">
        <v>41</v>
      </c>
      <c r="AF7" t="s">
        <v>41</v>
      </c>
      <c r="AG7" t="s">
        <v>41</v>
      </c>
      <c r="AH7" t="s">
        <v>41</v>
      </c>
      <c r="AK7"/>
    </row>
    <row r="8" spans="1:44" x14ac:dyDescent="0.25">
      <c r="A8" t="s">
        <v>43</v>
      </c>
      <c r="B8">
        <v>45875.483599537038</v>
      </c>
      <c r="C8">
        <v>89491</v>
      </c>
      <c r="D8" t="s">
        <v>393</v>
      </c>
      <c r="E8">
        <v>4493104</v>
      </c>
      <c r="F8">
        <v>2301366</v>
      </c>
      <c r="H8" t="s">
        <v>398</v>
      </c>
      <c r="I8">
        <v>14</v>
      </c>
      <c r="J8" t="b">
        <v>0</v>
      </c>
      <c r="K8">
        <v>1.75</v>
      </c>
      <c r="L8">
        <v>2301367</v>
      </c>
      <c r="M8" t="s">
        <v>399</v>
      </c>
      <c r="N8">
        <v>8</v>
      </c>
      <c r="O8">
        <v>8</v>
      </c>
      <c r="P8"/>
      <c r="Q8">
        <v>0</v>
      </c>
      <c r="R8">
        <v>0</v>
      </c>
      <c r="S8" t="s">
        <v>40</v>
      </c>
      <c r="T8">
        <v>261</v>
      </c>
      <c r="U8">
        <v>147664</v>
      </c>
      <c r="V8">
        <v>0</v>
      </c>
      <c r="W8" t="s">
        <v>40</v>
      </c>
      <c r="X8">
        <v>261</v>
      </c>
      <c r="Y8" t="s">
        <v>377</v>
      </c>
      <c r="Z8" t="s">
        <v>378</v>
      </c>
      <c r="AA8" t="s">
        <v>379</v>
      </c>
      <c r="AB8" t="s">
        <v>400</v>
      </c>
      <c r="AC8" t="s">
        <v>41</v>
      </c>
      <c r="AD8" t="s">
        <v>41</v>
      </c>
      <c r="AE8" t="s">
        <v>41</v>
      </c>
      <c r="AF8" t="s">
        <v>41</v>
      </c>
      <c r="AG8" t="s">
        <v>41</v>
      </c>
      <c r="AH8" t="s">
        <v>41</v>
      </c>
      <c r="AK8"/>
    </row>
    <row r="9" spans="1:44" x14ac:dyDescent="0.25">
      <c r="A9" t="s">
        <v>44</v>
      </c>
      <c r="B9">
        <v>45876.399270833332</v>
      </c>
      <c r="C9">
        <v>89492</v>
      </c>
      <c r="D9" t="s">
        <v>401</v>
      </c>
      <c r="E9">
        <v>4483837</v>
      </c>
      <c r="F9">
        <v>2304758</v>
      </c>
      <c r="G9" t="s">
        <v>402</v>
      </c>
      <c r="H9" t="s">
        <v>403</v>
      </c>
      <c r="I9">
        <v>14</v>
      </c>
      <c r="J9" t="b">
        <v>1</v>
      </c>
      <c r="K9">
        <v>1.75</v>
      </c>
      <c r="L9">
        <v>2304759</v>
      </c>
      <c r="M9" t="s">
        <v>404</v>
      </c>
      <c r="N9">
        <v>8</v>
      </c>
      <c r="O9">
        <v>8</v>
      </c>
      <c r="P9"/>
      <c r="Q9">
        <v>155687</v>
      </c>
      <c r="R9">
        <v>2</v>
      </c>
      <c r="S9" t="s">
        <v>40</v>
      </c>
      <c r="T9">
        <v>261</v>
      </c>
      <c r="U9">
        <v>147664</v>
      </c>
      <c r="V9">
        <v>48</v>
      </c>
      <c r="W9" t="s">
        <v>40</v>
      </c>
      <c r="X9">
        <v>261</v>
      </c>
      <c r="Y9" t="s">
        <v>377</v>
      </c>
      <c r="Z9" t="s">
        <v>378</v>
      </c>
      <c r="AA9" t="s">
        <v>384</v>
      </c>
      <c r="AB9" t="s">
        <v>384</v>
      </c>
      <c r="AC9" t="s">
        <v>41</v>
      </c>
      <c r="AD9" t="s">
        <v>41</v>
      </c>
      <c r="AE9" t="s">
        <v>41</v>
      </c>
      <c r="AF9" t="s">
        <v>41</v>
      </c>
      <c r="AG9" t="s">
        <v>41</v>
      </c>
      <c r="AH9" t="s">
        <v>41</v>
      </c>
      <c r="AK9"/>
    </row>
    <row r="10" spans="1:44" x14ac:dyDescent="0.25">
      <c r="A10" t="s">
        <v>37</v>
      </c>
      <c r="B10">
        <v>45876.547326388885</v>
      </c>
      <c r="C10">
        <v>89237</v>
      </c>
      <c r="D10" t="s">
        <v>401</v>
      </c>
      <c r="E10">
        <v>4491381</v>
      </c>
      <c r="F10">
        <v>105448</v>
      </c>
      <c r="G10" t="s">
        <v>405</v>
      </c>
      <c r="H10" t="s">
        <v>406</v>
      </c>
      <c r="I10">
        <v>10</v>
      </c>
      <c r="J10" t="b">
        <v>1</v>
      </c>
      <c r="K10">
        <v>0.83333333333333337</v>
      </c>
      <c r="L10">
        <v>2106222</v>
      </c>
      <c r="M10" t="s">
        <v>407</v>
      </c>
      <c r="N10">
        <v>12</v>
      </c>
      <c r="O10">
        <v>12</v>
      </c>
      <c r="P10" t="s">
        <v>408</v>
      </c>
      <c r="Q10">
        <v>0</v>
      </c>
      <c r="R10">
        <v>0</v>
      </c>
      <c r="S10" t="s">
        <v>40</v>
      </c>
      <c r="T10">
        <v>261</v>
      </c>
      <c r="U10">
        <v>147664</v>
      </c>
      <c r="V10">
        <v>0</v>
      </c>
      <c r="W10" t="s">
        <v>40</v>
      </c>
      <c r="X10">
        <v>261</v>
      </c>
      <c r="Y10" t="s">
        <v>377</v>
      </c>
      <c r="Z10" t="s">
        <v>378</v>
      </c>
      <c r="AA10" t="s">
        <v>384</v>
      </c>
      <c r="AB10" t="s">
        <v>409</v>
      </c>
      <c r="AC10" t="s">
        <v>41</v>
      </c>
      <c r="AD10" t="s">
        <v>41</v>
      </c>
      <c r="AE10" t="s">
        <v>41</v>
      </c>
      <c r="AF10" t="s">
        <v>41</v>
      </c>
      <c r="AG10" t="s">
        <v>41</v>
      </c>
      <c r="AH10" t="s">
        <v>41</v>
      </c>
      <c r="AK10"/>
    </row>
    <row r="11" spans="1:44" x14ac:dyDescent="0.25">
      <c r="A11" t="s">
        <v>39</v>
      </c>
      <c r="B11">
        <v>45876.703877314816</v>
      </c>
      <c r="C11">
        <v>91252</v>
      </c>
      <c r="D11" t="s">
        <v>401</v>
      </c>
      <c r="E11">
        <v>4491915</v>
      </c>
      <c r="F11">
        <v>105373</v>
      </c>
      <c r="G11" t="s">
        <v>410</v>
      </c>
      <c r="H11" t="s">
        <v>390</v>
      </c>
      <c r="I11">
        <v>5</v>
      </c>
      <c r="J11" t="b">
        <v>1</v>
      </c>
      <c r="K11">
        <v>3.0303030303030304E-2</v>
      </c>
      <c r="L11">
        <v>105374</v>
      </c>
      <c r="M11" t="s">
        <v>411</v>
      </c>
      <c r="N11">
        <v>165</v>
      </c>
      <c r="O11">
        <v>176</v>
      </c>
      <c r="P11"/>
      <c r="Q11">
        <v>134974</v>
      </c>
      <c r="R11">
        <v>1</v>
      </c>
      <c r="S11" t="s">
        <v>40</v>
      </c>
      <c r="T11">
        <v>261</v>
      </c>
      <c r="W11"/>
      <c r="Y11" t="s">
        <v>377</v>
      </c>
      <c r="Z11" t="s">
        <v>378</v>
      </c>
      <c r="AA11" t="s">
        <v>379</v>
      </c>
      <c r="AB11" t="s">
        <v>412</v>
      </c>
      <c r="AC11" t="s">
        <v>41</v>
      </c>
      <c r="AD11" t="s">
        <v>41</v>
      </c>
      <c r="AE11" t="s">
        <v>41</v>
      </c>
      <c r="AF11" t="s">
        <v>41</v>
      </c>
      <c r="AG11" t="s">
        <v>41</v>
      </c>
      <c r="AH11" t="s">
        <v>41</v>
      </c>
      <c r="AK11"/>
    </row>
    <row r="12" spans="1:44" x14ac:dyDescent="0.25">
      <c r="A12" t="s">
        <v>39</v>
      </c>
      <c r="B12">
        <v>45876.705231481479</v>
      </c>
      <c r="C12">
        <v>91250</v>
      </c>
      <c r="D12" t="s">
        <v>401</v>
      </c>
      <c r="E12">
        <v>4491916</v>
      </c>
      <c r="F12">
        <v>2105477</v>
      </c>
      <c r="G12" t="s">
        <v>413</v>
      </c>
      <c r="H12" t="s">
        <v>390</v>
      </c>
      <c r="I12">
        <v>5</v>
      </c>
      <c r="J12" t="b">
        <v>1</v>
      </c>
      <c r="K12">
        <v>4.807692307692308E-2</v>
      </c>
      <c r="L12">
        <v>2106733</v>
      </c>
      <c r="M12" t="s">
        <v>414</v>
      </c>
      <c r="N12">
        <v>104</v>
      </c>
      <c r="O12">
        <v>104</v>
      </c>
      <c r="P12"/>
      <c r="Q12">
        <v>134974</v>
      </c>
      <c r="R12">
        <v>1</v>
      </c>
      <c r="S12" t="s">
        <v>40</v>
      </c>
      <c r="T12">
        <v>261</v>
      </c>
      <c r="W12"/>
      <c r="Y12" t="s">
        <v>377</v>
      </c>
      <c r="Z12" t="s">
        <v>378</v>
      </c>
      <c r="AA12" t="s">
        <v>379</v>
      </c>
      <c r="AB12" t="s">
        <v>415</v>
      </c>
      <c r="AC12" t="s">
        <v>41</v>
      </c>
      <c r="AD12" t="s">
        <v>41</v>
      </c>
      <c r="AE12" t="s">
        <v>41</v>
      </c>
      <c r="AF12" t="s">
        <v>41</v>
      </c>
      <c r="AG12" t="s">
        <v>41</v>
      </c>
      <c r="AH12" t="s">
        <v>41</v>
      </c>
      <c r="AK12"/>
    </row>
    <row r="13" spans="1:44" x14ac:dyDescent="0.25">
      <c r="A13" t="s">
        <v>39</v>
      </c>
      <c r="B13">
        <v>45877.344861111109</v>
      </c>
      <c r="C13">
        <v>89240</v>
      </c>
      <c r="D13" t="s">
        <v>373</v>
      </c>
      <c r="E13">
        <v>4491382</v>
      </c>
      <c r="F13">
        <v>105448</v>
      </c>
      <c r="G13" t="s">
        <v>405</v>
      </c>
      <c r="H13" t="s">
        <v>416</v>
      </c>
      <c r="I13">
        <v>7.5</v>
      </c>
      <c r="J13" t="b">
        <v>1</v>
      </c>
      <c r="K13">
        <v>0.625</v>
      </c>
      <c r="L13">
        <v>2106222</v>
      </c>
      <c r="M13" t="s">
        <v>407</v>
      </c>
      <c r="N13">
        <v>12</v>
      </c>
      <c r="O13">
        <v>12</v>
      </c>
      <c r="P13"/>
      <c r="Q13">
        <v>134971</v>
      </c>
      <c r="R13">
        <v>2</v>
      </c>
      <c r="S13" t="s">
        <v>40</v>
      </c>
      <c r="T13">
        <v>261</v>
      </c>
      <c r="U13">
        <v>147664</v>
      </c>
      <c r="V13">
        <v>48</v>
      </c>
      <c r="W13" t="s">
        <v>40</v>
      </c>
      <c r="X13">
        <v>261</v>
      </c>
      <c r="Y13" t="s">
        <v>377</v>
      </c>
      <c r="Z13" t="s">
        <v>378</v>
      </c>
      <c r="AA13" t="s">
        <v>379</v>
      </c>
      <c r="AB13" t="s">
        <v>400</v>
      </c>
      <c r="AC13" t="s">
        <v>41</v>
      </c>
      <c r="AD13" t="s">
        <v>384</v>
      </c>
      <c r="AE13" t="s">
        <v>41</v>
      </c>
      <c r="AF13" t="s">
        <v>41</v>
      </c>
      <c r="AG13" t="s">
        <v>41</v>
      </c>
      <c r="AH13" t="s">
        <v>41</v>
      </c>
      <c r="AK13"/>
    </row>
    <row r="14" spans="1:44" x14ac:dyDescent="0.25">
      <c r="A14" t="s">
        <v>45</v>
      </c>
      <c r="B14">
        <v>45877.699282407404</v>
      </c>
      <c r="C14">
        <v>91253</v>
      </c>
      <c r="D14" t="s">
        <v>373</v>
      </c>
      <c r="E14">
        <v>4491995</v>
      </c>
      <c r="F14">
        <v>2105456</v>
      </c>
      <c r="G14" t="s">
        <v>417</v>
      </c>
      <c r="H14" t="s">
        <v>386</v>
      </c>
      <c r="I14">
        <v>3</v>
      </c>
      <c r="J14" t="b">
        <v>1</v>
      </c>
      <c r="K14">
        <v>9.4043887147335428E-3</v>
      </c>
      <c r="L14">
        <v>2106712</v>
      </c>
      <c r="M14" t="s">
        <v>418</v>
      </c>
      <c r="N14">
        <v>319</v>
      </c>
      <c r="O14">
        <v>300</v>
      </c>
      <c r="P14"/>
      <c r="Q14">
        <v>134976</v>
      </c>
      <c r="R14">
        <v>1</v>
      </c>
      <c r="S14" t="s">
        <v>40</v>
      </c>
      <c r="T14">
        <v>261</v>
      </c>
      <c r="W14"/>
      <c r="Y14" t="s">
        <v>377</v>
      </c>
      <c r="Z14" t="s">
        <v>378</v>
      </c>
      <c r="AA14" t="s">
        <v>379</v>
      </c>
      <c r="AB14" t="s">
        <v>419</v>
      </c>
      <c r="AC14" t="s">
        <v>41</v>
      </c>
      <c r="AD14" t="s">
        <v>41</v>
      </c>
      <c r="AE14" t="s">
        <v>41</v>
      </c>
      <c r="AF14" t="s">
        <v>41</v>
      </c>
      <c r="AG14" t="s">
        <v>41</v>
      </c>
      <c r="AH14" t="s">
        <v>41</v>
      </c>
      <c r="AK14"/>
    </row>
    <row r="15" spans="1:44" x14ac:dyDescent="0.25">
      <c r="A15" t="s">
        <v>37</v>
      </c>
      <c r="B15">
        <v>45879.525393518517</v>
      </c>
      <c r="C15">
        <v>91259</v>
      </c>
      <c r="D15" t="s">
        <v>373</v>
      </c>
      <c r="E15">
        <v>4488705</v>
      </c>
      <c r="F15">
        <v>2124124</v>
      </c>
      <c r="G15" t="s">
        <v>420</v>
      </c>
      <c r="H15" t="s">
        <v>421</v>
      </c>
      <c r="I15">
        <v>10</v>
      </c>
      <c r="J15" t="b">
        <v>1</v>
      </c>
      <c r="K15">
        <v>2.9239766081871343E-2</v>
      </c>
      <c r="L15">
        <v>2124480</v>
      </c>
      <c r="M15" t="s">
        <v>422</v>
      </c>
      <c r="N15">
        <v>342</v>
      </c>
      <c r="O15">
        <v>342</v>
      </c>
      <c r="P15" t="s">
        <v>423</v>
      </c>
      <c r="Q15">
        <v>0</v>
      </c>
      <c r="R15">
        <v>0</v>
      </c>
      <c r="S15" t="s">
        <v>40</v>
      </c>
      <c r="T15">
        <v>261</v>
      </c>
      <c r="W15"/>
      <c r="Y15" t="s">
        <v>377</v>
      </c>
      <c r="Z15" t="s">
        <v>378</v>
      </c>
      <c r="AA15" t="s">
        <v>379</v>
      </c>
      <c r="AB15" t="s">
        <v>424</v>
      </c>
      <c r="AC15" t="s">
        <v>41</v>
      </c>
      <c r="AD15" t="s">
        <v>41</v>
      </c>
      <c r="AE15" t="s">
        <v>41</v>
      </c>
      <c r="AF15" t="s">
        <v>41</v>
      </c>
      <c r="AG15" t="s">
        <v>41</v>
      </c>
      <c r="AH15" t="s">
        <v>41</v>
      </c>
      <c r="AK15"/>
    </row>
    <row r="16" spans="1:44" x14ac:dyDescent="0.25">
      <c r="A16" t="s">
        <v>42</v>
      </c>
      <c r="B16">
        <v>45879.547523148147</v>
      </c>
      <c r="C16">
        <v>89243</v>
      </c>
      <c r="D16" t="s">
        <v>373</v>
      </c>
      <c r="E16">
        <v>4493516</v>
      </c>
      <c r="F16">
        <v>2123979</v>
      </c>
      <c r="G16" t="s">
        <v>425</v>
      </c>
      <c r="H16" t="s">
        <v>426</v>
      </c>
      <c r="I16">
        <v>7.5</v>
      </c>
      <c r="J16" t="b">
        <v>1</v>
      </c>
      <c r="K16">
        <v>1.875</v>
      </c>
      <c r="L16">
        <v>120995</v>
      </c>
      <c r="M16" t="s">
        <v>427</v>
      </c>
      <c r="N16">
        <v>4</v>
      </c>
      <c r="O16">
        <v>4</v>
      </c>
      <c r="P16"/>
      <c r="Q16">
        <v>134906</v>
      </c>
      <c r="R16">
        <v>1</v>
      </c>
      <c r="S16" t="s">
        <v>40</v>
      </c>
      <c r="T16">
        <v>261</v>
      </c>
      <c r="U16">
        <v>147664</v>
      </c>
      <c r="V16">
        <v>24</v>
      </c>
      <c r="W16" t="s">
        <v>40</v>
      </c>
      <c r="X16">
        <v>261</v>
      </c>
      <c r="Y16" t="s">
        <v>377</v>
      </c>
      <c r="Z16" t="s">
        <v>378</v>
      </c>
      <c r="AA16" t="s">
        <v>379</v>
      </c>
      <c r="AB16" t="s">
        <v>384</v>
      </c>
      <c r="AC16" t="s">
        <v>41</v>
      </c>
      <c r="AD16" t="s">
        <v>41</v>
      </c>
      <c r="AE16" t="s">
        <v>41</v>
      </c>
      <c r="AF16" t="s">
        <v>41</v>
      </c>
      <c r="AG16" t="s">
        <v>41</v>
      </c>
      <c r="AH16" t="s">
        <v>41</v>
      </c>
      <c r="AK16"/>
    </row>
    <row r="17" spans="1:37" x14ac:dyDescent="0.25">
      <c r="A17" t="s">
        <v>42</v>
      </c>
      <c r="B17">
        <v>45879.549143518518</v>
      </c>
      <c r="C17">
        <v>89243</v>
      </c>
      <c r="D17" t="s">
        <v>373</v>
      </c>
      <c r="E17">
        <v>4493517</v>
      </c>
      <c r="F17">
        <v>2123979</v>
      </c>
      <c r="G17" t="s">
        <v>425</v>
      </c>
      <c r="H17" t="s">
        <v>426</v>
      </c>
      <c r="I17">
        <v>7.5</v>
      </c>
      <c r="J17" t="b">
        <v>1</v>
      </c>
      <c r="K17">
        <v>0.9375</v>
      </c>
      <c r="L17">
        <v>120995</v>
      </c>
      <c r="M17" t="s">
        <v>427</v>
      </c>
      <c r="N17">
        <v>8</v>
      </c>
      <c r="O17">
        <v>8</v>
      </c>
      <c r="P17"/>
      <c r="Q17">
        <v>134905</v>
      </c>
      <c r="R17">
        <v>1</v>
      </c>
      <c r="S17" t="s">
        <v>40</v>
      </c>
      <c r="T17">
        <v>261</v>
      </c>
      <c r="U17">
        <v>147664</v>
      </c>
      <c r="V17">
        <v>24</v>
      </c>
      <c r="W17" t="s">
        <v>40</v>
      </c>
      <c r="X17">
        <v>261</v>
      </c>
      <c r="Y17" t="s">
        <v>377</v>
      </c>
      <c r="Z17" t="s">
        <v>378</v>
      </c>
      <c r="AA17" t="s">
        <v>379</v>
      </c>
      <c r="AB17" t="s">
        <v>400</v>
      </c>
      <c r="AC17" t="s">
        <v>41</v>
      </c>
      <c r="AD17" t="s">
        <v>41</v>
      </c>
      <c r="AE17" t="s">
        <v>41</v>
      </c>
      <c r="AF17" t="s">
        <v>41</v>
      </c>
      <c r="AG17" t="s">
        <v>41</v>
      </c>
      <c r="AH17" t="s">
        <v>41</v>
      </c>
      <c r="AK17"/>
    </row>
    <row r="18" spans="1:37" x14ac:dyDescent="0.25">
      <c r="A18" t="s">
        <v>42</v>
      </c>
      <c r="B18">
        <v>45882.36310185185</v>
      </c>
      <c r="C18">
        <v>89246</v>
      </c>
      <c r="D18" t="s">
        <v>373</v>
      </c>
      <c r="E18">
        <v>4493642</v>
      </c>
      <c r="F18">
        <v>2123979</v>
      </c>
      <c r="G18" t="s">
        <v>425</v>
      </c>
      <c r="H18" t="s">
        <v>428</v>
      </c>
      <c r="I18">
        <v>7.5</v>
      </c>
      <c r="J18" t="b">
        <v>1</v>
      </c>
      <c r="K18">
        <v>1.875</v>
      </c>
      <c r="L18">
        <v>120995</v>
      </c>
      <c r="M18" t="s">
        <v>427</v>
      </c>
      <c r="N18">
        <v>4</v>
      </c>
      <c r="O18">
        <v>4</v>
      </c>
      <c r="P18"/>
      <c r="Q18">
        <v>134971</v>
      </c>
      <c r="R18">
        <v>1</v>
      </c>
      <c r="S18" t="s">
        <v>40</v>
      </c>
      <c r="T18">
        <v>261</v>
      </c>
      <c r="U18">
        <v>147664</v>
      </c>
      <c r="V18">
        <v>24</v>
      </c>
      <c r="W18" t="s">
        <v>40</v>
      </c>
      <c r="X18">
        <v>261</v>
      </c>
      <c r="Y18" t="s">
        <v>377</v>
      </c>
      <c r="Z18" t="s">
        <v>378</v>
      </c>
      <c r="AA18" t="s">
        <v>379</v>
      </c>
      <c r="AB18" t="s">
        <v>384</v>
      </c>
      <c r="AC18" t="s">
        <v>41</v>
      </c>
      <c r="AD18" t="s">
        <v>41</v>
      </c>
      <c r="AE18" t="s">
        <v>41</v>
      </c>
      <c r="AF18" t="s">
        <v>41</v>
      </c>
      <c r="AG18" t="s">
        <v>41</v>
      </c>
      <c r="AH18" t="s">
        <v>41</v>
      </c>
      <c r="AK18"/>
    </row>
    <row r="19" spans="1:37" x14ac:dyDescent="0.25">
      <c r="A19" t="s">
        <v>42</v>
      </c>
      <c r="B19">
        <v>45882.36451388889</v>
      </c>
      <c r="C19">
        <v>89246</v>
      </c>
      <c r="D19" t="s">
        <v>373</v>
      </c>
      <c r="E19">
        <v>4493643</v>
      </c>
      <c r="F19">
        <v>2123979</v>
      </c>
      <c r="G19" t="s">
        <v>425</v>
      </c>
      <c r="H19" t="s">
        <v>428</v>
      </c>
      <c r="I19">
        <v>7.5</v>
      </c>
      <c r="J19" t="b">
        <v>1</v>
      </c>
      <c r="K19">
        <v>0.9375</v>
      </c>
      <c r="L19">
        <v>120995</v>
      </c>
      <c r="M19" t="s">
        <v>427</v>
      </c>
      <c r="N19">
        <v>8</v>
      </c>
      <c r="O19">
        <v>8</v>
      </c>
      <c r="P19"/>
      <c r="Q19">
        <v>134971</v>
      </c>
      <c r="R19">
        <v>1</v>
      </c>
      <c r="S19" t="s">
        <v>40</v>
      </c>
      <c r="T19">
        <v>261</v>
      </c>
      <c r="U19">
        <v>147664</v>
      </c>
      <c r="V19">
        <v>24</v>
      </c>
      <c r="W19" t="s">
        <v>40</v>
      </c>
      <c r="X19">
        <v>261</v>
      </c>
      <c r="Y19" t="s">
        <v>377</v>
      </c>
      <c r="Z19" t="s">
        <v>378</v>
      </c>
      <c r="AA19" t="s">
        <v>379</v>
      </c>
      <c r="AB19" t="s">
        <v>400</v>
      </c>
      <c r="AC19" t="s">
        <v>41</v>
      </c>
      <c r="AD19" t="s">
        <v>41</v>
      </c>
      <c r="AE19" t="s">
        <v>41</v>
      </c>
      <c r="AF19" t="s">
        <v>41</v>
      </c>
      <c r="AG19" t="s">
        <v>41</v>
      </c>
      <c r="AH19" t="s">
        <v>41</v>
      </c>
      <c r="AK19"/>
    </row>
    <row r="20" spans="1:37" x14ac:dyDescent="0.25">
      <c r="A20" t="s">
        <v>37</v>
      </c>
      <c r="B20">
        <v>45882.430289351854</v>
      </c>
      <c r="C20">
        <v>89247</v>
      </c>
      <c r="D20" t="s">
        <v>373</v>
      </c>
      <c r="E20">
        <v>4493653</v>
      </c>
      <c r="F20">
        <v>2104851</v>
      </c>
      <c r="G20" t="s">
        <v>429</v>
      </c>
      <c r="H20" t="s">
        <v>430</v>
      </c>
      <c r="I20">
        <v>7.5</v>
      </c>
      <c r="J20" t="b">
        <v>1</v>
      </c>
      <c r="K20">
        <v>1.875</v>
      </c>
      <c r="L20">
        <v>2106168</v>
      </c>
      <c r="M20" t="s">
        <v>431</v>
      </c>
      <c r="N20">
        <v>4</v>
      </c>
      <c r="O20">
        <v>16</v>
      </c>
      <c r="P20"/>
      <c r="Q20">
        <v>134971</v>
      </c>
      <c r="R20">
        <v>1</v>
      </c>
      <c r="S20" t="s">
        <v>40</v>
      </c>
      <c r="T20">
        <v>261</v>
      </c>
      <c r="U20">
        <v>147664</v>
      </c>
      <c r="V20">
        <v>24</v>
      </c>
      <c r="W20" t="s">
        <v>40</v>
      </c>
      <c r="X20">
        <v>261</v>
      </c>
      <c r="Y20" t="s">
        <v>377</v>
      </c>
      <c r="Z20" t="s">
        <v>378</v>
      </c>
      <c r="AA20" t="s">
        <v>379</v>
      </c>
      <c r="AB20" t="s">
        <v>384</v>
      </c>
      <c r="AC20" t="s">
        <v>41</v>
      </c>
      <c r="AD20" t="s">
        <v>41</v>
      </c>
      <c r="AE20" t="s">
        <v>41</v>
      </c>
      <c r="AF20" t="s">
        <v>41</v>
      </c>
      <c r="AG20" t="s">
        <v>41</v>
      </c>
      <c r="AH20" t="s">
        <v>41</v>
      </c>
      <c r="AK20"/>
    </row>
    <row r="21" spans="1:37" x14ac:dyDescent="0.25">
      <c r="A21" t="s">
        <v>37</v>
      </c>
      <c r="B21">
        <v>45882.432638888888</v>
      </c>
      <c r="C21">
        <v>89247</v>
      </c>
      <c r="D21" t="s">
        <v>373</v>
      </c>
      <c r="E21">
        <v>4493652</v>
      </c>
      <c r="F21">
        <v>2104851</v>
      </c>
      <c r="G21" t="s">
        <v>429</v>
      </c>
      <c r="H21" t="s">
        <v>430</v>
      </c>
      <c r="I21">
        <v>7.5</v>
      </c>
      <c r="J21" t="b">
        <v>1</v>
      </c>
      <c r="K21">
        <v>0.9375</v>
      </c>
      <c r="L21">
        <v>2106168</v>
      </c>
      <c r="M21" t="s">
        <v>431</v>
      </c>
      <c r="N21">
        <v>8</v>
      </c>
      <c r="O21">
        <v>8</v>
      </c>
      <c r="P21"/>
      <c r="Q21">
        <v>134971</v>
      </c>
      <c r="R21">
        <v>1</v>
      </c>
      <c r="S21" t="s">
        <v>40</v>
      </c>
      <c r="T21">
        <v>261</v>
      </c>
      <c r="U21">
        <v>147664</v>
      </c>
      <c r="V21">
        <v>24</v>
      </c>
      <c r="W21" t="s">
        <v>40</v>
      </c>
      <c r="X21">
        <v>261</v>
      </c>
      <c r="Y21" t="s">
        <v>377</v>
      </c>
      <c r="Z21" t="s">
        <v>378</v>
      </c>
      <c r="AA21" t="s">
        <v>379</v>
      </c>
      <c r="AB21" t="s">
        <v>400</v>
      </c>
      <c r="AC21" t="s">
        <v>41</v>
      </c>
      <c r="AD21" t="s">
        <v>41</v>
      </c>
      <c r="AE21" t="s">
        <v>41</v>
      </c>
      <c r="AF21" t="s">
        <v>41</v>
      </c>
      <c r="AG21" t="s">
        <v>41</v>
      </c>
      <c r="AH21" t="s">
        <v>41</v>
      </c>
      <c r="AK21"/>
    </row>
    <row r="22" spans="1:37" x14ac:dyDescent="0.25">
      <c r="A22" t="s">
        <v>43</v>
      </c>
      <c r="B22">
        <v>45882.453148148146</v>
      </c>
      <c r="C22">
        <v>91499</v>
      </c>
      <c r="D22" t="s">
        <v>373</v>
      </c>
      <c r="E22">
        <v>4493829</v>
      </c>
      <c r="F22">
        <v>156292</v>
      </c>
      <c r="G22" t="s">
        <v>46</v>
      </c>
      <c r="H22" t="s">
        <v>432</v>
      </c>
      <c r="I22">
        <v>14</v>
      </c>
      <c r="J22" t="b">
        <v>1</v>
      </c>
      <c r="K22">
        <v>3.5</v>
      </c>
      <c r="L22">
        <v>156291</v>
      </c>
      <c r="M22" t="s">
        <v>433</v>
      </c>
      <c r="N22">
        <v>4</v>
      </c>
      <c r="O22">
        <v>4</v>
      </c>
      <c r="P22"/>
      <c r="Q22">
        <v>134905</v>
      </c>
      <c r="R22">
        <v>1</v>
      </c>
      <c r="S22" t="s">
        <v>40</v>
      </c>
      <c r="T22">
        <v>261</v>
      </c>
      <c r="U22">
        <v>147664</v>
      </c>
      <c r="V22">
        <v>24</v>
      </c>
      <c r="W22" t="s">
        <v>40</v>
      </c>
      <c r="X22">
        <v>261</v>
      </c>
      <c r="Y22" t="s">
        <v>377</v>
      </c>
      <c r="Z22" t="s">
        <v>378</v>
      </c>
      <c r="AA22" t="s">
        <v>379</v>
      </c>
      <c r="AB22" t="s">
        <v>384</v>
      </c>
      <c r="AC22" t="s">
        <v>41</v>
      </c>
      <c r="AD22" t="s">
        <v>41</v>
      </c>
      <c r="AE22" t="s">
        <v>41</v>
      </c>
      <c r="AF22" t="s">
        <v>41</v>
      </c>
      <c r="AG22" t="s">
        <v>41</v>
      </c>
      <c r="AH22" t="s">
        <v>41</v>
      </c>
      <c r="AK22"/>
    </row>
    <row r="23" spans="1:37" x14ac:dyDescent="0.25">
      <c r="A23" t="s">
        <v>43</v>
      </c>
      <c r="B23">
        <v>45882.454618055555</v>
      </c>
      <c r="C23">
        <v>91499</v>
      </c>
      <c r="D23" t="s">
        <v>373</v>
      </c>
      <c r="E23">
        <v>4493830</v>
      </c>
      <c r="F23">
        <v>156292</v>
      </c>
      <c r="G23" t="s">
        <v>46</v>
      </c>
      <c r="H23" t="s">
        <v>432</v>
      </c>
      <c r="I23">
        <v>14</v>
      </c>
      <c r="J23" t="b">
        <v>1</v>
      </c>
      <c r="K23">
        <v>3.5</v>
      </c>
      <c r="L23">
        <v>156291</v>
      </c>
      <c r="M23" t="s">
        <v>433</v>
      </c>
      <c r="N23">
        <v>4</v>
      </c>
      <c r="O23">
        <v>4</v>
      </c>
      <c r="P23"/>
      <c r="Q23">
        <v>134905</v>
      </c>
      <c r="R23">
        <v>1</v>
      </c>
      <c r="S23" t="s">
        <v>40</v>
      </c>
      <c r="T23">
        <v>261</v>
      </c>
      <c r="U23">
        <v>147664</v>
      </c>
      <c r="V23">
        <v>24</v>
      </c>
      <c r="W23" t="s">
        <v>40</v>
      </c>
      <c r="X23">
        <v>261</v>
      </c>
      <c r="Y23" t="s">
        <v>377</v>
      </c>
      <c r="Z23" t="s">
        <v>378</v>
      </c>
      <c r="AA23" t="s">
        <v>379</v>
      </c>
      <c r="AB23" t="s">
        <v>384</v>
      </c>
      <c r="AC23" t="s">
        <v>41</v>
      </c>
      <c r="AD23" t="s">
        <v>41</v>
      </c>
      <c r="AE23" t="s">
        <v>41</v>
      </c>
      <c r="AF23" t="s">
        <v>41</v>
      </c>
      <c r="AG23" t="s">
        <v>41</v>
      </c>
      <c r="AH23" t="s">
        <v>41</v>
      </c>
      <c r="AK23"/>
    </row>
    <row r="24" spans="1:37" x14ac:dyDescent="0.25">
      <c r="A24" t="s">
        <v>43</v>
      </c>
      <c r="B24">
        <v>45882.459733796299</v>
      </c>
      <c r="C24">
        <v>89502</v>
      </c>
      <c r="D24" t="s">
        <v>373</v>
      </c>
      <c r="E24">
        <v>4493827</v>
      </c>
      <c r="F24">
        <v>156292</v>
      </c>
      <c r="G24" t="s">
        <v>46</v>
      </c>
      <c r="H24" t="s">
        <v>434</v>
      </c>
      <c r="I24">
        <v>14</v>
      </c>
      <c r="J24" t="b">
        <v>1</v>
      </c>
      <c r="K24">
        <v>3.5</v>
      </c>
      <c r="L24">
        <v>156291</v>
      </c>
      <c r="M24" t="s">
        <v>433</v>
      </c>
      <c r="N24">
        <v>4</v>
      </c>
      <c r="O24">
        <v>4</v>
      </c>
      <c r="P24"/>
      <c r="Q24">
        <v>134905</v>
      </c>
      <c r="R24">
        <v>1</v>
      </c>
      <c r="S24" t="s">
        <v>40</v>
      </c>
      <c r="T24">
        <v>261</v>
      </c>
      <c r="U24">
        <v>147664</v>
      </c>
      <c r="V24">
        <v>24</v>
      </c>
      <c r="W24" t="s">
        <v>40</v>
      </c>
      <c r="X24">
        <v>261</v>
      </c>
      <c r="Y24" t="s">
        <v>377</v>
      </c>
      <c r="Z24" t="s">
        <v>378</v>
      </c>
      <c r="AA24" t="s">
        <v>379</v>
      </c>
      <c r="AB24" t="s">
        <v>384</v>
      </c>
      <c r="AC24" t="s">
        <v>41</v>
      </c>
      <c r="AD24" t="s">
        <v>41</v>
      </c>
      <c r="AE24" t="s">
        <v>41</v>
      </c>
      <c r="AF24" t="s">
        <v>41</v>
      </c>
      <c r="AG24" t="s">
        <v>41</v>
      </c>
      <c r="AH24" t="s">
        <v>41</v>
      </c>
      <c r="AK24"/>
    </row>
    <row r="25" spans="1:37" x14ac:dyDescent="0.25">
      <c r="A25" t="s">
        <v>43</v>
      </c>
      <c r="B25">
        <v>45882.4609837963</v>
      </c>
      <c r="C25">
        <v>89502</v>
      </c>
      <c r="D25" t="s">
        <v>373</v>
      </c>
      <c r="E25">
        <v>4493828</v>
      </c>
      <c r="F25">
        <v>156292</v>
      </c>
      <c r="G25" t="s">
        <v>46</v>
      </c>
      <c r="H25" t="s">
        <v>434</v>
      </c>
      <c r="I25">
        <v>14</v>
      </c>
      <c r="J25" t="b">
        <v>1</v>
      </c>
      <c r="K25">
        <v>3.5</v>
      </c>
      <c r="L25">
        <v>156291</v>
      </c>
      <c r="M25" t="s">
        <v>433</v>
      </c>
      <c r="N25">
        <v>4</v>
      </c>
      <c r="O25">
        <v>4</v>
      </c>
      <c r="P25"/>
      <c r="Q25">
        <v>134905</v>
      </c>
      <c r="R25">
        <v>1</v>
      </c>
      <c r="S25" t="s">
        <v>40</v>
      </c>
      <c r="T25">
        <v>261</v>
      </c>
      <c r="U25">
        <v>147664</v>
      </c>
      <c r="V25">
        <v>24</v>
      </c>
      <c r="W25" t="s">
        <v>40</v>
      </c>
      <c r="X25">
        <v>261</v>
      </c>
      <c r="Y25" t="s">
        <v>377</v>
      </c>
      <c r="Z25" t="s">
        <v>378</v>
      </c>
      <c r="AA25" t="s">
        <v>379</v>
      </c>
      <c r="AB25" t="s">
        <v>384</v>
      </c>
      <c r="AC25" t="s">
        <v>41</v>
      </c>
      <c r="AD25" t="s">
        <v>41</v>
      </c>
      <c r="AE25" t="s">
        <v>41</v>
      </c>
      <c r="AF25" t="s">
        <v>41</v>
      </c>
      <c r="AG25" t="s">
        <v>41</v>
      </c>
      <c r="AH25" t="s">
        <v>41</v>
      </c>
      <c r="AK25"/>
    </row>
    <row r="26" spans="1:37" x14ac:dyDescent="0.25">
      <c r="A26" t="s">
        <v>39</v>
      </c>
      <c r="B26">
        <v>45882.634965277779</v>
      </c>
      <c r="C26">
        <v>91272</v>
      </c>
      <c r="D26" t="s">
        <v>373</v>
      </c>
      <c r="E26">
        <v>4488137</v>
      </c>
      <c r="F26">
        <v>2140205</v>
      </c>
      <c r="G26" t="s">
        <v>435</v>
      </c>
      <c r="H26" t="s">
        <v>436</v>
      </c>
      <c r="I26">
        <v>2.5</v>
      </c>
      <c r="J26" t="b">
        <v>1</v>
      </c>
      <c r="K26">
        <v>9.727626459143969E-3</v>
      </c>
      <c r="L26">
        <v>2140206</v>
      </c>
      <c r="M26" t="s">
        <v>437</v>
      </c>
      <c r="N26">
        <v>257</v>
      </c>
      <c r="O26">
        <v>239</v>
      </c>
      <c r="P26"/>
      <c r="Q26">
        <v>134976</v>
      </c>
      <c r="R26">
        <v>1</v>
      </c>
      <c r="S26" t="s">
        <v>40</v>
      </c>
      <c r="T26">
        <v>261</v>
      </c>
      <c r="W26"/>
      <c r="Y26" t="s">
        <v>377</v>
      </c>
      <c r="Z26" t="s">
        <v>378</v>
      </c>
      <c r="AA26" t="s">
        <v>379</v>
      </c>
      <c r="AB26" t="s">
        <v>438</v>
      </c>
      <c r="AC26" t="s">
        <v>41</v>
      </c>
      <c r="AD26" t="s">
        <v>41</v>
      </c>
      <c r="AE26" t="s">
        <v>41</v>
      </c>
      <c r="AF26" t="s">
        <v>41</v>
      </c>
      <c r="AG26" t="s">
        <v>41</v>
      </c>
      <c r="AH26" t="s">
        <v>41</v>
      </c>
      <c r="AK26"/>
    </row>
    <row r="27" spans="1:37" x14ac:dyDescent="0.25">
      <c r="A27" t="s">
        <v>37</v>
      </c>
      <c r="B27">
        <v>45883.296157407407</v>
      </c>
      <c r="C27">
        <v>91277</v>
      </c>
      <c r="D27" t="s">
        <v>373</v>
      </c>
      <c r="E27">
        <v>4489079</v>
      </c>
      <c r="F27">
        <v>161437</v>
      </c>
      <c r="G27" t="s">
        <v>439</v>
      </c>
      <c r="H27" t="s">
        <v>436</v>
      </c>
      <c r="I27">
        <v>2.5</v>
      </c>
      <c r="J27" t="b">
        <v>1</v>
      </c>
      <c r="K27">
        <v>1.488095238095238E-2</v>
      </c>
      <c r="L27">
        <v>161438</v>
      </c>
      <c r="M27" t="s">
        <v>440</v>
      </c>
      <c r="N27">
        <v>168</v>
      </c>
      <c r="O27">
        <v>158</v>
      </c>
      <c r="P27"/>
      <c r="Q27">
        <v>134976</v>
      </c>
      <c r="R27">
        <v>1</v>
      </c>
      <c r="S27" t="s">
        <v>40</v>
      </c>
      <c r="T27">
        <v>261</v>
      </c>
      <c r="W27"/>
      <c r="Y27" t="s">
        <v>377</v>
      </c>
      <c r="Z27" t="s">
        <v>378</v>
      </c>
      <c r="AA27" t="s">
        <v>379</v>
      </c>
      <c r="AB27" t="s">
        <v>441</v>
      </c>
      <c r="AC27" t="s">
        <v>41</v>
      </c>
      <c r="AD27" t="s">
        <v>41</v>
      </c>
      <c r="AE27" t="s">
        <v>41</v>
      </c>
      <c r="AF27" t="s">
        <v>41</v>
      </c>
      <c r="AG27" t="s">
        <v>41</v>
      </c>
      <c r="AH27" t="s">
        <v>41</v>
      </c>
      <c r="AK27"/>
    </row>
    <row r="28" spans="1:37" x14ac:dyDescent="0.25">
      <c r="A28" t="s">
        <v>42</v>
      </c>
      <c r="B28">
        <v>45883.511886574073</v>
      </c>
      <c r="C28">
        <v>90038</v>
      </c>
      <c r="D28" t="s">
        <v>373</v>
      </c>
      <c r="E28">
        <v>4488842</v>
      </c>
      <c r="F28">
        <v>133947</v>
      </c>
      <c r="G28" t="s">
        <v>442</v>
      </c>
      <c r="H28" t="s">
        <v>436</v>
      </c>
      <c r="I28">
        <v>1.5</v>
      </c>
      <c r="J28" t="b">
        <v>1</v>
      </c>
      <c r="K28">
        <v>1.7857142857142856E-2</v>
      </c>
      <c r="L28">
        <v>133948</v>
      </c>
      <c r="M28" t="s">
        <v>443</v>
      </c>
      <c r="N28">
        <v>84</v>
      </c>
      <c r="O28">
        <v>84</v>
      </c>
      <c r="P28" t="s">
        <v>423</v>
      </c>
      <c r="Q28">
        <v>0</v>
      </c>
      <c r="R28">
        <v>0</v>
      </c>
      <c r="S28" t="s">
        <v>40</v>
      </c>
      <c r="T28">
        <v>261</v>
      </c>
      <c r="W28"/>
      <c r="Y28" t="s">
        <v>377</v>
      </c>
      <c r="Z28" t="s">
        <v>378</v>
      </c>
      <c r="AA28" t="s">
        <v>379</v>
      </c>
      <c r="AB28" t="s">
        <v>444</v>
      </c>
      <c r="AC28" t="s">
        <v>41</v>
      </c>
      <c r="AD28" t="s">
        <v>41</v>
      </c>
      <c r="AE28" t="s">
        <v>41</v>
      </c>
      <c r="AF28" t="s">
        <v>41</v>
      </c>
      <c r="AG28" t="s">
        <v>41</v>
      </c>
      <c r="AH28" t="s">
        <v>41</v>
      </c>
      <c r="AK28"/>
    </row>
    <row r="29" spans="1:37" x14ac:dyDescent="0.25">
      <c r="A29" t="s">
        <v>47</v>
      </c>
      <c r="B29">
        <v>45883.518726851849</v>
      </c>
      <c r="C29">
        <v>90037</v>
      </c>
      <c r="D29" t="s">
        <v>373</v>
      </c>
      <c r="E29">
        <v>4488847</v>
      </c>
      <c r="F29">
        <v>133868</v>
      </c>
      <c r="G29" t="s">
        <v>445</v>
      </c>
      <c r="H29" t="s">
        <v>436</v>
      </c>
      <c r="I29">
        <v>2.5</v>
      </c>
      <c r="J29" t="b">
        <v>1</v>
      </c>
      <c r="K29">
        <v>3.5714285714285712E-2</v>
      </c>
      <c r="L29">
        <v>133869</v>
      </c>
      <c r="M29" t="s">
        <v>446</v>
      </c>
      <c r="N29">
        <v>70</v>
      </c>
      <c r="O29">
        <v>70</v>
      </c>
      <c r="P29" t="s">
        <v>423</v>
      </c>
      <c r="Q29">
        <v>0</v>
      </c>
      <c r="R29">
        <v>0</v>
      </c>
      <c r="S29" t="s">
        <v>40</v>
      </c>
      <c r="T29">
        <v>261</v>
      </c>
      <c r="W29"/>
      <c r="Y29" t="s">
        <v>377</v>
      </c>
      <c r="Z29" t="s">
        <v>378</v>
      </c>
      <c r="AA29" t="s">
        <v>379</v>
      </c>
      <c r="AB29" t="s">
        <v>447</v>
      </c>
      <c r="AC29" t="s">
        <v>41</v>
      </c>
      <c r="AD29" t="s">
        <v>41</v>
      </c>
      <c r="AE29" t="s">
        <v>41</v>
      </c>
      <c r="AF29" t="s">
        <v>41</v>
      </c>
      <c r="AG29" t="s">
        <v>41</v>
      </c>
      <c r="AH29" t="s">
        <v>41</v>
      </c>
      <c r="AK29"/>
    </row>
    <row r="30" spans="1:37" x14ac:dyDescent="0.25">
      <c r="A30" t="s">
        <v>37</v>
      </c>
      <c r="B30">
        <v>45883.655821759261</v>
      </c>
      <c r="C30">
        <v>90041</v>
      </c>
      <c r="D30" t="s">
        <v>373</v>
      </c>
      <c r="E30">
        <v>4487212</v>
      </c>
      <c r="F30">
        <v>2141699</v>
      </c>
      <c r="G30" t="s">
        <v>448</v>
      </c>
      <c r="H30" t="s">
        <v>436</v>
      </c>
      <c r="I30">
        <v>1.5</v>
      </c>
      <c r="J30" t="b">
        <v>1</v>
      </c>
      <c r="K30">
        <v>1.4018691588785047E-2</v>
      </c>
      <c r="L30">
        <v>2106398</v>
      </c>
      <c r="M30" t="s">
        <v>449</v>
      </c>
      <c r="N30">
        <v>107</v>
      </c>
      <c r="O30">
        <v>107</v>
      </c>
      <c r="P30"/>
      <c r="Q30">
        <v>134971</v>
      </c>
      <c r="R30">
        <v>1</v>
      </c>
      <c r="S30" t="s">
        <v>40</v>
      </c>
      <c r="T30">
        <v>261</v>
      </c>
      <c r="U30">
        <v>147664</v>
      </c>
      <c r="V30">
        <v>24</v>
      </c>
      <c r="W30" t="s">
        <v>40</v>
      </c>
      <c r="X30">
        <v>261</v>
      </c>
      <c r="Y30" t="s">
        <v>377</v>
      </c>
      <c r="Z30" t="s">
        <v>378</v>
      </c>
      <c r="AA30" t="s">
        <v>379</v>
      </c>
      <c r="AB30" t="s">
        <v>450</v>
      </c>
      <c r="AC30" t="s">
        <v>41</v>
      </c>
      <c r="AD30" t="s">
        <v>41</v>
      </c>
      <c r="AE30" t="s">
        <v>41</v>
      </c>
      <c r="AF30" t="s">
        <v>41</v>
      </c>
      <c r="AG30" t="s">
        <v>41</v>
      </c>
      <c r="AH30" t="s">
        <v>41</v>
      </c>
      <c r="AK30"/>
    </row>
    <row r="31" spans="1:37" x14ac:dyDescent="0.25">
      <c r="A31" t="s">
        <v>38</v>
      </c>
      <c r="B31">
        <v>45883.716817129629</v>
      </c>
      <c r="C31">
        <v>91387</v>
      </c>
      <c r="D31" t="s">
        <v>373</v>
      </c>
      <c r="E31">
        <v>4481474</v>
      </c>
      <c r="F31">
        <v>2304758</v>
      </c>
      <c r="G31" t="s">
        <v>402</v>
      </c>
      <c r="H31" t="s">
        <v>451</v>
      </c>
      <c r="I31">
        <v>14</v>
      </c>
      <c r="J31" t="b">
        <v>1</v>
      </c>
      <c r="K31">
        <v>1.75</v>
      </c>
      <c r="L31">
        <v>2304759</v>
      </c>
      <c r="M31" t="s">
        <v>404</v>
      </c>
      <c r="N31">
        <v>8</v>
      </c>
      <c r="O31">
        <v>8</v>
      </c>
      <c r="P31"/>
      <c r="Q31">
        <v>155687</v>
      </c>
      <c r="R31">
        <v>2</v>
      </c>
      <c r="S31" t="s">
        <v>40</v>
      </c>
      <c r="T31">
        <v>261</v>
      </c>
      <c r="U31">
        <v>147664</v>
      </c>
      <c r="V31">
        <v>48</v>
      </c>
      <c r="W31" t="s">
        <v>40</v>
      </c>
      <c r="X31">
        <v>261</v>
      </c>
      <c r="Y31" t="s">
        <v>377</v>
      </c>
      <c r="Z31" t="s">
        <v>378</v>
      </c>
      <c r="AA31" t="s">
        <v>379</v>
      </c>
      <c r="AB31" t="s">
        <v>400</v>
      </c>
      <c r="AC31" t="s">
        <v>41</v>
      </c>
      <c r="AD31" t="s">
        <v>41</v>
      </c>
      <c r="AE31" t="s">
        <v>41</v>
      </c>
      <c r="AF31" t="s">
        <v>41</v>
      </c>
      <c r="AG31" t="s">
        <v>41</v>
      </c>
      <c r="AH31" t="s">
        <v>41</v>
      </c>
      <c r="AK31"/>
    </row>
    <row r="32" spans="1:37" x14ac:dyDescent="0.25">
      <c r="A32" t="s">
        <v>37</v>
      </c>
      <c r="B32">
        <v>45886.507210648146</v>
      </c>
      <c r="C32">
        <v>90047</v>
      </c>
      <c r="D32" t="s">
        <v>401</v>
      </c>
      <c r="E32">
        <v>4487212</v>
      </c>
      <c r="F32">
        <v>2141699</v>
      </c>
      <c r="G32" t="s">
        <v>448</v>
      </c>
      <c r="H32" t="s">
        <v>436</v>
      </c>
      <c r="I32">
        <v>1.5</v>
      </c>
      <c r="J32" t="b">
        <v>1</v>
      </c>
      <c r="K32">
        <v>4.2253521126760559E-3</v>
      </c>
      <c r="L32">
        <v>2106398</v>
      </c>
      <c r="M32" t="s">
        <v>449</v>
      </c>
      <c r="N32">
        <v>355</v>
      </c>
      <c r="O32">
        <v>355</v>
      </c>
      <c r="P32" t="s">
        <v>452</v>
      </c>
      <c r="Q32">
        <v>134908</v>
      </c>
      <c r="R32">
        <v>1</v>
      </c>
      <c r="S32" t="s">
        <v>40</v>
      </c>
      <c r="T32">
        <v>261</v>
      </c>
      <c r="U32">
        <v>147664</v>
      </c>
      <c r="V32">
        <v>24</v>
      </c>
      <c r="W32" t="s">
        <v>40</v>
      </c>
      <c r="X32">
        <v>261</v>
      </c>
      <c r="Y32" t="s">
        <v>377</v>
      </c>
      <c r="Z32" t="s">
        <v>378</v>
      </c>
      <c r="AA32" t="s">
        <v>379</v>
      </c>
      <c r="AB32" t="s">
        <v>453</v>
      </c>
      <c r="AC32" t="s">
        <v>41</v>
      </c>
      <c r="AD32" t="s">
        <v>41</v>
      </c>
      <c r="AE32" t="s">
        <v>41</v>
      </c>
      <c r="AF32" t="s">
        <v>41</v>
      </c>
      <c r="AG32" t="s">
        <v>41</v>
      </c>
      <c r="AH32" t="s">
        <v>41</v>
      </c>
      <c r="AK32"/>
    </row>
    <row r="33" spans="1:37" x14ac:dyDescent="0.25">
      <c r="A33" t="s">
        <v>42</v>
      </c>
      <c r="B33">
        <v>45886.658437500002</v>
      </c>
      <c r="C33">
        <v>89252</v>
      </c>
      <c r="D33" t="s">
        <v>401</v>
      </c>
      <c r="E33">
        <v>4494480</v>
      </c>
      <c r="F33">
        <v>150820</v>
      </c>
      <c r="G33" t="s">
        <v>454</v>
      </c>
      <c r="H33" t="s">
        <v>455</v>
      </c>
      <c r="I33">
        <v>10</v>
      </c>
      <c r="J33" t="b">
        <v>1</v>
      </c>
      <c r="K33">
        <v>0.83333333333333337</v>
      </c>
      <c r="L33">
        <v>150820</v>
      </c>
      <c r="M33" t="s">
        <v>454</v>
      </c>
      <c r="N33">
        <v>12</v>
      </c>
      <c r="O33">
        <v>12</v>
      </c>
      <c r="P33"/>
      <c r="Q33">
        <v>134971</v>
      </c>
      <c r="R33">
        <v>2</v>
      </c>
      <c r="S33" t="s">
        <v>40</v>
      </c>
      <c r="T33">
        <v>261</v>
      </c>
      <c r="U33">
        <v>147664</v>
      </c>
      <c r="V33">
        <v>48</v>
      </c>
      <c r="W33" t="s">
        <v>40</v>
      </c>
      <c r="X33">
        <v>261</v>
      </c>
      <c r="Y33" t="s">
        <v>377</v>
      </c>
      <c r="Z33" t="s">
        <v>378</v>
      </c>
      <c r="AA33" t="s">
        <v>379</v>
      </c>
      <c r="AB33" t="s">
        <v>400</v>
      </c>
      <c r="AC33" t="s">
        <v>379</v>
      </c>
      <c r="AD33" t="s">
        <v>384</v>
      </c>
      <c r="AE33" t="s">
        <v>41</v>
      </c>
      <c r="AF33" t="s">
        <v>41</v>
      </c>
      <c r="AG33" t="s">
        <v>41</v>
      </c>
      <c r="AH33" t="s">
        <v>41</v>
      </c>
      <c r="AK33"/>
    </row>
    <row r="34" spans="1:37" x14ac:dyDescent="0.25">
      <c r="A34" t="s">
        <v>44</v>
      </c>
      <c r="B34">
        <v>45886.723067129627</v>
      </c>
      <c r="C34">
        <v>91388</v>
      </c>
      <c r="D34" t="s">
        <v>401</v>
      </c>
      <c r="E34">
        <v>4481475</v>
      </c>
      <c r="F34">
        <v>2304758</v>
      </c>
      <c r="G34" t="s">
        <v>402</v>
      </c>
      <c r="H34" t="s">
        <v>456</v>
      </c>
      <c r="I34">
        <v>14</v>
      </c>
      <c r="J34" t="b">
        <v>1</v>
      </c>
      <c r="K34">
        <v>1.75</v>
      </c>
      <c r="L34">
        <v>2304759</v>
      </c>
      <c r="M34" t="s">
        <v>404</v>
      </c>
      <c r="N34">
        <v>8</v>
      </c>
      <c r="O34">
        <v>8</v>
      </c>
      <c r="P34"/>
      <c r="Q34">
        <v>134905</v>
      </c>
      <c r="R34">
        <v>2</v>
      </c>
      <c r="S34" t="s">
        <v>40</v>
      </c>
      <c r="T34">
        <v>261</v>
      </c>
      <c r="U34">
        <v>147664</v>
      </c>
      <c r="V34">
        <v>48</v>
      </c>
      <c r="W34" t="s">
        <v>40</v>
      </c>
      <c r="X34">
        <v>261</v>
      </c>
      <c r="Y34" t="s">
        <v>377</v>
      </c>
      <c r="Z34" t="s">
        <v>378</v>
      </c>
      <c r="AA34" t="s">
        <v>384</v>
      </c>
      <c r="AB34" t="s">
        <v>384</v>
      </c>
      <c r="AC34" t="s">
        <v>41</v>
      </c>
      <c r="AD34" t="s">
        <v>41</v>
      </c>
      <c r="AE34" t="s">
        <v>41</v>
      </c>
      <c r="AF34" t="s">
        <v>41</v>
      </c>
      <c r="AG34" t="s">
        <v>41</v>
      </c>
      <c r="AH34" t="s">
        <v>41</v>
      </c>
      <c r="AK34"/>
    </row>
    <row r="35" spans="1:37" x14ac:dyDescent="0.25">
      <c r="A35" t="s">
        <v>42</v>
      </c>
      <c r="B35">
        <v>45889.396006944444</v>
      </c>
      <c r="C35">
        <v>89252</v>
      </c>
      <c r="D35" t="s">
        <v>457</v>
      </c>
      <c r="E35">
        <v>4494541</v>
      </c>
      <c r="F35">
        <v>150819</v>
      </c>
      <c r="G35" t="s">
        <v>458</v>
      </c>
      <c r="H35" t="s">
        <v>455</v>
      </c>
      <c r="I35">
        <v>3.33</v>
      </c>
      <c r="J35" t="b">
        <v>1</v>
      </c>
      <c r="K35">
        <v>0.83250000000000002</v>
      </c>
      <c r="L35">
        <v>150820</v>
      </c>
      <c r="M35" t="s">
        <v>454</v>
      </c>
      <c r="N35">
        <v>4</v>
      </c>
      <c r="O35">
        <v>4</v>
      </c>
      <c r="P35"/>
      <c r="Q35">
        <v>134971</v>
      </c>
      <c r="R35">
        <v>1</v>
      </c>
      <c r="S35" t="s">
        <v>40</v>
      </c>
      <c r="T35">
        <v>261</v>
      </c>
      <c r="U35">
        <v>147664</v>
      </c>
      <c r="V35">
        <v>24</v>
      </c>
      <c r="W35" t="s">
        <v>40</v>
      </c>
      <c r="X35">
        <v>261</v>
      </c>
      <c r="Y35" t="s">
        <v>377</v>
      </c>
      <c r="Z35" t="s">
        <v>378</v>
      </c>
      <c r="AA35" t="s">
        <v>379</v>
      </c>
      <c r="AB35" t="s">
        <v>384</v>
      </c>
      <c r="AC35" t="s">
        <v>41</v>
      </c>
      <c r="AD35" t="s">
        <v>41</v>
      </c>
      <c r="AE35" t="s">
        <v>41</v>
      </c>
      <c r="AF35" t="s">
        <v>41</v>
      </c>
      <c r="AG35" t="s">
        <v>41</v>
      </c>
      <c r="AH35" t="s">
        <v>41</v>
      </c>
      <c r="AK35"/>
    </row>
    <row r="36" spans="1:37" x14ac:dyDescent="0.25">
      <c r="A36" t="s">
        <v>42</v>
      </c>
      <c r="B36">
        <v>45889.396655092591</v>
      </c>
      <c r="C36">
        <v>89252</v>
      </c>
      <c r="D36" t="s">
        <v>457</v>
      </c>
      <c r="E36">
        <v>4494542</v>
      </c>
      <c r="F36">
        <v>150819</v>
      </c>
      <c r="G36" t="s">
        <v>458</v>
      </c>
      <c r="H36" t="s">
        <v>455</v>
      </c>
      <c r="I36">
        <v>6.67</v>
      </c>
      <c r="J36" t="b">
        <v>1</v>
      </c>
      <c r="K36">
        <v>0.83374999999999999</v>
      </c>
      <c r="L36">
        <v>150820</v>
      </c>
      <c r="M36" t="s">
        <v>454</v>
      </c>
      <c r="N36">
        <v>8</v>
      </c>
      <c r="O36">
        <v>8</v>
      </c>
      <c r="P36"/>
      <c r="Q36">
        <v>134971</v>
      </c>
      <c r="R36">
        <v>1</v>
      </c>
      <c r="S36" t="s">
        <v>40</v>
      </c>
      <c r="T36">
        <v>261</v>
      </c>
      <c r="U36">
        <v>147664</v>
      </c>
      <c r="V36">
        <v>24</v>
      </c>
      <c r="W36" t="s">
        <v>40</v>
      </c>
      <c r="X36">
        <v>261</v>
      </c>
      <c r="Y36" t="s">
        <v>377</v>
      </c>
      <c r="Z36" t="s">
        <v>378</v>
      </c>
      <c r="AA36" t="s">
        <v>379</v>
      </c>
      <c r="AB36" t="s">
        <v>400</v>
      </c>
      <c r="AC36" t="s">
        <v>41</v>
      </c>
      <c r="AD36" t="s">
        <v>41</v>
      </c>
      <c r="AE36" t="s">
        <v>41</v>
      </c>
      <c r="AF36" t="s">
        <v>41</v>
      </c>
      <c r="AG36" t="s">
        <v>41</v>
      </c>
      <c r="AH36" t="s">
        <v>41</v>
      </c>
      <c r="AK36"/>
    </row>
    <row r="37" spans="1:37" x14ac:dyDescent="0.25">
      <c r="A37" t="s">
        <v>37</v>
      </c>
      <c r="B37">
        <v>45889.413668981484</v>
      </c>
      <c r="C37">
        <v>90049</v>
      </c>
      <c r="D37" t="s">
        <v>459</v>
      </c>
      <c r="E37">
        <v>4487215</v>
      </c>
      <c r="F37">
        <v>142519</v>
      </c>
      <c r="G37" t="s">
        <v>460</v>
      </c>
      <c r="H37" t="s">
        <v>436</v>
      </c>
      <c r="I37">
        <v>4.5</v>
      </c>
      <c r="J37" t="b">
        <v>1</v>
      </c>
      <c r="K37">
        <v>6.8181818181818177E-2</v>
      </c>
      <c r="L37">
        <v>142520</v>
      </c>
      <c r="M37" t="s">
        <v>461</v>
      </c>
      <c r="N37">
        <v>66</v>
      </c>
      <c r="O37">
        <v>66</v>
      </c>
      <c r="P37"/>
      <c r="Q37">
        <v>134974</v>
      </c>
      <c r="R37">
        <v>1</v>
      </c>
      <c r="S37" t="s">
        <v>40</v>
      </c>
      <c r="T37">
        <v>261</v>
      </c>
      <c r="W37"/>
      <c r="Y37" t="s">
        <v>377</v>
      </c>
      <c r="Z37" t="s">
        <v>378</v>
      </c>
      <c r="AA37" t="s">
        <v>379</v>
      </c>
      <c r="AB37" t="s">
        <v>462</v>
      </c>
      <c r="AC37" t="s">
        <v>41</v>
      </c>
      <c r="AD37" t="s">
        <v>41</v>
      </c>
      <c r="AE37" t="s">
        <v>41</v>
      </c>
      <c r="AF37" t="s">
        <v>41</v>
      </c>
      <c r="AG37" t="s">
        <v>41</v>
      </c>
      <c r="AH37" t="s">
        <v>41</v>
      </c>
      <c r="AK37"/>
    </row>
    <row r="38" spans="1:37" x14ac:dyDescent="0.25">
      <c r="A38" t="s">
        <v>38</v>
      </c>
      <c r="B38">
        <v>45891.462187500001</v>
      </c>
      <c r="C38">
        <v>89260</v>
      </c>
      <c r="D38" t="s">
        <v>373</v>
      </c>
      <c r="E38">
        <v>4493555</v>
      </c>
      <c r="F38">
        <v>161660</v>
      </c>
      <c r="G38" t="s">
        <v>463</v>
      </c>
      <c r="H38" t="s">
        <v>464</v>
      </c>
      <c r="I38">
        <v>10</v>
      </c>
      <c r="J38" t="b">
        <v>1</v>
      </c>
      <c r="K38">
        <v>0.83333333333333337</v>
      </c>
      <c r="L38">
        <v>161661</v>
      </c>
      <c r="M38"/>
      <c r="N38">
        <v>12</v>
      </c>
      <c r="O38">
        <v>12</v>
      </c>
      <c r="P38"/>
      <c r="Q38">
        <v>155687</v>
      </c>
      <c r="R38">
        <v>2</v>
      </c>
      <c r="S38" t="s">
        <v>40</v>
      </c>
      <c r="T38">
        <v>261</v>
      </c>
      <c r="U38">
        <v>147664</v>
      </c>
      <c r="V38">
        <v>48</v>
      </c>
      <c r="W38" t="s">
        <v>40</v>
      </c>
      <c r="X38">
        <v>261</v>
      </c>
      <c r="Y38" t="s">
        <v>377</v>
      </c>
      <c r="Z38" t="s">
        <v>378</v>
      </c>
      <c r="AA38" t="s">
        <v>379</v>
      </c>
      <c r="AB38" t="s">
        <v>400</v>
      </c>
      <c r="AC38" t="s">
        <v>379</v>
      </c>
      <c r="AD38" t="s">
        <v>384</v>
      </c>
      <c r="AE38" t="s">
        <v>41</v>
      </c>
      <c r="AF38" t="s">
        <v>41</v>
      </c>
      <c r="AG38" t="s">
        <v>41</v>
      </c>
      <c r="AH38" t="s">
        <v>41</v>
      </c>
      <c r="AK38"/>
    </row>
    <row r="39" spans="1:37" x14ac:dyDescent="0.25">
      <c r="A39" t="s">
        <v>44</v>
      </c>
      <c r="B39">
        <v>45891.564722222225</v>
      </c>
      <c r="C39">
        <v>91329</v>
      </c>
      <c r="D39" t="s">
        <v>373</v>
      </c>
      <c r="E39">
        <v>4494272</v>
      </c>
      <c r="F39">
        <v>156292</v>
      </c>
      <c r="G39" t="s">
        <v>46</v>
      </c>
      <c r="H39" t="s">
        <v>465</v>
      </c>
      <c r="I39">
        <v>14</v>
      </c>
      <c r="J39" t="b">
        <v>1</v>
      </c>
      <c r="K39">
        <v>3.5</v>
      </c>
      <c r="L39">
        <v>156291</v>
      </c>
      <c r="M39"/>
      <c r="N39">
        <v>4</v>
      </c>
      <c r="O39">
        <v>4</v>
      </c>
      <c r="P39"/>
      <c r="Q39">
        <v>134905</v>
      </c>
      <c r="R39">
        <v>1</v>
      </c>
      <c r="S39" t="s">
        <v>40</v>
      </c>
      <c r="T39">
        <v>261</v>
      </c>
      <c r="U39">
        <v>147664</v>
      </c>
      <c r="V39">
        <v>24</v>
      </c>
      <c r="W39" t="s">
        <v>40</v>
      </c>
      <c r="X39">
        <v>261</v>
      </c>
      <c r="Y39" t="s">
        <v>377</v>
      </c>
      <c r="Z39" t="s">
        <v>378</v>
      </c>
      <c r="AA39" t="s">
        <v>379</v>
      </c>
      <c r="AB39" t="s">
        <v>384</v>
      </c>
      <c r="AC39" t="s">
        <v>41</v>
      </c>
      <c r="AD39" t="s">
        <v>41</v>
      </c>
      <c r="AE39" t="s">
        <v>41</v>
      </c>
      <c r="AF39" t="s">
        <v>41</v>
      </c>
      <c r="AG39" t="s">
        <v>41</v>
      </c>
      <c r="AH39" t="s">
        <v>41</v>
      </c>
      <c r="AK39"/>
    </row>
    <row r="40" spans="1:37" x14ac:dyDescent="0.25">
      <c r="A40" t="s">
        <v>44</v>
      </c>
      <c r="B40">
        <v>45891.566620370373</v>
      </c>
      <c r="C40">
        <v>91329</v>
      </c>
      <c r="D40">
        <v>811</v>
      </c>
      <c r="E40">
        <v>4494273</v>
      </c>
      <c r="F40">
        <v>156292</v>
      </c>
      <c r="G40" t="s">
        <v>46</v>
      </c>
      <c r="H40" t="s">
        <v>465</v>
      </c>
      <c r="I40">
        <v>14</v>
      </c>
      <c r="J40" t="b">
        <v>1</v>
      </c>
      <c r="K40">
        <v>3.5</v>
      </c>
      <c r="L40">
        <v>156291</v>
      </c>
      <c r="M40" t="s">
        <v>433</v>
      </c>
      <c r="N40">
        <v>4</v>
      </c>
      <c r="O40">
        <v>4</v>
      </c>
      <c r="P40"/>
      <c r="Q40">
        <v>134905</v>
      </c>
      <c r="R40">
        <v>1</v>
      </c>
      <c r="S40" t="s">
        <v>40</v>
      </c>
      <c r="T40">
        <v>261</v>
      </c>
      <c r="U40">
        <v>147664</v>
      </c>
      <c r="V40">
        <v>24</v>
      </c>
      <c r="W40" t="s">
        <v>40</v>
      </c>
      <c r="X40">
        <v>261</v>
      </c>
      <c r="Y40" t="s">
        <v>377</v>
      </c>
      <c r="Z40" t="s">
        <v>378</v>
      </c>
      <c r="AA40" t="s">
        <v>379</v>
      </c>
      <c r="AB40" t="s">
        <v>384</v>
      </c>
      <c r="AC40" t="s">
        <v>41</v>
      </c>
      <c r="AD40" t="s">
        <v>41</v>
      </c>
      <c r="AE40" t="s">
        <v>41</v>
      </c>
      <c r="AF40" t="s">
        <v>41</v>
      </c>
      <c r="AG40" t="s">
        <v>41</v>
      </c>
      <c r="AH40" t="s">
        <v>41</v>
      </c>
      <c r="AK40"/>
    </row>
    <row r="41" spans="1:37" x14ac:dyDescent="0.25">
      <c r="A41" t="s">
        <v>48</v>
      </c>
      <c r="B41">
        <v>45891.626689814817</v>
      </c>
      <c r="C41">
        <v>91311</v>
      </c>
      <c r="D41" t="s">
        <v>373</v>
      </c>
      <c r="E41">
        <v>4488710</v>
      </c>
      <c r="F41">
        <v>2124124</v>
      </c>
      <c r="G41" t="s">
        <v>420</v>
      </c>
      <c r="H41" t="s">
        <v>466</v>
      </c>
      <c r="I41">
        <v>10</v>
      </c>
      <c r="J41" t="b">
        <v>1</v>
      </c>
      <c r="K41">
        <v>2.9239766081871343E-2</v>
      </c>
      <c r="L41">
        <v>2124480</v>
      </c>
      <c r="M41"/>
      <c r="N41">
        <v>342</v>
      </c>
      <c r="O41">
        <v>342</v>
      </c>
      <c r="P41" t="s">
        <v>423</v>
      </c>
      <c r="Q41">
        <v>0</v>
      </c>
      <c r="R41">
        <v>0</v>
      </c>
      <c r="S41" t="s">
        <v>40</v>
      </c>
      <c r="T41">
        <v>261</v>
      </c>
      <c r="W41"/>
      <c r="Y41" t="s">
        <v>377</v>
      </c>
      <c r="Z41" t="s">
        <v>378</v>
      </c>
      <c r="AA41" t="s">
        <v>379</v>
      </c>
      <c r="AB41" t="s">
        <v>424</v>
      </c>
      <c r="AC41" t="s">
        <v>41</v>
      </c>
      <c r="AD41" t="s">
        <v>41</v>
      </c>
      <c r="AE41" t="s">
        <v>41</v>
      </c>
      <c r="AF41" t="s">
        <v>41</v>
      </c>
      <c r="AG41" t="s">
        <v>41</v>
      </c>
      <c r="AH41" t="s">
        <v>41</v>
      </c>
      <c r="AK41"/>
    </row>
    <row r="42" spans="1:37" x14ac:dyDescent="0.25">
      <c r="A42" t="s">
        <v>47</v>
      </c>
      <c r="B42">
        <v>45891.721782407411</v>
      </c>
      <c r="C42">
        <v>90062</v>
      </c>
      <c r="D42" t="s">
        <v>373</v>
      </c>
      <c r="E42">
        <v>4486414</v>
      </c>
      <c r="F42">
        <v>2308739</v>
      </c>
      <c r="G42" t="s">
        <v>467</v>
      </c>
      <c r="H42" t="s">
        <v>468</v>
      </c>
      <c r="I42">
        <v>1.5</v>
      </c>
      <c r="J42" t="b">
        <v>1</v>
      </c>
      <c r="K42">
        <v>4.4776119402985077E-3</v>
      </c>
      <c r="L42">
        <v>2308780</v>
      </c>
      <c r="M42" t="s">
        <v>469</v>
      </c>
      <c r="N42">
        <v>335</v>
      </c>
      <c r="O42">
        <v>320</v>
      </c>
      <c r="P42"/>
      <c r="Q42">
        <v>134974</v>
      </c>
      <c r="R42">
        <v>1</v>
      </c>
      <c r="S42" t="s">
        <v>40</v>
      </c>
      <c r="T42">
        <v>261</v>
      </c>
      <c r="W42"/>
      <c r="Y42" t="s">
        <v>377</v>
      </c>
      <c r="Z42" t="s">
        <v>378</v>
      </c>
      <c r="AA42" t="s">
        <v>379</v>
      </c>
      <c r="AB42" t="s">
        <v>470</v>
      </c>
      <c r="AC42" t="s">
        <v>41</v>
      </c>
      <c r="AD42" t="s">
        <v>41</v>
      </c>
      <c r="AE42" t="s">
        <v>41</v>
      </c>
      <c r="AF42" t="s">
        <v>41</v>
      </c>
      <c r="AG42" t="s">
        <v>41</v>
      </c>
      <c r="AH42" t="s">
        <v>41</v>
      </c>
      <c r="AK42"/>
    </row>
    <row r="43" spans="1:37" x14ac:dyDescent="0.25">
      <c r="A43" t="s">
        <v>47</v>
      </c>
      <c r="B43">
        <v>45892.416516203702</v>
      </c>
      <c r="C43">
        <v>90064</v>
      </c>
      <c r="D43" t="s">
        <v>373</v>
      </c>
      <c r="E43">
        <v>4486415</v>
      </c>
      <c r="F43">
        <v>2308739</v>
      </c>
      <c r="G43" t="s">
        <v>467</v>
      </c>
      <c r="H43" t="s">
        <v>471</v>
      </c>
      <c r="I43">
        <v>1.5</v>
      </c>
      <c r="J43" t="b">
        <v>1</v>
      </c>
      <c r="K43">
        <v>4.7923322683706068E-3</v>
      </c>
      <c r="L43">
        <v>2308780</v>
      </c>
      <c r="M43" t="s">
        <v>469</v>
      </c>
      <c r="N43">
        <v>313</v>
      </c>
      <c r="O43">
        <v>420</v>
      </c>
      <c r="P43"/>
      <c r="Q43">
        <v>134974</v>
      </c>
      <c r="R43">
        <v>1</v>
      </c>
      <c r="S43" t="s">
        <v>40</v>
      </c>
      <c r="T43">
        <v>261</v>
      </c>
      <c r="W43"/>
      <c r="Y43" t="s">
        <v>377</v>
      </c>
      <c r="Z43" t="s">
        <v>378</v>
      </c>
      <c r="AA43" t="s">
        <v>379</v>
      </c>
      <c r="AB43" t="s">
        <v>472</v>
      </c>
      <c r="AC43" t="s">
        <v>41</v>
      </c>
      <c r="AD43" t="s">
        <v>41</v>
      </c>
      <c r="AE43" t="s">
        <v>41</v>
      </c>
      <c r="AF43" t="s">
        <v>41</v>
      </c>
      <c r="AG43" t="s">
        <v>41</v>
      </c>
      <c r="AH43" t="s">
        <v>41</v>
      </c>
      <c r="AK43"/>
    </row>
    <row r="44" spans="1:37" x14ac:dyDescent="0.25">
      <c r="A44" t="s">
        <v>44</v>
      </c>
      <c r="B44">
        <v>45892.507986111108</v>
      </c>
      <c r="C44">
        <v>91327</v>
      </c>
      <c r="D44" t="s">
        <v>373</v>
      </c>
      <c r="E44">
        <v>4493831</v>
      </c>
      <c r="F44">
        <v>2301366</v>
      </c>
      <c r="G44" t="s">
        <v>397</v>
      </c>
      <c r="H44" t="s">
        <v>428</v>
      </c>
      <c r="I44">
        <v>14</v>
      </c>
      <c r="J44" t="b">
        <v>1</v>
      </c>
      <c r="K44">
        <v>1.75</v>
      </c>
      <c r="L44">
        <v>2301367</v>
      </c>
      <c r="M44" t="s">
        <v>399</v>
      </c>
      <c r="N44">
        <v>8</v>
      </c>
      <c r="O44">
        <v>8</v>
      </c>
      <c r="P44"/>
      <c r="Q44">
        <v>134905</v>
      </c>
      <c r="R44">
        <v>2</v>
      </c>
      <c r="S44" t="s">
        <v>40</v>
      </c>
      <c r="T44">
        <v>261</v>
      </c>
      <c r="U44">
        <v>147664</v>
      </c>
      <c r="V44">
        <v>48</v>
      </c>
      <c r="W44" t="s">
        <v>40</v>
      </c>
      <c r="X44">
        <v>261</v>
      </c>
      <c r="Y44" t="s">
        <v>377</v>
      </c>
      <c r="Z44" t="s">
        <v>378</v>
      </c>
      <c r="AA44" t="s">
        <v>384</v>
      </c>
      <c r="AB44" t="s">
        <v>384</v>
      </c>
      <c r="AC44" t="s">
        <v>41</v>
      </c>
      <c r="AD44" t="s">
        <v>41</v>
      </c>
      <c r="AE44" t="s">
        <v>41</v>
      </c>
      <c r="AF44" t="s">
        <v>41</v>
      </c>
      <c r="AG44" t="s">
        <v>41</v>
      </c>
      <c r="AH44" t="s">
        <v>41</v>
      </c>
      <c r="AK44"/>
    </row>
    <row r="45" spans="1:37" x14ac:dyDescent="0.25">
      <c r="A45" t="s">
        <v>44</v>
      </c>
      <c r="B45">
        <v>45892.657627314817</v>
      </c>
      <c r="C45">
        <v>89263</v>
      </c>
      <c r="D45" t="s">
        <v>373</v>
      </c>
      <c r="E45">
        <v>4493557</v>
      </c>
      <c r="F45">
        <v>161660</v>
      </c>
      <c r="G45" t="s">
        <v>463</v>
      </c>
      <c r="H45" t="s">
        <v>426</v>
      </c>
      <c r="I45">
        <v>10</v>
      </c>
      <c r="J45" t="b">
        <v>1</v>
      </c>
      <c r="K45">
        <v>0.83333333333333337</v>
      </c>
      <c r="L45">
        <v>161661</v>
      </c>
      <c r="M45" t="s">
        <v>473</v>
      </c>
      <c r="N45">
        <v>12</v>
      </c>
      <c r="O45">
        <v>12</v>
      </c>
      <c r="P45"/>
      <c r="Q45">
        <v>155687</v>
      </c>
      <c r="R45">
        <v>2</v>
      </c>
      <c r="S45" t="s">
        <v>40</v>
      </c>
      <c r="T45">
        <v>261</v>
      </c>
      <c r="U45">
        <v>147664</v>
      </c>
      <c r="V45">
        <v>48</v>
      </c>
      <c r="W45" t="s">
        <v>40</v>
      </c>
      <c r="X45">
        <v>261</v>
      </c>
      <c r="Y45" t="s">
        <v>377</v>
      </c>
      <c r="Z45" t="s">
        <v>378</v>
      </c>
      <c r="AA45" t="s">
        <v>379</v>
      </c>
      <c r="AB45" t="s">
        <v>384</v>
      </c>
      <c r="AC45" t="s">
        <v>379</v>
      </c>
      <c r="AD45" t="s">
        <v>400</v>
      </c>
      <c r="AE45" t="s">
        <v>41</v>
      </c>
      <c r="AF45" t="s">
        <v>41</v>
      </c>
      <c r="AG45" t="s">
        <v>41</v>
      </c>
      <c r="AH45" t="s">
        <v>41</v>
      </c>
      <c r="AK45"/>
    </row>
    <row r="46" spans="1:37" x14ac:dyDescent="0.25">
      <c r="A46" t="s">
        <v>44</v>
      </c>
      <c r="B46">
        <v>45892.658449074072</v>
      </c>
      <c r="C46">
        <v>89263</v>
      </c>
      <c r="D46" t="s">
        <v>373</v>
      </c>
      <c r="E46">
        <v>4493557</v>
      </c>
      <c r="F46">
        <v>161660</v>
      </c>
      <c r="H46" t="s">
        <v>426</v>
      </c>
      <c r="I46">
        <v>10</v>
      </c>
      <c r="J46" t="b">
        <v>0</v>
      </c>
      <c r="K46">
        <v>0.83333333333333337</v>
      </c>
      <c r="L46">
        <v>161661</v>
      </c>
      <c r="M46" t="s">
        <v>473</v>
      </c>
      <c r="N46">
        <v>12</v>
      </c>
      <c r="O46">
        <v>12</v>
      </c>
      <c r="P46"/>
      <c r="Q46">
        <v>155687</v>
      </c>
      <c r="R46">
        <v>2</v>
      </c>
      <c r="S46" t="s">
        <v>40</v>
      </c>
      <c r="T46">
        <v>261</v>
      </c>
      <c r="U46">
        <v>147664</v>
      </c>
      <c r="V46">
        <v>48</v>
      </c>
      <c r="W46" t="s">
        <v>40</v>
      </c>
      <c r="X46">
        <v>261</v>
      </c>
      <c r="Y46" t="s">
        <v>377</v>
      </c>
      <c r="Z46" t="s">
        <v>378</v>
      </c>
      <c r="AA46" t="s">
        <v>379</v>
      </c>
      <c r="AB46" t="s">
        <v>384</v>
      </c>
      <c r="AC46" t="s">
        <v>379</v>
      </c>
      <c r="AD46" t="s">
        <v>400</v>
      </c>
      <c r="AE46" t="s">
        <v>41</v>
      </c>
      <c r="AF46" t="s">
        <v>41</v>
      </c>
      <c r="AG46" t="s">
        <v>41</v>
      </c>
      <c r="AH46" t="s">
        <v>41</v>
      </c>
      <c r="AK46"/>
    </row>
    <row r="47" spans="1:37" x14ac:dyDescent="0.25">
      <c r="A47" t="s">
        <v>45</v>
      </c>
      <c r="B47">
        <v>45893.423379629632</v>
      </c>
      <c r="C47">
        <v>90067</v>
      </c>
      <c r="D47" t="s">
        <v>373</v>
      </c>
      <c r="E47">
        <v>4486416</v>
      </c>
      <c r="F47">
        <v>2308739</v>
      </c>
      <c r="G47" t="s">
        <v>467</v>
      </c>
      <c r="H47" t="s">
        <v>474</v>
      </c>
      <c r="I47">
        <v>1.5</v>
      </c>
      <c r="J47" t="b">
        <v>1</v>
      </c>
      <c r="K47">
        <v>5.1724137931034482E-3</v>
      </c>
      <c r="L47">
        <v>2308780</v>
      </c>
      <c r="M47" t="s">
        <v>469</v>
      </c>
      <c r="N47">
        <v>290</v>
      </c>
      <c r="O47">
        <v>280</v>
      </c>
      <c r="P47"/>
      <c r="Q47">
        <v>134974</v>
      </c>
      <c r="R47">
        <v>1</v>
      </c>
      <c r="S47" t="s">
        <v>40</v>
      </c>
      <c r="T47">
        <v>261</v>
      </c>
      <c r="W47"/>
      <c r="Y47" t="s">
        <v>377</v>
      </c>
      <c r="Z47" t="s">
        <v>378</v>
      </c>
      <c r="AA47" t="s">
        <v>379</v>
      </c>
      <c r="AB47" t="s">
        <v>475</v>
      </c>
      <c r="AC47" t="s">
        <v>41</v>
      </c>
      <c r="AD47" t="s">
        <v>41</v>
      </c>
      <c r="AE47" t="s">
        <v>41</v>
      </c>
      <c r="AF47" t="s">
        <v>41</v>
      </c>
      <c r="AG47" t="s">
        <v>41</v>
      </c>
      <c r="AH47" t="s">
        <v>41</v>
      </c>
      <c r="AK47"/>
    </row>
    <row r="48" spans="1:37" x14ac:dyDescent="0.25">
      <c r="A48" t="s">
        <v>42</v>
      </c>
      <c r="B48">
        <v>45893.571400462963</v>
      </c>
      <c r="C48">
        <v>90460</v>
      </c>
      <c r="D48" t="s">
        <v>373</v>
      </c>
      <c r="E48">
        <v>4494545</v>
      </c>
      <c r="F48">
        <v>105455</v>
      </c>
      <c r="G48" t="s">
        <v>476</v>
      </c>
      <c r="H48" t="s">
        <v>471</v>
      </c>
      <c r="I48">
        <v>10</v>
      </c>
      <c r="J48" t="b">
        <v>1</v>
      </c>
      <c r="K48">
        <v>0.83333333333333337</v>
      </c>
      <c r="L48">
        <v>2106229</v>
      </c>
      <c r="M48" t="s">
        <v>477</v>
      </c>
      <c r="N48">
        <v>12</v>
      </c>
      <c r="O48">
        <v>12</v>
      </c>
      <c r="P48" t="s">
        <v>423</v>
      </c>
      <c r="Q48">
        <v>0</v>
      </c>
      <c r="R48">
        <v>0</v>
      </c>
      <c r="S48" t="s">
        <v>40</v>
      </c>
      <c r="T48">
        <v>261</v>
      </c>
      <c r="W48"/>
      <c r="Y48" t="s">
        <v>377</v>
      </c>
      <c r="Z48" t="s">
        <v>378</v>
      </c>
      <c r="AA48" t="s">
        <v>379</v>
      </c>
      <c r="AB48" t="s">
        <v>409</v>
      </c>
      <c r="AC48" t="s">
        <v>41</v>
      </c>
      <c r="AD48" t="s">
        <v>41</v>
      </c>
      <c r="AE48" t="s">
        <v>41</v>
      </c>
      <c r="AF48" t="s">
        <v>41</v>
      </c>
      <c r="AG48" t="s">
        <v>41</v>
      </c>
      <c r="AH48" t="s">
        <v>41</v>
      </c>
      <c r="AK48"/>
    </row>
    <row r="49" spans="1:37" x14ac:dyDescent="0.25">
      <c r="A49" t="s">
        <v>37</v>
      </c>
      <c r="B49">
        <v>45893.681076388886</v>
      </c>
      <c r="C49">
        <v>91502</v>
      </c>
      <c r="D49" t="s">
        <v>373</v>
      </c>
      <c r="E49">
        <v>4494695</v>
      </c>
      <c r="F49">
        <v>133251</v>
      </c>
      <c r="G49" t="s">
        <v>478</v>
      </c>
      <c r="H49" t="s">
        <v>468</v>
      </c>
      <c r="I49">
        <v>1.5</v>
      </c>
      <c r="J49" t="b">
        <v>1</v>
      </c>
      <c r="K49">
        <v>4.658385093167702E-3</v>
      </c>
      <c r="L49">
        <v>133253</v>
      </c>
      <c r="M49" t="s">
        <v>479</v>
      </c>
      <c r="N49">
        <v>322</v>
      </c>
      <c r="O49">
        <v>324</v>
      </c>
      <c r="P49"/>
      <c r="Q49">
        <v>134974</v>
      </c>
      <c r="R49">
        <v>1</v>
      </c>
      <c r="S49" t="s">
        <v>40</v>
      </c>
      <c r="T49">
        <v>261</v>
      </c>
      <c r="W49"/>
      <c r="Y49" t="s">
        <v>377</v>
      </c>
      <c r="Z49" t="s">
        <v>378</v>
      </c>
      <c r="AA49" t="s">
        <v>379</v>
      </c>
      <c r="AB49" t="s">
        <v>480</v>
      </c>
      <c r="AC49" t="s">
        <v>41</v>
      </c>
      <c r="AD49" t="s">
        <v>41</v>
      </c>
      <c r="AE49" t="s">
        <v>41</v>
      </c>
      <c r="AF49" t="s">
        <v>41</v>
      </c>
      <c r="AG49" t="s">
        <v>41</v>
      </c>
      <c r="AH49" t="s">
        <v>41</v>
      </c>
      <c r="AK49"/>
    </row>
    <row r="50" spans="1:37" x14ac:dyDescent="0.25">
      <c r="A50" t="s">
        <v>38</v>
      </c>
      <c r="B50">
        <v>45893.704363425924</v>
      </c>
      <c r="C50">
        <v>91390</v>
      </c>
      <c r="D50" t="s">
        <v>373</v>
      </c>
      <c r="E50">
        <v>4481477</v>
      </c>
      <c r="F50">
        <v>2304758</v>
      </c>
      <c r="G50" t="s">
        <v>402</v>
      </c>
      <c r="H50" t="s">
        <v>481</v>
      </c>
      <c r="I50">
        <v>14</v>
      </c>
      <c r="J50" t="b">
        <v>1</v>
      </c>
      <c r="K50">
        <v>1.75</v>
      </c>
      <c r="L50">
        <v>2304759</v>
      </c>
      <c r="M50" t="s">
        <v>404</v>
      </c>
      <c r="N50">
        <v>8</v>
      </c>
      <c r="O50">
        <v>8</v>
      </c>
      <c r="P50"/>
      <c r="Q50">
        <v>155687</v>
      </c>
      <c r="R50">
        <v>2</v>
      </c>
      <c r="S50" t="s">
        <v>40</v>
      </c>
      <c r="T50">
        <v>261</v>
      </c>
      <c r="U50">
        <v>147664</v>
      </c>
      <c r="V50">
        <v>48</v>
      </c>
      <c r="W50" t="s">
        <v>40</v>
      </c>
      <c r="X50">
        <v>261</v>
      </c>
      <c r="Y50" t="s">
        <v>377</v>
      </c>
      <c r="Z50" t="s">
        <v>378</v>
      </c>
      <c r="AA50" t="s">
        <v>384</v>
      </c>
      <c r="AB50" t="s">
        <v>384</v>
      </c>
      <c r="AC50" t="s">
        <v>41</v>
      </c>
      <c r="AD50" t="s">
        <v>41</v>
      </c>
      <c r="AE50" t="s">
        <v>41</v>
      </c>
      <c r="AF50" t="s">
        <v>41</v>
      </c>
      <c r="AG50" t="s">
        <v>41</v>
      </c>
      <c r="AH50" t="s">
        <v>41</v>
      </c>
      <c r="AK50"/>
    </row>
    <row r="51" spans="1:37" x14ac:dyDescent="0.25">
      <c r="A51" t="s">
        <v>39</v>
      </c>
      <c r="B51">
        <v>45897.422094907408</v>
      </c>
      <c r="C51">
        <v>91514</v>
      </c>
      <c r="D51" t="s">
        <v>373</v>
      </c>
      <c r="E51">
        <v>4494892</v>
      </c>
      <c r="F51">
        <v>147037</v>
      </c>
      <c r="G51" t="s">
        <v>482</v>
      </c>
      <c r="H51" t="s">
        <v>483</v>
      </c>
      <c r="I51">
        <v>2.5</v>
      </c>
      <c r="J51" t="b">
        <v>1</v>
      </c>
      <c r="K51">
        <v>1.8518518518518517E-2</v>
      </c>
      <c r="L51">
        <v>147039</v>
      </c>
      <c r="M51" t="s">
        <v>484</v>
      </c>
      <c r="N51">
        <v>135</v>
      </c>
      <c r="O51">
        <v>135</v>
      </c>
      <c r="P51" t="s">
        <v>485</v>
      </c>
      <c r="Q51">
        <v>0</v>
      </c>
      <c r="R51">
        <v>0</v>
      </c>
      <c r="S51" t="s">
        <v>40</v>
      </c>
      <c r="T51">
        <v>261</v>
      </c>
      <c r="W51"/>
      <c r="Y51" t="s">
        <v>377</v>
      </c>
      <c r="Z51" t="s">
        <v>378</v>
      </c>
      <c r="AA51" t="s">
        <v>379</v>
      </c>
      <c r="AB51" t="s">
        <v>486</v>
      </c>
      <c r="AC51" t="s">
        <v>41</v>
      </c>
      <c r="AD51" t="s">
        <v>41</v>
      </c>
      <c r="AE51" t="s">
        <v>41</v>
      </c>
      <c r="AF51" t="s">
        <v>41</v>
      </c>
      <c r="AG51" t="s">
        <v>41</v>
      </c>
      <c r="AH51" t="s">
        <v>41</v>
      </c>
      <c r="AK51"/>
    </row>
    <row r="52" spans="1:37" x14ac:dyDescent="0.25">
      <c r="A52" t="s">
        <v>38</v>
      </c>
      <c r="B52">
        <v>45897.581284722219</v>
      </c>
      <c r="C52">
        <v>91513</v>
      </c>
      <c r="D52" t="s">
        <v>373</v>
      </c>
      <c r="E52">
        <v>4494948</v>
      </c>
      <c r="F52">
        <v>147033</v>
      </c>
      <c r="G52" t="s">
        <v>487</v>
      </c>
      <c r="H52" t="s">
        <v>436</v>
      </c>
      <c r="I52">
        <v>2.5</v>
      </c>
      <c r="J52" t="b">
        <v>1</v>
      </c>
      <c r="K52">
        <v>1.1627906976744186E-2</v>
      </c>
      <c r="L52">
        <v>147034</v>
      </c>
      <c r="M52" t="s">
        <v>488</v>
      </c>
      <c r="N52">
        <v>215</v>
      </c>
      <c r="O52">
        <v>215</v>
      </c>
      <c r="P52" t="s">
        <v>423</v>
      </c>
      <c r="Q52">
        <v>0</v>
      </c>
      <c r="R52">
        <v>0</v>
      </c>
      <c r="S52" t="s">
        <v>40</v>
      </c>
      <c r="T52">
        <v>261</v>
      </c>
      <c r="W52"/>
      <c r="Y52" t="s">
        <v>377</v>
      </c>
      <c r="Z52" t="s">
        <v>378</v>
      </c>
      <c r="AA52" t="s">
        <v>379</v>
      </c>
      <c r="AB52" t="s">
        <v>489</v>
      </c>
      <c r="AC52" t="s">
        <v>41</v>
      </c>
      <c r="AD52" t="s">
        <v>41</v>
      </c>
      <c r="AE52" t="s">
        <v>41</v>
      </c>
      <c r="AF52" t="s">
        <v>41</v>
      </c>
      <c r="AG52" t="s">
        <v>41</v>
      </c>
      <c r="AH52" t="s">
        <v>41</v>
      </c>
      <c r="AK52"/>
    </row>
    <row r="53" spans="1:37" x14ac:dyDescent="0.25">
      <c r="A53" t="s">
        <v>42</v>
      </c>
      <c r="B53">
        <v>45897.626064814816</v>
      </c>
      <c r="C53">
        <v>90416</v>
      </c>
      <c r="D53" t="s">
        <v>373</v>
      </c>
      <c r="E53">
        <v>4491358</v>
      </c>
      <c r="F53">
        <v>2123979</v>
      </c>
      <c r="G53" t="s">
        <v>425</v>
      </c>
      <c r="H53" t="s">
        <v>490</v>
      </c>
      <c r="I53">
        <v>3.2</v>
      </c>
      <c r="J53" t="b">
        <v>1</v>
      </c>
      <c r="K53">
        <v>0.8</v>
      </c>
      <c r="L53">
        <v>120995</v>
      </c>
      <c r="M53" t="s">
        <v>427</v>
      </c>
      <c r="N53">
        <v>4</v>
      </c>
      <c r="O53">
        <v>4</v>
      </c>
      <c r="P53"/>
      <c r="Q53">
        <v>134971</v>
      </c>
      <c r="R53">
        <v>2</v>
      </c>
      <c r="S53" t="s">
        <v>40</v>
      </c>
      <c r="T53">
        <v>261</v>
      </c>
      <c r="U53">
        <v>147664</v>
      </c>
      <c r="V53">
        <v>48</v>
      </c>
      <c r="W53" t="s">
        <v>40</v>
      </c>
      <c r="X53">
        <v>261</v>
      </c>
      <c r="Y53" t="s">
        <v>377</v>
      </c>
      <c r="Z53" t="s">
        <v>378</v>
      </c>
      <c r="AA53" t="s">
        <v>379</v>
      </c>
      <c r="AB53" t="s">
        <v>384</v>
      </c>
      <c r="AC53" t="s">
        <v>41</v>
      </c>
      <c r="AD53" t="s">
        <v>41</v>
      </c>
      <c r="AE53" t="s">
        <v>41</v>
      </c>
      <c r="AF53" t="s">
        <v>41</v>
      </c>
      <c r="AG53" t="s">
        <v>41</v>
      </c>
      <c r="AH53" t="s">
        <v>41</v>
      </c>
      <c r="AK53"/>
    </row>
    <row r="54" spans="1:37" x14ac:dyDescent="0.25">
      <c r="A54" t="s">
        <v>42</v>
      </c>
      <c r="B54">
        <v>45897.627337962964</v>
      </c>
      <c r="C54">
        <v>90416</v>
      </c>
      <c r="D54" t="s">
        <v>373</v>
      </c>
      <c r="E54">
        <v>4491359</v>
      </c>
      <c r="F54">
        <v>2123979</v>
      </c>
      <c r="G54" t="s">
        <v>425</v>
      </c>
      <c r="H54" t="s">
        <v>490</v>
      </c>
      <c r="I54">
        <v>3.5</v>
      </c>
      <c r="J54" t="b">
        <v>1</v>
      </c>
      <c r="K54">
        <v>0.4375</v>
      </c>
      <c r="L54">
        <v>120995</v>
      </c>
      <c r="M54" t="s">
        <v>427</v>
      </c>
      <c r="N54">
        <v>8</v>
      </c>
      <c r="O54">
        <v>8</v>
      </c>
      <c r="P54"/>
      <c r="Q54">
        <v>134971</v>
      </c>
      <c r="R54">
        <v>1</v>
      </c>
      <c r="S54" t="s">
        <v>40</v>
      </c>
      <c r="T54">
        <v>261</v>
      </c>
      <c r="U54">
        <v>147664</v>
      </c>
      <c r="V54">
        <v>24</v>
      </c>
      <c r="W54" t="s">
        <v>40</v>
      </c>
      <c r="X54">
        <v>261</v>
      </c>
      <c r="Y54" t="s">
        <v>377</v>
      </c>
      <c r="Z54" t="s">
        <v>378</v>
      </c>
      <c r="AA54" t="s">
        <v>379</v>
      </c>
      <c r="AB54" t="s">
        <v>400</v>
      </c>
      <c r="AC54" t="s">
        <v>41</v>
      </c>
      <c r="AD54" t="s">
        <v>41</v>
      </c>
      <c r="AE54" t="s">
        <v>41</v>
      </c>
      <c r="AF54" t="s">
        <v>41</v>
      </c>
      <c r="AG54" t="s">
        <v>41</v>
      </c>
      <c r="AH54" t="s">
        <v>41</v>
      </c>
      <c r="AK54"/>
    </row>
    <row r="55" spans="1:37" x14ac:dyDescent="0.25">
      <c r="A55" t="s">
        <v>45</v>
      </c>
      <c r="B55">
        <v>45897.629675925928</v>
      </c>
      <c r="C55">
        <v>90078</v>
      </c>
      <c r="D55" t="s">
        <v>373</v>
      </c>
      <c r="E55">
        <v>4486422</v>
      </c>
      <c r="F55">
        <v>2308739</v>
      </c>
      <c r="G55" t="s">
        <v>467</v>
      </c>
      <c r="H55" t="s">
        <v>465</v>
      </c>
      <c r="I55">
        <v>1.5</v>
      </c>
      <c r="J55" t="b">
        <v>1</v>
      </c>
      <c r="K55">
        <v>1.0638297872340425E-2</v>
      </c>
      <c r="L55">
        <v>2308780</v>
      </c>
      <c r="M55" t="s">
        <v>469</v>
      </c>
      <c r="N55">
        <v>141</v>
      </c>
      <c r="O55">
        <v>160</v>
      </c>
      <c r="P55"/>
      <c r="Q55">
        <v>134974</v>
      </c>
      <c r="R55">
        <v>1</v>
      </c>
      <c r="S55" t="s">
        <v>40</v>
      </c>
      <c r="T55">
        <v>261</v>
      </c>
      <c r="W55"/>
      <c r="Y55" t="s">
        <v>377</v>
      </c>
      <c r="Z55" t="s">
        <v>378</v>
      </c>
      <c r="AA55" t="s">
        <v>379</v>
      </c>
      <c r="AB55" t="s">
        <v>491</v>
      </c>
      <c r="AC55" t="s">
        <v>41</v>
      </c>
      <c r="AD55" t="s">
        <v>41</v>
      </c>
      <c r="AE55" t="s">
        <v>41</v>
      </c>
      <c r="AF55" t="s">
        <v>41</v>
      </c>
      <c r="AG55" t="s">
        <v>41</v>
      </c>
      <c r="AH55" t="s">
        <v>41</v>
      </c>
      <c r="AK55"/>
    </row>
    <row r="56" spans="1:37" x14ac:dyDescent="0.25">
      <c r="A56" t="s">
        <v>45</v>
      </c>
      <c r="B56">
        <v>45897.631030092591</v>
      </c>
      <c r="C56">
        <v>90077</v>
      </c>
      <c r="D56" t="s">
        <v>373</v>
      </c>
      <c r="E56">
        <v>4486421</v>
      </c>
      <c r="F56">
        <v>2308739</v>
      </c>
      <c r="G56" t="s">
        <v>467</v>
      </c>
      <c r="H56" t="s">
        <v>492</v>
      </c>
      <c r="I56">
        <v>1.5</v>
      </c>
      <c r="J56" t="b">
        <v>1</v>
      </c>
      <c r="K56">
        <v>1.0869565217391304E-2</v>
      </c>
      <c r="L56">
        <v>2308780</v>
      </c>
      <c r="M56" t="s">
        <v>469</v>
      </c>
      <c r="N56">
        <v>138</v>
      </c>
      <c r="O56">
        <v>127</v>
      </c>
      <c r="P56"/>
      <c r="Q56">
        <v>134974</v>
      </c>
      <c r="R56">
        <v>1</v>
      </c>
      <c r="S56" t="s">
        <v>40</v>
      </c>
      <c r="T56">
        <v>261</v>
      </c>
      <c r="W56"/>
      <c r="Y56" t="s">
        <v>377</v>
      </c>
      <c r="Z56" t="s">
        <v>378</v>
      </c>
      <c r="AA56" t="s">
        <v>379</v>
      </c>
      <c r="AB56" t="s">
        <v>493</v>
      </c>
      <c r="AC56" t="s">
        <v>41</v>
      </c>
      <c r="AD56" t="s">
        <v>41</v>
      </c>
      <c r="AE56" t="s">
        <v>41</v>
      </c>
      <c r="AF56" t="s">
        <v>41</v>
      </c>
      <c r="AG56" t="s">
        <v>41</v>
      </c>
      <c r="AH56" t="s">
        <v>41</v>
      </c>
      <c r="AK56"/>
    </row>
    <row r="57" spans="1:37" x14ac:dyDescent="0.25">
      <c r="A57" t="s">
        <v>37</v>
      </c>
      <c r="B57">
        <v>45897.992222222223</v>
      </c>
      <c r="C57">
        <v>90420</v>
      </c>
      <c r="D57" t="s">
        <v>494</v>
      </c>
      <c r="E57">
        <v>4491364</v>
      </c>
      <c r="F57">
        <v>2104851</v>
      </c>
      <c r="G57" t="s">
        <v>429</v>
      </c>
      <c r="H57" t="s">
        <v>495</v>
      </c>
      <c r="I57">
        <v>7.5</v>
      </c>
      <c r="J57" t="b">
        <v>1</v>
      </c>
      <c r="K57">
        <v>0.9375</v>
      </c>
      <c r="L57">
        <v>2106168</v>
      </c>
      <c r="M57" t="s">
        <v>431</v>
      </c>
      <c r="N57">
        <v>8</v>
      </c>
      <c r="O57">
        <v>12</v>
      </c>
      <c r="P57"/>
      <c r="Q57">
        <v>143275</v>
      </c>
      <c r="R57">
        <v>1</v>
      </c>
      <c r="S57" t="s">
        <v>40</v>
      </c>
      <c r="T57">
        <v>261</v>
      </c>
      <c r="U57">
        <v>147664</v>
      </c>
      <c r="V57">
        <v>24</v>
      </c>
      <c r="W57" t="s">
        <v>40</v>
      </c>
      <c r="X57">
        <v>261</v>
      </c>
      <c r="Y57" t="s">
        <v>377</v>
      </c>
      <c r="Z57" t="s">
        <v>378</v>
      </c>
      <c r="AA57" t="s">
        <v>379</v>
      </c>
      <c r="AB57" t="s">
        <v>400</v>
      </c>
      <c r="AC57" t="s">
        <v>41</v>
      </c>
      <c r="AD57" t="s">
        <v>41</v>
      </c>
      <c r="AE57" t="s">
        <v>41</v>
      </c>
      <c r="AF57" t="s">
        <v>41</v>
      </c>
      <c r="AG57" t="s">
        <v>41</v>
      </c>
      <c r="AH57" t="s">
        <v>41</v>
      </c>
      <c r="AK57"/>
    </row>
    <row r="58" spans="1:37" x14ac:dyDescent="0.25">
      <c r="A58" t="s">
        <v>37</v>
      </c>
      <c r="B58">
        <v>45897.992997685185</v>
      </c>
      <c r="C58">
        <v>90420</v>
      </c>
      <c r="D58" t="s">
        <v>494</v>
      </c>
      <c r="E58">
        <v>4491363</v>
      </c>
      <c r="F58">
        <v>2104851</v>
      </c>
      <c r="G58" t="s">
        <v>429</v>
      </c>
      <c r="H58" t="s">
        <v>495</v>
      </c>
      <c r="I58">
        <v>7.5</v>
      </c>
      <c r="J58" t="b">
        <v>1</v>
      </c>
      <c r="K58">
        <v>1.875</v>
      </c>
      <c r="L58">
        <v>2106168</v>
      </c>
      <c r="M58" t="s">
        <v>431</v>
      </c>
      <c r="N58">
        <v>4</v>
      </c>
      <c r="O58">
        <v>4</v>
      </c>
      <c r="P58"/>
      <c r="Q58">
        <v>143275</v>
      </c>
      <c r="R58">
        <v>1</v>
      </c>
      <c r="S58" t="s">
        <v>40</v>
      </c>
      <c r="T58">
        <v>261</v>
      </c>
      <c r="U58">
        <v>147664</v>
      </c>
      <c r="V58">
        <v>24</v>
      </c>
      <c r="W58" t="s">
        <v>40</v>
      </c>
      <c r="X58">
        <v>261</v>
      </c>
      <c r="Y58" t="s">
        <v>377</v>
      </c>
      <c r="Z58" t="s">
        <v>378</v>
      </c>
      <c r="AA58" t="s">
        <v>379</v>
      </c>
      <c r="AB58" t="s">
        <v>384</v>
      </c>
      <c r="AC58" t="s">
        <v>41</v>
      </c>
      <c r="AD58" t="s">
        <v>41</v>
      </c>
      <c r="AE58" t="s">
        <v>41</v>
      </c>
      <c r="AF58" t="s">
        <v>41</v>
      </c>
      <c r="AG58" t="s">
        <v>41</v>
      </c>
      <c r="AH58" t="s">
        <v>41</v>
      </c>
      <c r="AK58"/>
    </row>
    <row r="59" spans="1:37" x14ac:dyDescent="0.25">
      <c r="A59" t="s">
        <v>45</v>
      </c>
      <c r="B59">
        <v>45898.378055555557</v>
      </c>
      <c r="C59">
        <v>90079</v>
      </c>
      <c r="D59" t="s">
        <v>401</v>
      </c>
      <c r="E59">
        <v>4486422</v>
      </c>
      <c r="F59">
        <v>2308739</v>
      </c>
      <c r="G59" t="s">
        <v>467</v>
      </c>
      <c r="H59" t="s">
        <v>465</v>
      </c>
      <c r="I59">
        <v>1.5</v>
      </c>
      <c r="J59" t="b">
        <v>1</v>
      </c>
      <c r="K59">
        <v>5.9760956175298804E-3</v>
      </c>
      <c r="L59">
        <v>2308780</v>
      </c>
      <c r="M59" t="s">
        <v>469</v>
      </c>
      <c r="N59">
        <v>251</v>
      </c>
      <c r="O59">
        <v>251</v>
      </c>
      <c r="P59"/>
      <c r="Q59">
        <v>134974</v>
      </c>
      <c r="R59">
        <v>1</v>
      </c>
      <c r="S59" t="s">
        <v>40</v>
      </c>
      <c r="T59">
        <v>261</v>
      </c>
      <c r="W59"/>
      <c r="Y59" t="s">
        <v>377</v>
      </c>
      <c r="Z59" t="s">
        <v>378</v>
      </c>
      <c r="AA59" t="s">
        <v>379</v>
      </c>
      <c r="AB59" t="s">
        <v>496</v>
      </c>
      <c r="AC59" t="s">
        <v>41</v>
      </c>
      <c r="AD59" t="s">
        <v>41</v>
      </c>
      <c r="AE59" t="s">
        <v>41</v>
      </c>
      <c r="AF59" t="s">
        <v>41</v>
      </c>
      <c r="AG59" t="s">
        <v>41</v>
      </c>
      <c r="AH59" t="s">
        <v>41</v>
      </c>
      <c r="AK59"/>
    </row>
    <row r="60" spans="1:37" x14ac:dyDescent="0.25">
      <c r="A60" t="s">
        <v>47</v>
      </c>
      <c r="B60">
        <v>45898.451655092591</v>
      </c>
      <c r="C60">
        <v>91519</v>
      </c>
      <c r="D60" t="s">
        <v>401</v>
      </c>
      <c r="E60">
        <v>4491993</v>
      </c>
      <c r="F60">
        <v>2105721</v>
      </c>
      <c r="G60" t="s">
        <v>497</v>
      </c>
      <c r="H60" t="s">
        <v>436</v>
      </c>
      <c r="I60">
        <v>2.5</v>
      </c>
      <c r="J60" t="b">
        <v>1</v>
      </c>
      <c r="K60">
        <v>3.5714285714285712E-2</v>
      </c>
      <c r="L60">
        <v>2106977</v>
      </c>
      <c r="M60" t="s">
        <v>498</v>
      </c>
      <c r="N60">
        <v>70</v>
      </c>
      <c r="O60">
        <v>70</v>
      </c>
      <c r="P60"/>
      <c r="Q60">
        <v>0</v>
      </c>
      <c r="R60">
        <v>0</v>
      </c>
      <c r="S60" t="s">
        <v>40</v>
      </c>
      <c r="T60">
        <v>261</v>
      </c>
      <c r="W60"/>
      <c r="Y60" t="s">
        <v>377</v>
      </c>
      <c r="Z60" t="s">
        <v>378</v>
      </c>
      <c r="AA60" t="s">
        <v>379</v>
      </c>
      <c r="AB60" t="s">
        <v>447</v>
      </c>
      <c r="AC60" t="s">
        <v>41</v>
      </c>
      <c r="AD60" t="s">
        <v>41</v>
      </c>
      <c r="AE60" t="s">
        <v>41</v>
      </c>
      <c r="AF60" t="s">
        <v>41</v>
      </c>
      <c r="AG60" t="s">
        <v>41</v>
      </c>
      <c r="AH60" t="s">
        <v>41</v>
      </c>
      <c r="AK60"/>
    </row>
    <row r="61" spans="1:37" x14ac:dyDescent="0.25">
      <c r="A61" t="s">
        <v>47</v>
      </c>
      <c r="B61">
        <v>45898.454861111109</v>
      </c>
      <c r="C61">
        <v>91518</v>
      </c>
      <c r="D61" t="s">
        <v>401</v>
      </c>
      <c r="E61">
        <v>4494027</v>
      </c>
      <c r="F61">
        <v>2310053</v>
      </c>
      <c r="G61" t="s">
        <v>499</v>
      </c>
      <c r="H61" t="s">
        <v>436</v>
      </c>
      <c r="I61">
        <v>2.5</v>
      </c>
      <c r="J61" t="b">
        <v>1</v>
      </c>
      <c r="K61">
        <v>4.0983606557377046E-2</v>
      </c>
      <c r="L61">
        <v>2310053</v>
      </c>
      <c r="M61" t="s">
        <v>499</v>
      </c>
      <c r="N61">
        <v>61</v>
      </c>
      <c r="O61">
        <v>61</v>
      </c>
      <c r="P61"/>
      <c r="Q61">
        <v>0</v>
      </c>
      <c r="R61">
        <v>0</v>
      </c>
      <c r="S61" t="s">
        <v>40</v>
      </c>
      <c r="T61">
        <v>261</v>
      </c>
      <c r="W61"/>
      <c r="Y61" t="s">
        <v>377</v>
      </c>
      <c r="Z61" t="s">
        <v>378</v>
      </c>
      <c r="AA61" t="s">
        <v>379</v>
      </c>
      <c r="AB61" t="s">
        <v>500</v>
      </c>
      <c r="AC61" t="s">
        <v>41</v>
      </c>
      <c r="AD61" t="s">
        <v>41</v>
      </c>
      <c r="AE61" t="s">
        <v>41</v>
      </c>
      <c r="AK61"/>
    </row>
    <row r="62" spans="1:37" x14ac:dyDescent="0.25">
      <c r="A62" t="s">
        <v>37</v>
      </c>
      <c r="B62">
        <v>45898.457303240742</v>
      </c>
      <c r="C62">
        <v>91520</v>
      </c>
      <c r="D62" t="s">
        <v>401</v>
      </c>
      <c r="E62">
        <v>4493947</v>
      </c>
      <c r="F62">
        <v>2310056</v>
      </c>
      <c r="G62" t="s">
        <v>501</v>
      </c>
      <c r="H62" t="s">
        <v>436</v>
      </c>
      <c r="I62">
        <v>5</v>
      </c>
      <c r="J62" t="b">
        <v>1</v>
      </c>
      <c r="K62">
        <v>6.4102564102564097E-2</v>
      </c>
      <c r="L62">
        <v>2310056</v>
      </c>
      <c r="M62" t="s">
        <v>501</v>
      </c>
      <c r="N62">
        <v>78</v>
      </c>
      <c r="O62">
        <v>78</v>
      </c>
      <c r="P62"/>
      <c r="Q62">
        <v>0</v>
      </c>
      <c r="R62">
        <v>0</v>
      </c>
      <c r="S62" t="s">
        <v>40</v>
      </c>
      <c r="T62">
        <v>261</v>
      </c>
      <c r="W62"/>
      <c r="Y62" t="s">
        <v>377</v>
      </c>
      <c r="Z62" t="s">
        <v>378</v>
      </c>
      <c r="AA62" t="s">
        <v>379</v>
      </c>
      <c r="AB62" t="s">
        <v>502</v>
      </c>
      <c r="AC62" t="s">
        <v>41</v>
      </c>
      <c r="AD62" t="s">
        <v>41</v>
      </c>
      <c r="AE62" t="s">
        <v>41</v>
      </c>
      <c r="AK62"/>
    </row>
    <row r="63" spans="1:37" x14ac:dyDescent="0.25">
      <c r="A63" t="s">
        <v>37</v>
      </c>
      <c r="B63">
        <v>45898.465983796297</v>
      </c>
      <c r="C63">
        <v>91517</v>
      </c>
      <c r="D63" t="s">
        <v>401</v>
      </c>
      <c r="E63">
        <v>4490357</v>
      </c>
      <c r="F63">
        <v>2309402</v>
      </c>
      <c r="G63" t="s">
        <v>503</v>
      </c>
      <c r="H63" t="s">
        <v>436</v>
      </c>
      <c r="I63">
        <v>5</v>
      </c>
      <c r="J63" t="b">
        <v>1</v>
      </c>
      <c r="K63">
        <v>7.6923076923076927E-2</v>
      </c>
      <c r="L63">
        <v>2309402</v>
      </c>
      <c r="M63" t="s">
        <v>503</v>
      </c>
      <c r="N63">
        <v>65</v>
      </c>
      <c r="O63">
        <v>0</v>
      </c>
      <c r="P63"/>
      <c r="Q63">
        <v>0</v>
      </c>
      <c r="R63">
        <v>0</v>
      </c>
      <c r="S63" t="s">
        <v>40</v>
      </c>
      <c r="T63">
        <v>261</v>
      </c>
      <c r="W63"/>
      <c r="Y63" t="s">
        <v>377</v>
      </c>
      <c r="Z63" t="s">
        <v>378</v>
      </c>
      <c r="AA63" t="s">
        <v>379</v>
      </c>
      <c r="AB63" t="s">
        <v>504</v>
      </c>
      <c r="AC63" t="s">
        <v>41</v>
      </c>
      <c r="AD63" t="s">
        <v>41</v>
      </c>
      <c r="AE63" t="s">
        <v>41</v>
      </c>
      <c r="AK63"/>
    </row>
    <row r="64" spans="1:37" x14ac:dyDescent="0.25">
      <c r="A64" t="s">
        <v>37</v>
      </c>
      <c r="B64">
        <v>45898.501261574071</v>
      </c>
      <c r="C64">
        <v>91517</v>
      </c>
      <c r="D64" t="s">
        <v>401</v>
      </c>
      <c r="E64">
        <v>4490358</v>
      </c>
      <c r="F64">
        <v>2309401</v>
      </c>
      <c r="G64" t="s">
        <v>505</v>
      </c>
      <c r="H64" t="s">
        <v>436</v>
      </c>
      <c r="I64">
        <v>5</v>
      </c>
      <c r="J64" t="b">
        <v>1</v>
      </c>
      <c r="K64">
        <v>7.6923076923076927E-2</v>
      </c>
      <c r="L64">
        <v>2309402</v>
      </c>
      <c r="M64" t="s">
        <v>503</v>
      </c>
      <c r="N64">
        <v>65</v>
      </c>
      <c r="O64">
        <v>65</v>
      </c>
      <c r="P64"/>
      <c r="Q64">
        <v>0</v>
      </c>
      <c r="R64">
        <v>0</v>
      </c>
      <c r="S64" t="s">
        <v>40</v>
      </c>
      <c r="T64">
        <v>261</v>
      </c>
      <c r="W64"/>
      <c r="Y64" t="s">
        <v>377</v>
      </c>
      <c r="Z64" t="s">
        <v>378</v>
      </c>
      <c r="AA64" t="s">
        <v>379</v>
      </c>
      <c r="AB64" t="s">
        <v>504</v>
      </c>
      <c r="AC64" t="s">
        <v>41</v>
      </c>
      <c r="AD64" t="s">
        <v>41</v>
      </c>
      <c r="AE64" t="s">
        <v>41</v>
      </c>
      <c r="AK64"/>
    </row>
    <row r="65" spans="1:37" x14ac:dyDescent="0.25">
      <c r="A65" t="s">
        <v>37</v>
      </c>
      <c r="B65">
        <v>45898.50309027778</v>
      </c>
      <c r="C65">
        <v>91520</v>
      </c>
      <c r="D65" t="s">
        <v>401</v>
      </c>
      <c r="E65">
        <v>4493946</v>
      </c>
      <c r="F65">
        <v>2310055</v>
      </c>
      <c r="G65" t="s">
        <v>506</v>
      </c>
      <c r="H65" t="s">
        <v>436</v>
      </c>
      <c r="I65">
        <v>5</v>
      </c>
      <c r="J65" t="b">
        <v>1</v>
      </c>
      <c r="K65">
        <v>6.4102564102564097E-2</v>
      </c>
      <c r="L65">
        <v>2310056</v>
      </c>
      <c r="M65" t="s">
        <v>501</v>
      </c>
      <c r="N65">
        <v>78</v>
      </c>
      <c r="O65">
        <v>78</v>
      </c>
      <c r="P65"/>
      <c r="Q65">
        <v>0</v>
      </c>
      <c r="R65">
        <v>0</v>
      </c>
      <c r="S65" t="s">
        <v>40</v>
      </c>
      <c r="T65">
        <v>261</v>
      </c>
      <c r="W65"/>
      <c r="Y65" t="s">
        <v>377</v>
      </c>
      <c r="Z65" t="s">
        <v>378</v>
      </c>
      <c r="AA65" t="s">
        <v>379</v>
      </c>
      <c r="AB65" t="s">
        <v>502</v>
      </c>
      <c r="AC65" t="s">
        <v>41</v>
      </c>
      <c r="AD65" t="s">
        <v>41</v>
      </c>
      <c r="AE65" t="s">
        <v>41</v>
      </c>
      <c r="AK65"/>
    </row>
    <row r="66" spans="1:37" x14ac:dyDescent="0.25">
      <c r="A66" t="s">
        <v>47</v>
      </c>
      <c r="B66">
        <v>45898.505208333336</v>
      </c>
      <c r="C66">
        <v>91518</v>
      </c>
      <c r="D66" t="s">
        <v>507</v>
      </c>
      <c r="E66">
        <v>4494026</v>
      </c>
      <c r="F66">
        <v>2310052</v>
      </c>
      <c r="G66" t="s">
        <v>508</v>
      </c>
      <c r="H66" t="s">
        <v>436</v>
      </c>
      <c r="I66">
        <v>2.5</v>
      </c>
      <c r="J66" t="b">
        <v>1</v>
      </c>
      <c r="K66">
        <v>4.0983606557377046E-2</v>
      </c>
      <c r="L66">
        <v>2310053</v>
      </c>
      <c r="M66" t="s">
        <v>499</v>
      </c>
      <c r="N66">
        <v>61</v>
      </c>
      <c r="O66">
        <v>61</v>
      </c>
      <c r="P66"/>
      <c r="Q66">
        <v>0</v>
      </c>
      <c r="R66">
        <v>0</v>
      </c>
      <c r="S66" t="s">
        <v>40</v>
      </c>
      <c r="T66">
        <v>261</v>
      </c>
      <c r="W66"/>
      <c r="Y66" t="s">
        <v>377</v>
      </c>
      <c r="Z66" t="s">
        <v>378</v>
      </c>
      <c r="AA66" t="s">
        <v>379</v>
      </c>
      <c r="AB66" t="s">
        <v>500</v>
      </c>
      <c r="AC66" t="s">
        <v>41</v>
      </c>
      <c r="AD66" t="s">
        <v>41</v>
      </c>
      <c r="AE66" t="s">
        <v>41</v>
      </c>
      <c r="AK66"/>
    </row>
    <row r="67" spans="1:37" x14ac:dyDescent="0.25">
      <c r="A67" t="s">
        <v>47</v>
      </c>
      <c r="B67">
        <v>45898.507430555554</v>
      </c>
      <c r="C67">
        <v>91519</v>
      </c>
      <c r="D67" t="s">
        <v>401</v>
      </c>
      <c r="E67">
        <v>4491993</v>
      </c>
      <c r="F67">
        <v>2105721</v>
      </c>
      <c r="H67" t="s">
        <v>436</v>
      </c>
      <c r="I67">
        <v>2.5</v>
      </c>
      <c r="J67" t="b">
        <v>0</v>
      </c>
      <c r="K67">
        <v>3.5714285714285712E-2</v>
      </c>
      <c r="L67">
        <v>2106977</v>
      </c>
      <c r="M67" t="s">
        <v>498</v>
      </c>
      <c r="N67">
        <v>70</v>
      </c>
      <c r="O67">
        <v>0</v>
      </c>
      <c r="P67"/>
      <c r="Q67">
        <v>0</v>
      </c>
      <c r="R67">
        <v>0</v>
      </c>
      <c r="S67" t="s">
        <v>40</v>
      </c>
      <c r="T67">
        <v>261</v>
      </c>
      <c r="W67"/>
      <c r="Y67" t="s">
        <v>377</v>
      </c>
      <c r="Z67" t="s">
        <v>378</v>
      </c>
      <c r="AA67" t="s">
        <v>379</v>
      </c>
      <c r="AB67" t="s">
        <v>447</v>
      </c>
      <c r="AC67" t="s">
        <v>41</v>
      </c>
      <c r="AD67" t="s">
        <v>41</v>
      </c>
      <c r="AE67" t="s">
        <v>41</v>
      </c>
      <c r="AK67"/>
    </row>
    <row r="68" spans="1:37" x14ac:dyDescent="0.25">
      <c r="A68" t="s">
        <v>37</v>
      </c>
      <c r="B68">
        <v>45898.621747685182</v>
      </c>
      <c r="C68">
        <v>90421</v>
      </c>
      <c r="D68" t="s">
        <v>401</v>
      </c>
      <c r="E68">
        <v>4491366</v>
      </c>
      <c r="F68">
        <v>2104851</v>
      </c>
      <c r="G68" t="s">
        <v>429</v>
      </c>
      <c r="H68" t="s">
        <v>375</v>
      </c>
      <c r="I68">
        <v>7.5</v>
      </c>
      <c r="J68" t="b">
        <v>1</v>
      </c>
      <c r="K68">
        <v>0.9375</v>
      </c>
      <c r="L68">
        <v>2106168</v>
      </c>
      <c r="M68" t="s">
        <v>431</v>
      </c>
      <c r="N68">
        <v>8</v>
      </c>
      <c r="O68">
        <v>12</v>
      </c>
      <c r="P68"/>
      <c r="Q68">
        <v>134907</v>
      </c>
      <c r="R68">
        <v>1</v>
      </c>
      <c r="S68" t="s">
        <v>40</v>
      </c>
      <c r="T68">
        <v>261</v>
      </c>
      <c r="U68">
        <v>147664</v>
      </c>
      <c r="V68">
        <v>24</v>
      </c>
      <c r="W68" t="s">
        <v>40</v>
      </c>
      <c r="X68">
        <v>261</v>
      </c>
      <c r="Y68" t="s">
        <v>377</v>
      </c>
      <c r="Z68" t="s">
        <v>378</v>
      </c>
      <c r="AA68" t="s">
        <v>379</v>
      </c>
      <c r="AB68" t="s">
        <v>400</v>
      </c>
      <c r="AC68" t="s">
        <v>41</v>
      </c>
      <c r="AD68" t="s">
        <v>41</v>
      </c>
      <c r="AE68" t="s">
        <v>41</v>
      </c>
      <c r="AK68"/>
    </row>
    <row r="69" spans="1:37" x14ac:dyDescent="0.25">
      <c r="A69" t="s">
        <v>37</v>
      </c>
      <c r="B69">
        <v>45898.626354166663</v>
      </c>
      <c r="C69">
        <v>90421</v>
      </c>
      <c r="D69" t="s">
        <v>401</v>
      </c>
      <c r="E69">
        <v>4491365</v>
      </c>
      <c r="F69">
        <v>2104851</v>
      </c>
      <c r="G69" t="s">
        <v>429</v>
      </c>
      <c r="H69" t="s">
        <v>375</v>
      </c>
      <c r="I69">
        <v>7.5</v>
      </c>
      <c r="J69" t="b">
        <v>1</v>
      </c>
      <c r="K69">
        <v>1.875</v>
      </c>
      <c r="L69">
        <v>2106168</v>
      </c>
      <c r="M69" t="s">
        <v>431</v>
      </c>
      <c r="N69">
        <v>4</v>
      </c>
      <c r="O69">
        <v>0</v>
      </c>
      <c r="P69"/>
      <c r="Q69">
        <v>134907</v>
      </c>
      <c r="R69">
        <v>1</v>
      </c>
      <c r="S69" t="s">
        <v>40</v>
      </c>
      <c r="T69">
        <v>261</v>
      </c>
      <c r="U69">
        <v>147664</v>
      </c>
      <c r="V69">
        <v>24</v>
      </c>
      <c r="W69" t="s">
        <v>40</v>
      </c>
      <c r="X69">
        <v>261</v>
      </c>
      <c r="Y69" t="s">
        <v>377</v>
      </c>
      <c r="Z69" t="s">
        <v>378</v>
      </c>
      <c r="AA69" t="s">
        <v>379</v>
      </c>
      <c r="AB69" t="s">
        <v>384</v>
      </c>
      <c r="AC69" t="s">
        <v>41</v>
      </c>
      <c r="AD69" t="s">
        <v>41</v>
      </c>
      <c r="AE69" t="s">
        <v>41</v>
      </c>
      <c r="AK69"/>
    </row>
    <row r="70" spans="1:37" x14ac:dyDescent="0.25">
      <c r="A70" t="s">
        <v>47</v>
      </c>
      <c r="B70">
        <v>45898.853831018518</v>
      </c>
      <c r="C70">
        <v>91521</v>
      </c>
      <c r="D70" t="s">
        <v>494</v>
      </c>
      <c r="E70">
        <v>4494023</v>
      </c>
      <c r="F70">
        <v>2307157</v>
      </c>
      <c r="G70" t="s">
        <v>509</v>
      </c>
      <c r="H70">
        <v>4494024</v>
      </c>
      <c r="I70">
        <v>2.5</v>
      </c>
      <c r="J70" t="b">
        <v>1</v>
      </c>
      <c r="K70">
        <v>2.5510204081632654E-2</v>
      </c>
      <c r="L70">
        <v>2307158</v>
      </c>
      <c r="M70" t="s">
        <v>510</v>
      </c>
      <c r="N70">
        <v>98</v>
      </c>
      <c r="O70">
        <v>90</v>
      </c>
      <c r="P70" t="s">
        <v>423</v>
      </c>
      <c r="Q70">
        <v>0</v>
      </c>
      <c r="R70">
        <v>0</v>
      </c>
      <c r="S70" t="s">
        <v>40</v>
      </c>
      <c r="T70">
        <v>261</v>
      </c>
      <c r="W70"/>
      <c r="Y70" t="s">
        <v>377</v>
      </c>
      <c r="Z70" t="s">
        <v>378</v>
      </c>
      <c r="AA70" t="s">
        <v>379</v>
      </c>
      <c r="AB70" t="s">
        <v>511</v>
      </c>
      <c r="AC70" t="s">
        <v>41</v>
      </c>
      <c r="AD70" t="s">
        <v>41</v>
      </c>
      <c r="AE70" t="s">
        <v>41</v>
      </c>
      <c r="AK70"/>
    </row>
    <row r="71" spans="1:37" x14ac:dyDescent="0.25">
      <c r="A71" t="s">
        <v>45</v>
      </c>
      <c r="B71">
        <v>45899.006354166668</v>
      </c>
      <c r="C71">
        <v>91516</v>
      </c>
      <c r="D71" t="s">
        <v>494</v>
      </c>
      <c r="E71">
        <v>4488143</v>
      </c>
      <c r="F71">
        <v>152997</v>
      </c>
      <c r="G71" t="s">
        <v>512</v>
      </c>
      <c r="H71" t="s">
        <v>471</v>
      </c>
      <c r="I71">
        <v>5</v>
      </c>
      <c r="J71" t="b">
        <v>1</v>
      </c>
      <c r="K71">
        <v>2.3474178403755867E-2</v>
      </c>
      <c r="L71">
        <v>152999</v>
      </c>
      <c r="M71" t="s">
        <v>513</v>
      </c>
      <c r="N71">
        <v>213</v>
      </c>
      <c r="O71">
        <v>204</v>
      </c>
      <c r="P71"/>
      <c r="Q71">
        <v>134974</v>
      </c>
      <c r="R71">
        <v>1</v>
      </c>
      <c r="S71" t="s">
        <v>40</v>
      </c>
      <c r="T71">
        <v>261</v>
      </c>
      <c r="W71"/>
      <c r="Y71" t="s">
        <v>377</v>
      </c>
      <c r="Z71" t="s">
        <v>378</v>
      </c>
      <c r="AA71" t="s">
        <v>379</v>
      </c>
      <c r="AB71" t="s">
        <v>514</v>
      </c>
      <c r="AC71" t="s">
        <v>41</v>
      </c>
      <c r="AD71" t="s">
        <v>41</v>
      </c>
      <c r="AE71" t="s">
        <v>41</v>
      </c>
      <c r="AK71"/>
    </row>
    <row r="72" spans="1:37" x14ac:dyDescent="0.25">
      <c r="A72" t="s">
        <v>42</v>
      </c>
      <c r="B72">
        <v>45899.152650462966</v>
      </c>
      <c r="C72">
        <v>90081</v>
      </c>
      <c r="D72" t="s">
        <v>494</v>
      </c>
      <c r="E72">
        <v>4486423</v>
      </c>
      <c r="F72">
        <v>2308739</v>
      </c>
      <c r="G72" t="s">
        <v>467</v>
      </c>
      <c r="H72" t="s">
        <v>515</v>
      </c>
      <c r="I72">
        <v>2.5</v>
      </c>
      <c r="J72" t="b">
        <v>1</v>
      </c>
      <c r="K72">
        <v>2.1929824561403508E-2</v>
      </c>
      <c r="L72">
        <v>2308780</v>
      </c>
      <c r="M72" t="s">
        <v>469</v>
      </c>
      <c r="N72">
        <v>114</v>
      </c>
      <c r="O72">
        <v>402</v>
      </c>
      <c r="P72"/>
      <c r="Q72">
        <v>134974</v>
      </c>
      <c r="R72">
        <v>1</v>
      </c>
      <c r="S72" t="s">
        <v>40</v>
      </c>
      <c r="T72">
        <v>261</v>
      </c>
      <c r="W72"/>
      <c r="Y72" t="s">
        <v>377</v>
      </c>
      <c r="Z72" t="s">
        <v>378</v>
      </c>
      <c r="AA72" t="s">
        <v>379</v>
      </c>
      <c r="AB72" t="s">
        <v>516</v>
      </c>
      <c r="AC72" t="s">
        <v>41</v>
      </c>
      <c r="AD72" t="s">
        <v>41</v>
      </c>
      <c r="AE72" t="s">
        <v>41</v>
      </c>
      <c r="AK72"/>
    </row>
    <row r="73" spans="1:37" x14ac:dyDescent="0.25">
      <c r="A73" t="s">
        <v>37</v>
      </c>
      <c r="B73">
        <v>45899.195659722223</v>
      </c>
      <c r="C73">
        <v>90080</v>
      </c>
      <c r="D73" t="s">
        <v>494</v>
      </c>
      <c r="E73">
        <v>4486423</v>
      </c>
      <c r="F73">
        <v>2308739</v>
      </c>
      <c r="G73" t="s">
        <v>467</v>
      </c>
      <c r="H73" t="s">
        <v>515</v>
      </c>
      <c r="I73">
        <v>2.5</v>
      </c>
      <c r="J73" t="b">
        <v>1</v>
      </c>
      <c r="K73">
        <v>8.6206896551724137E-3</v>
      </c>
      <c r="L73">
        <v>2308780</v>
      </c>
      <c r="M73" t="s">
        <v>469</v>
      </c>
      <c r="N73">
        <v>290</v>
      </c>
      <c r="O73">
        <v>290</v>
      </c>
      <c r="P73" t="s">
        <v>517</v>
      </c>
      <c r="Q73">
        <v>134974</v>
      </c>
      <c r="R73">
        <v>1</v>
      </c>
      <c r="S73" t="s">
        <v>40</v>
      </c>
      <c r="T73">
        <v>261</v>
      </c>
      <c r="W73"/>
      <c r="Y73" t="s">
        <v>377</v>
      </c>
      <c r="Z73" t="s">
        <v>378</v>
      </c>
      <c r="AA73" t="s">
        <v>379</v>
      </c>
      <c r="AB73" t="s">
        <v>475</v>
      </c>
      <c r="AC73" t="s">
        <v>41</v>
      </c>
      <c r="AD73" t="s">
        <v>41</v>
      </c>
      <c r="AE73" t="s">
        <v>41</v>
      </c>
      <c r="AK73"/>
    </row>
    <row r="74" spans="1:37" x14ac:dyDescent="0.25">
      <c r="A74" t="s">
        <v>39</v>
      </c>
      <c r="B74">
        <v>45899.505972222221</v>
      </c>
      <c r="C74">
        <v>91523</v>
      </c>
      <c r="D74" t="s">
        <v>459</v>
      </c>
      <c r="E74">
        <v>4488143</v>
      </c>
      <c r="F74">
        <v>152997</v>
      </c>
      <c r="G74" t="s">
        <v>512</v>
      </c>
      <c r="H74" t="s">
        <v>471</v>
      </c>
      <c r="I74">
        <v>5</v>
      </c>
      <c r="J74" t="b">
        <v>1</v>
      </c>
      <c r="K74">
        <v>2.3148148148148147E-2</v>
      </c>
      <c r="L74">
        <v>152999</v>
      </c>
      <c r="M74" t="s">
        <v>513</v>
      </c>
      <c r="N74">
        <v>216</v>
      </c>
      <c r="O74">
        <v>216</v>
      </c>
      <c r="P74"/>
      <c r="Q74">
        <v>134974</v>
      </c>
      <c r="R74">
        <v>1</v>
      </c>
      <c r="S74" t="s">
        <v>40</v>
      </c>
      <c r="T74">
        <v>261</v>
      </c>
      <c r="W74"/>
      <c r="Y74" t="s">
        <v>377</v>
      </c>
      <c r="Z74" t="s">
        <v>378</v>
      </c>
      <c r="AA74" t="s">
        <v>379</v>
      </c>
      <c r="AB74" t="s">
        <v>518</v>
      </c>
      <c r="AC74" t="s">
        <v>41</v>
      </c>
      <c r="AD74" t="s">
        <v>41</v>
      </c>
      <c r="AE74" t="s">
        <v>41</v>
      </c>
      <c r="AK74"/>
    </row>
    <row r="75" spans="1:37" x14ac:dyDescent="0.25">
      <c r="A75" t="s">
        <v>45</v>
      </c>
      <c r="B75">
        <v>45899.534930555557</v>
      </c>
      <c r="C75">
        <v>91522</v>
      </c>
      <c r="D75" t="s">
        <v>459</v>
      </c>
      <c r="E75">
        <v>4488771</v>
      </c>
      <c r="F75">
        <v>152554</v>
      </c>
      <c r="G75" t="s">
        <v>519</v>
      </c>
      <c r="H75" t="s">
        <v>436</v>
      </c>
      <c r="I75">
        <v>1.5</v>
      </c>
      <c r="J75" t="b">
        <v>1</v>
      </c>
      <c r="K75">
        <v>2.1276595744680851E-2</v>
      </c>
      <c r="L75">
        <v>152555</v>
      </c>
      <c r="M75" t="s">
        <v>520</v>
      </c>
      <c r="N75">
        <v>70.5</v>
      </c>
      <c r="O75">
        <v>74</v>
      </c>
      <c r="P75"/>
      <c r="Q75">
        <v>134974</v>
      </c>
      <c r="R75">
        <v>1</v>
      </c>
      <c r="S75" t="s">
        <v>40</v>
      </c>
      <c r="T75">
        <v>261</v>
      </c>
      <c r="W75"/>
      <c r="Y75" t="s">
        <v>377</v>
      </c>
      <c r="Z75" t="s">
        <v>378</v>
      </c>
      <c r="AA75" t="s">
        <v>379</v>
      </c>
      <c r="AB75" t="s">
        <v>521</v>
      </c>
      <c r="AC75" t="s">
        <v>41</v>
      </c>
      <c r="AD75" t="s">
        <v>41</v>
      </c>
      <c r="AE75" t="s">
        <v>41</v>
      </c>
      <c r="AK75"/>
    </row>
    <row r="76" spans="1:37" x14ac:dyDescent="0.25">
      <c r="A76" t="s">
        <v>38</v>
      </c>
      <c r="B76">
        <v>45899.543333333335</v>
      </c>
      <c r="C76">
        <v>91146</v>
      </c>
      <c r="D76" t="s">
        <v>459</v>
      </c>
      <c r="E76">
        <v>4495504</v>
      </c>
      <c r="F76">
        <v>2301366</v>
      </c>
      <c r="G76" t="s">
        <v>397</v>
      </c>
      <c r="H76" t="s">
        <v>522</v>
      </c>
      <c r="I76">
        <v>14</v>
      </c>
      <c r="J76" t="b">
        <v>1</v>
      </c>
      <c r="K76">
        <v>1.75</v>
      </c>
      <c r="L76">
        <v>2301367</v>
      </c>
      <c r="M76" t="s">
        <v>399</v>
      </c>
      <c r="N76">
        <v>8</v>
      </c>
      <c r="O76">
        <v>0</v>
      </c>
      <c r="P76"/>
      <c r="Q76">
        <v>155687</v>
      </c>
      <c r="R76">
        <v>2</v>
      </c>
      <c r="S76" t="s">
        <v>40</v>
      </c>
      <c r="T76">
        <v>261</v>
      </c>
      <c r="U76">
        <v>147664</v>
      </c>
      <c r="V76">
        <v>48</v>
      </c>
      <c r="W76" t="s">
        <v>40</v>
      </c>
      <c r="X76">
        <v>261</v>
      </c>
      <c r="Y76" t="s">
        <v>377</v>
      </c>
      <c r="Z76" t="s">
        <v>378</v>
      </c>
      <c r="AA76" t="s">
        <v>384</v>
      </c>
      <c r="AB76" t="s">
        <v>384</v>
      </c>
      <c r="AC76" t="s">
        <v>41</v>
      </c>
      <c r="AD76" t="s">
        <v>41</v>
      </c>
      <c r="AE76" t="s">
        <v>41</v>
      </c>
      <c r="AK76"/>
    </row>
    <row r="77" spans="1:37" x14ac:dyDescent="0.25">
      <c r="A77" t="s">
        <v>44</v>
      </c>
      <c r="B77">
        <v>45899.629502314812</v>
      </c>
      <c r="C77">
        <v>91143</v>
      </c>
      <c r="D77" t="s">
        <v>459</v>
      </c>
      <c r="E77">
        <v>4481479</v>
      </c>
      <c r="F77">
        <v>2304758</v>
      </c>
      <c r="G77" t="s">
        <v>402</v>
      </c>
      <c r="H77" t="s">
        <v>523</v>
      </c>
      <c r="I77">
        <v>14</v>
      </c>
      <c r="J77" t="b">
        <v>1</v>
      </c>
      <c r="K77">
        <v>1.75</v>
      </c>
      <c r="L77">
        <v>2304759</v>
      </c>
      <c r="M77" t="s">
        <v>404</v>
      </c>
      <c r="N77">
        <v>8</v>
      </c>
      <c r="O77">
        <v>9</v>
      </c>
      <c r="P77"/>
      <c r="Q77">
        <v>155687</v>
      </c>
      <c r="R77">
        <v>2</v>
      </c>
      <c r="S77" t="s">
        <v>40</v>
      </c>
      <c r="T77">
        <v>261</v>
      </c>
      <c r="U77">
        <v>147664</v>
      </c>
      <c r="V77">
        <v>48</v>
      </c>
      <c r="W77" t="s">
        <v>40</v>
      </c>
      <c r="X77">
        <v>261</v>
      </c>
      <c r="Y77" t="s">
        <v>377</v>
      </c>
      <c r="Z77" t="s">
        <v>378</v>
      </c>
      <c r="AA77" t="s">
        <v>384</v>
      </c>
      <c r="AB77" t="s">
        <v>384</v>
      </c>
      <c r="AC77" t="s">
        <v>41</v>
      </c>
      <c r="AD77" t="s">
        <v>41</v>
      </c>
      <c r="AE77" t="s">
        <v>41</v>
      </c>
      <c r="AK77"/>
    </row>
    <row r="78" spans="1:37" x14ac:dyDescent="0.25">
      <c r="A78" t="s">
        <v>42</v>
      </c>
      <c r="B78">
        <v>45899.665046296293</v>
      </c>
      <c r="C78">
        <v>92222</v>
      </c>
      <c r="D78" t="s">
        <v>459</v>
      </c>
      <c r="E78">
        <v>4491375</v>
      </c>
      <c r="F78">
        <v>105448</v>
      </c>
      <c r="G78" t="s">
        <v>405</v>
      </c>
      <c r="H78" t="s">
        <v>524</v>
      </c>
      <c r="I78">
        <v>7.5</v>
      </c>
      <c r="J78" t="b">
        <v>0</v>
      </c>
      <c r="K78">
        <v>0.625</v>
      </c>
      <c r="L78">
        <v>2106222</v>
      </c>
      <c r="M78" t="s">
        <v>407</v>
      </c>
      <c r="N78">
        <v>12</v>
      </c>
      <c r="O78">
        <v>12</v>
      </c>
      <c r="P78"/>
      <c r="Q78">
        <v>134971</v>
      </c>
      <c r="R78">
        <v>2</v>
      </c>
      <c r="S78" t="s">
        <v>40</v>
      </c>
      <c r="T78">
        <v>261</v>
      </c>
      <c r="U78">
        <v>147664</v>
      </c>
      <c r="V78">
        <v>48</v>
      </c>
      <c r="W78" t="s">
        <v>40</v>
      </c>
      <c r="X78">
        <v>261</v>
      </c>
      <c r="Y78" t="s">
        <v>377</v>
      </c>
      <c r="Z78" t="s">
        <v>378</v>
      </c>
      <c r="AA78" t="s">
        <v>525</v>
      </c>
      <c r="AB78" t="s">
        <v>384</v>
      </c>
      <c r="AC78" t="s">
        <v>525</v>
      </c>
      <c r="AD78" t="s">
        <v>400</v>
      </c>
      <c r="AE78" t="s">
        <v>41</v>
      </c>
      <c r="AK78"/>
    </row>
    <row r="79" spans="1:37" x14ac:dyDescent="0.25">
      <c r="A79" t="s">
        <v>42</v>
      </c>
      <c r="B79">
        <v>45899.669317129628</v>
      </c>
      <c r="C79">
        <v>92222</v>
      </c>
      <c r="D79" t="s">
        <v>459</v>
      </c>
      <c r="E79">
        <v>4491375</v>
      </c>
      <c r="F79">
        <v>105448</v>
      </c>
      <c r="G79" t="s">
        <v>405</v>
      </c>
      <c r="H79" t="s">
        <v>524</v>
      </c>
      <c r="I79">
        <v>7.5</v>
      </c>
      <c r="J79" t="b">
        <v>1</v>
      </c>
      <c r="K79">
        <v>0.625</v>
      </c>
      <c r="L79">
        <v>2106222</v>
      </c>
      <c r="M79" t="s">
        <v>407</v>
      </c>
      <c r="N79">
        <v>12</v>
      </c>
      <c r="O79">
        <v>12</v>
      </c>
      <c r="P79"/>
      <c r="Q79">
        <v>134971</v>
      </c>
      <c r="R79">
        <v>2</v>
      </c>
      <c r="S79" t="s">
        <v>40</v>
      </c>
      <c r="T79">
        <v>261</v>
      </c>
      <c r="U79">
        <v>147664</v>
      </c>
      <c r="V79">
        <v>48</v>
      </c>
      <c r="W79" t="s">
        <v>40</v>
      </c>
      <c r="X79">
        <v>261</v>
      </c>
      <c r="Y79" t="s">
        <v>377</v>
      </c>
      <c r="Z79" t="s">
        <v>378</v>
      </c>
      <c r="AA79" t="s">
        <v>379</v>
      </c>
      <c r="AB79" t="s">
        <v>400</v>
      </c>
      <c r="AC79" t="s">
        <v>379</v>
      </c>
      <c r="AD79" t="s">
        <v>384</v>
      </c>
      <c r="AE79" t="s">
        <v>41</v>
      </c>
      <c r="AK79"/>
    </row>
    <row r="80" spans="1:37" x14ac:dyDescent="0.25">
      <c r="A80" t="s">
        <v>42</v>
      </c>
      <c r="B80">
        <v>45899.67255787037</v>
      </c>
      <c r="C80">
        <v>92222</v>
      </c>
      <c r="D80" t="s">
        <v>459</v>
      </c>
      <c r="E80">
        <v>4491375</v>
      </c>
      <c r="F80">
        <v>105448</v>
      </c>
      <c r="G80" t="s">
        <v>405</v>
      </c>
      <c r="H80" t="s">
        <v>524</v>
      </c>
      <c r="I80">
        <v>7.5</v>
      </c>
      <c r="J80" t="b">
        <v>1</v>
      </c>
      <c r="K80">
        <v>0.625</v>
      </c>
      <c r="L80">
        <v>2106222</v>
      </c>
      <c r="M80" t="s">
        <v>407</v>
      </c>
      <c r="N80">
        <v>12</v>
      </c>
      <c r="O80">
        <v>12</v>
      </c>
      <c r="P80"/>
      <c r="Q80">
        <v>134971</v>
      </c>
      <c r="R80">
        <v>2</v>
      </c>
      <c r="S80" t="s">
        <v>40</v>
      </c>
      <c r="T80">
        <v>261</v>
      </c>
      <c r="U80">
        <v>147664</v>
      </c>
      <c r="V80">
        <v>48</v>
      </c>
      <c r="W80" t="s">
        <v>40</v>
      </c>
      <c r="X80">
        <v>261</v>
      </c>
      <c r="Y80" t="s">
        <v>377</v>
      </c>
      <c r="Z80" t="s">
        <v>378</v>
      </c>
      <c r="AA80" t="s">
        <v>379</v>
      </c>
      <c r="AB80" t="s">
        <v>400</v>
      </c>
      <c r="AC80" t="s">
        <v>379</v>
      </c>
      <c r="AD80" t="s">
        <v>384</v>
      </c>
      <c r="AE80" t="s">
        <v>41</v>
      </c>
      <c r="AK80"/>
    </row>
    <row r="81" spans="1:38" x14ac:dyDescent="0.25">
      <c r="A81" t="s">
        <v>37</v>
      </c>
      <c r="B81">
        <v>45900.43409722222</v>
      </c>
      <c r="C81">
        <v>92223</v>
      </c>
      <c r="D81" t="s">
        <v>401</v>
      </c>
      <c r="E81">
        <v>4491376</v>
      </c>
      <c r="F81">
        <v>105448</v>
      </c>
      <c r="G81" t="s">
        <v>405</v>
      </c>
      <c r="H81" t="s">
        <v>526</v>
      </c>
      <c r="I81">
        <v>7.5</v>
      </c>
      <c r="J81" t="b">
        <v>1</v>
      </c>
      <c r="K81">
        <v>0.625</v>
      </c>
      <c r="L81">
        <v>2106222</v>
      </c>
      <c r="M81" t="s">
        <v>407</v>
      </c>
      <c r="N81">
        <v>12</v>
      </c>
      <c r="O81">
        <v>12</v>
      </c>
      <c r="P81"/>
      <c r="Q81">
        <v>134907</v>
      </c>
      <c r="R81">
        <v>1</v>
      </c>
      <c r="S81" t="s">
        <v>40</v>
      </c>
      <c r="T81">
        <v>261</v>
      </c>
      <c r="U81">
        <v>147664</v>
      </c>
      <c r="V81">
        <v>24</v>
      </c>
      <c r="W81" t="s">
        <v>40</v>
      </c>
      <c r="X81">
        <v>261</v>
      </c>
      <c r="Y81" t="s">
        <v>377</v>
      </c>
      <c r="Z81" t="s">
        <v>378</v>
      </c>
      <c r="AA81" t="s">
        <v>525</v>
      </c>
      <c r="AB81" t="s">
        <v>400</v>
      </c>
      <c r="AC81" t="s">
        <v>525</v>
      </c>
      <c r="AD81" t="s">
        <v>384</v>
      </c>
      <c r="AE81" t="s">
        <v>41</v>
      </c>
      <c r="AK81"/>
    </row>
    <row r="82" spans="1:38" x14ac:dyDescent="0.25">
      <c r="A82" t="s">
        <v>47</v>
      </c>
      <c r="B82">
        <v>45901.369131944448</v>
      </c>
      <c r="C82">
        <v>91531</v>
      </c>
      <c r="D82" t="s">
        <v>373</v>
      </c>
      <c r="E82">
        <v>4488145</v>
      </c>
      <c r="F82">
        <v>152997</v>
      </c>
      <c r="G82" t="s">
        <v>512</v>
      </c>
      <c r="H82" t="s">
        <v>430</v>
      </c>
      <c r="I82">
        <v>5</v>
      </c>
      <c r="J82" t="b">
        <v>1</v>
      </c>
      <c r="K82">
        <v>2.7472527472527472E-2</v>
      </c>
      <c r="L82">
        <v>152999</v>
      </c>
      <c r="M82" t="s">
        <v>513</v>
      </c>
      <c r="N82">
        <v>182</v>
      </c>
      <c r="O82">
        <v>180</v>
      </c>
      <c r="P82"/>
      <c r="Q82">
        <v>134974</v>
      </c>
      <c r="R82">
        <v>1</v>
      </c>
      <c r="S82" t="s">
        <v>40</v>
      </c>
      <c r="T82">
        <v>261</v>
      </c>
      <c r="W82"/>
      <c r="Y82" t="s">
        <v>377</v>
      </c>
      <c r="Z82" t="s">
        <v>378</v>
      </c>
      <c r="AA82" t="s">
        <v>379</v>
      </c>
      <c r="AB82" t="s">
        <v>527</v>
      </c>
      <c r="AC82" t="s">
        <v>41</v>
      </c>
      <c r="AD82" t="s">
        <v>41</v>
      </c>
      <c r="AE82" t="s">
        <v>41</v>
      </c>
      <c r="AF82" t="s">
        <v>41</v>
      </c>
      <c r="AG82" t="s">
        <v>41</v>
      </c>
      <c r="AH82" t="s">
        <v>41</v>
      </c>
      <c r="AK82"/>
    </row>
    <row r="83" spans="1:38" x14ac:dyDescent="0.25">
      <c r="A83" t="s">
        <v>37</v>
      </c>
      <c r="B83">
        <v>45901.709652777776</v>
      </c>
      <c r="C83">
        <v>91533</v>
      </c>
      <c r="D83" t="s">
        <v>373</v>
      </c>
      <c r="E83">
        <v>4488146</v>
      </c>
      <c r="F83">
        <v>152997</v>
      </c>
      <c r="G83" t="s">
        <v>512</v>
      </c>
      <c r="H83" t="s">
        <v>528</v>
      </c>
      <c r="I83">
        <v>5</v>
      </c>
      <c r="J83" t="b">
        <v>1</v>
      </c>
      <c r="K83">
        <v>2.0080321285140562E-2</v>
      </c>
      <c r="L83">
        <v>152999</v>
      </c>
      <c r="M83" t="s">
        <v>513</v>
      </c>
      <c r="N83">
        <v>249</v>
      </c>
      <c r="O83">
        <v>234</v>
      </c>
      <c r="P83"/>
      <c r="Q83">
        <v>134974</v>
      </c>
      <c r="R83">
        <v>1</v>
      </c>
      <c r="S83" t="s">
        <v>40</v>
      </c>
      <c r="T83">
        <v>261</v>
      </c>
      <c r="W83"/>
      <c r="Y83" t="s">
        <v>377</v>
      </c>
      <c r="Z83" t="s">
        <v>378</v>
      </c>
      <c r="AA83" t="s">
        <v>379</v>
      </c>
      <c r="AB83" t="s">
        <v>529</v>
      </c>
      <c r="AC83" t="s">
        <v>41</v>
      </c>
      <c r="AD83" t="s">
        <v>41</v>
      </c>
      <c r="AE83" t="s">
        <v>41</v>
      </c>
      <c r="AF83" t="s">
        <v>41</v>
      </c>
      <c r="AG83" t="s">
        <v>41</v>
      </c>
      <c r="AH83" t="s">
        <v>41</v>
      </c>
      <c r="AK83"/>
    </row>
    <row r="84" spans="1:38" x14ac:dyDescent="0.25">
      <c r="A84" t="s">
        <v>42</v>
      </c>
      <c r="B84">
        <v>45901.739062499997</v>
      </c>
      <c r="C84">
        <v>92225</v>
      </c>
      <c r="D84" t="s">
        <v>373</v>
      </c>
      <c r="E84">
        <v>4491378</v>
      </c>
      <c r="F84">
        <v>105448</v>
      </c>
      <c r="G84" t="s">
        <v>405</v>
      </c>
      <c r="H84" t="s">
        <v>530</v>
      </c>
      <c r="I84">
        <v>7.5</v>
      </c>
      <c r="J84" t="b">
        <v>1</v>
      </c>
      <c r="K84">
        <v>0.625</v>
      </c>
      <c r="L84">
        <v>2106222</v>
      </c>
      <c r="M84" t="s">
        <v>407</v>
      </c>
      <c r="N84">
        <v>12</v>
      </c>
      <c r="O84">
        <v>12</v>
      </c>
      <c r="P84"/>
      <c r="Q84">
        <v>134971</v>
      </c>
      <c r="R84">
        <v>2</v>
      </c>
      <c r="S84" t="s">
        <v>40</v>
      </c>
      <c r="T84">
        <v>261</v>
      </c>
      <c r="U84">
        <v>147664</v>
      </c>
      <c r="V84">
        <v>48</v>
      </c>
      <c r="W84" t="s">
        <v>40</v>
      </c>
      <c r="X84">
        <v>261</v>
      </c>
      <c r="Y84" t="s">
        <v>377</v>
      </c>
      <c r="Z84" t="s">
        <v>378</v>
      </c>
      <c r="AA84" t="s">
        <v>379</v>
      </c>
      <c r="AB84" t="s">
        <v>400</v>
      </c>
      <c r="AC84" t="s">
        <v>379</v>
      </c>
      <c r="AD84" t="s">
        <v>384</v>
      </c>
      <c r="AE84" t="s">
        <v>41</v>
      </c>
      <c r="AF84" t="s">
        <v>41</v>
      </c>
      <c r="AG84" t="s">
        <v>41</v>
      </c>
      <c r="AH84" t="s">
        <v>41</v>
      </c>
      <c r="AK84"/>
    </row>
    <row r="85" spans="1:38" x14ac:dyDescent="0.25">
      <c r="A85" t="s">
        <v>44</v>
      </c>
      <c r="B85">
        <v>45901.912534722222</v>
      </c>
      <c r="C85">
        <v>91703</v>
      </c>
      <c r="D85" t="s">
        <v>531</v>
      </c>
      <c r="E85">
        <v>4481471</v>
      </c>
      <c r="F85">
        <v>2304758</v>
      </c>
      <c r="G85" t="s">
        <v>402</v>
      </c>
      <c r="H85" t="s">
        <v>532</v>
      </c>
      <c r="I85">
        <v>14</v>
      </c>
      <c r="J85" t="b">
        <v>1</v>
      </c>
      <c r="K85">
        <v>1.75</v>
      </c>
      <c r="L85">
        <v>2304759</v>
      </c>
      <c r="M85" t="s">
        <v>404</v>
      </c>
      <c r="N85">
        <v>8</v>
      </c>
      <c r="O85">
        <v>8</v>
      </c>
      <c r="P85"/>
      <c r="Q85">
        <v>155687</v>
      </c>
      <c r="R85">
        <v>2</v>
      </c>
      <c r="S85" t="s">
        <v>40</v>
      </c>
      <c r="T85">
        <v>261</v>
      </c>
      <c r="U85">
        <v>147664</v>
      </c>
      <c r="V85">
        <v>48</v>
      </c>
      <c r="W85" t="s">
        <v>40</v>
      </c>
      <c r="X85">
        <v>261</v>
      </c>
      <c r="Y85" t="s">
        <v>377</v>
      </c>
      <c r="Z85" t="s">
        <v>378</v>
      </c>
      <c r="AA85" t="s">
        <v>384</v>
      </c>
      <c r="AB85" t="s">
        <v>384</v>
      </c>
      <c r="AC85" t="s">
        <v>41</v>
      </c>
      <c r="AD85" t="s">
        <v>41</v>
      </c>
      <c r="AE85" t="s">
        <v>41</v>
      </c>
      <c r="AF85" t="s">
        <v>41</v>
      </c>
      <c r="AG85" t="s">
        <v>41</v>
      </c>
      <c r="AH85" t="s">
        <v>41</v>
      </c>
      <c r="AK85"/>
    </row>
    <row r="86" spans="1:38" x14ac:dyDescent="0.25">
      <c r="A86" t="s">
        <v>42</v>
      </c>
      <c r="B86">
        <v>45902.053368055553</v>
      </c>
      <c r="C86">
        <v>92226</v>
      </c>
      <c r="D86" t="s">
        <v>531</v>
      </c>
      <c r="E86">
        <v>4491379</v>
      </c>
      <c r="F86">
        <v>105448</v>
      </c>
      <c r="G86" t="s">
        <v>405</v>
      </c>
      <c r="H86" t="s">
        <v>533</v>
      </c>
      <c r="I86">
        <v>7.5</v>
      </c>
      <c r="J86" t="b">
        <v>1</v>
      </c>
      <c r="K86">
        <v>0.625</v>
      </c>
      <c r="L86">
        <v>2106222</v>
      </c>
      <c r="M86" t="s">
        <v>407</v>
      </c>
      <c r="N86">
        <v>12</v>
      </c>
      <c r="O86">
        <v>12</v>
      </c>
      <c r="P86"/>
      <c r="Q86">
        <v>143539</v>
      </c>
      <c r="R86">
        <v>2</v>
      </c>
      <c r="S86" t="s">
        <v>40</v>
      </c>
      <c r="T86">
        <v>261</v>
      </c>
      <c r="U86">
        <v>147664</v>
      </c>
      <c r="V86">
        <v>48</v>
      </c>
      <c r="W86" t="s">
        <v>40</v>
      </c>
      <c r="X86">
        <v>261</v>
      </c>
      <c r="Y86" t="s">
        <v>377</v>
      </c>
      <c r="Z86" t="s">
        <v>378</v>
      </c>
      <c r="AA86" t="s">
        <v>379</v>
      </c>
      <c r="AB86" t="s">
        <v>400</v>
      </c>
      <c r="AC86" t="s">
        <v>379</v>
      </c>
      <c r="AD86" t="s">
        <v>384</v>
      </c>
      <c r="AE86" t="s">
        <v>41</v>
      </c>
      <c r="AF86" t="s">
        <v>41</v>
      </c>
      <c r="AG86" t="s">
        <v>41</v>
      </c>
      <c r="AH86" t="s">
        <v>41</v>
      </c>
      <c r="AK86"/>
    </row>
    <row r="87" spans="1:38" x14ac:dyDescent="0.25">
      <c r="A87" t="s">
        <v>45</v>
      </c>
      <c r="B87">
        <v>45902.057118055556</v>
      </c>
      <c r="C87">
        <v>91534</v>
      </c>
      <c r="D87" t="s">
        <v>531</v>
      </c>
      <c r="E87">
        <v>4494893</v>
      </c>
      <c r="F87">
        <v>2310260</v>
      </c>
      <c r="G87" t="s">
        <v>534</v>
      </c>
      <c r="H87" t="s">
        <v>483</v>
      </c>
      <c r="I87">
        <v>5</v>
      </c>
      <c r="J87" t="b">
        <v>1</v>
      </c>
      <c r="K87">
        <v>2.1367521367521368E-2</v>
      </c>
      <c r="L87">
        <v>2310298</v>
      </c>
      <c r="M87" t="s">
        <v>535</v>
      </c>
      <c r="N87">
        <v>234</v>
      </c>
      <c r="O87">
        <v>252</v>
      </c>
      <c r="P87"/>
      <c r="Q87">
        <v>134974</v>
      </c>
      <c r="R87">
        <v>1</v>
      </c>
      <c r="S87" t="s">
        <v>40</v>
      </c>
      <c r="T87">
        <v>261</v>
      </c>
      <c r="W87"/>
      <c r="Y87" t="s">
        <v>49</v>
      </c>
      <c r="Z87" t="s">
        <v>378</v>
      </c>
      <c r="AA87" t="s">
        <v>379</v>
      </c>
      <c r="AB87" t="s">
        <v>536</v>
      </c>
      <c r="AC87" t="s">
        <v>41</v>
      </c>
      <c r="AD87" t="s">
        <v>41</v>
      </c>
      <c r="AE87" t="s">
        <v>41</v>
      </c>
      <c r="AF87" t="s">
        <v>41</v>
      </c>
      <c r="AG87" t="s">
        <v>41</v>
      </c>
      <c r="AH87" t="s">
        <v>41</v>
      </c>
      <c r="AK87"/>
    </row>
    <row r="88" spans="1:38" x14ac:dyDescent="0.25">
      <c r="A88" t="s">
        <v>48</v>
      </c>
      <c r="B88">
        <v>45902.219039351854</v>
      </c>
      <c r="C88">
        <v>90087</v>
      </c>
      <c r="D88" t="s">
        <v>531</v>
      </c>
      <c r="E88">
        <v>4494192</v>
      </c>
      <c r="F88">
        <v>2132449</v>
      </c>
      <c r="G88" t="s">
        <v>537</v>
      </c>
      <c r="H88" t="s">
        <v>436</v>
      </c>
      <c r="I88">
        <v>10</v>
      </c>
      <c r="J88" t="b">
        <v>1</v>
      </c>
      <c r="K88">
        <v>4.3290043290043288E-2</v>
      </c>
      <c r="L88">
        <v>2135441</v>
      </c>
      <c r="M88" t="s">
        <v>538</v>
      </c>
      <c r="N88">
        <v>231</v>
      </c>
      <c r="O88">
        <v>300</v>
      </c>
      <c r="P88"/>
      <c r="Q88">
        <v>134974</v>
      </c>
      <c r="R88">
        <v>1</v>
      </c>
      <c r="S88" t="s">
        <v>40</v>
      </c>
      <c r="T88">
        <v>261</v>
      </c>
      <c r="W88"/>
      <c r="Y88" t="s">
        <v>377</v>
      </c>
      <c r="Z88" t="s">
        <v>378</v>
      </c>
      <c r="AA88" t="s">
        <v>379</v>
      </c>
      <c r="AB88" t="s">
        <v>539</v>
      </c>
      <c r="AC88" t="s">
        <v>41</v>
      </c>
      <c r="AD88" t="s">
        <v>41</v>
      </c>
      <c r="AE88" t="s">
        <v>41</v>
      </c>
      <c r="AF88" t="s">
        <v>41</v>
      </c>
      <c r="AG88" t="s">
        <v>41</v>
      </c>
      <c r="AH88" t="s">
        <v>41</v>
      </c>
      <c r="AK88"/>
    </row>
    <row r="89" spans="1:38" x14ac:dyDescent="0.25">
      <c r="A89" t="s">
        <v>42</v>
      </c>
      <c r="B89">
        <v>45902.630185185182</v>
      </c>
      <c r="C89">
        <v>91535</v>
      </c>
      <c r="D89" t="s">
        <v>373</v>
      </c>
      <c r="E89">
        <v>4487896</v>
      </c>
      <c r="F89">
        <v>2105008</v>
      </c>
      <c r="G89" t="s">
        <v>540</v>
      </c>
      <c r="H89" t="s">
        <v>436</v>
      </c>
      <c r="I89">
        <v>2.5</v>
      </c>
      <c r="J89" t="b">
        <v>1</v>
      </c>
      <c r="K89">
        <v>1.0964912280701754E-2</v>
      </c>
      <c r="L89">
        <v>2106336</v>
      </c>
      <c r="M89" t="s">
        <v>541</v>
      </c>
      <c r="N89">
        <v>228</v>
      </c>
      <c r="O89">
        <v>223</v>
      </c>
      <c r="P89"/>
      <c r="Q89">
        <v>134975</v>
      </c>
      <c r="R89">
        <v>2</v>
      </c>
      <c r="S89" t="s">
        <v>40</v>
      </c>
      <c r="T89">
        <v>261</v>
      </c>
      <c r="W89"/>
      <c r="Y89" t="s">
        <v>377</v>
      </c>
      <c r="Z89" t="s">
        <v>378</v>
      </c>
      <c r="AA89" t="s">
        <v>379</v>
      </c>
      <c r="AB89" t="s">
        <v>542</v>
      </c>
      <c r="AC89" t="s">
        <v>379</v>
      </c>
      <c r="AD89" t="s">
        <v>543</v>
      </c>
      <c r="AE89" t="s">
        <v>41</v>
      </c>
      <c r="AF89" t="s">
        <v>41</v>
      </c>
      <c r="AG89" t="s">
        <v>41</v>
      </c>
      <c r="AH89" t="s">
        <v>41</v>
      </c>
      <c r="AK89"/>
    </row>
    <row r="90" spans="1:38" x14ac:dyDescent="0.25">
      <c r="A90" t="s">
        <v>38</v>
      </c>
      <c r="B90">
        <v>45902.649548611109</v>
      </c>
      <c r="C90">
        <v>92320</v>
      </c>
      <c r="D90" t="s">
        <v>373</v>
      </c>
      <c r="E90">
        <v>4481484</v>
      </c>
      <c r="F90">
        <v>2304758</v>
      </c>
      <c r="G90" t="s">
        <v>402</v>
      </c>
      <c r="H90" t="s">
        <v>544</v>
      </c>
      <c r="I90">
        <v>14</v>
      </c>
      <c r="J90" t="b">
        <v>1</v>
      </c>
      <c r="K90">
        <v>1.75</v>
      </c>
      <c r="L90">
        <v>2304759</v>
      </c>
      <c r="M90" t="s">
        <v>404</v>
      </c>
      <c r="N90">
        <v>8</v>
      </c>
      <c r="O90">
        <v>8</v>
      </c>
      <c r="P90"/>
      <c r="Q90">
        <v>155687</v>
      </c>
      <c r="R90">
        <v>1</v>
      </c>
      <c r="S90" t="s">
        <v>40</v>
      </c>
      <c r="T90">
        <v>261</v>
      </c>
      <c r="U90">
        <v>147664</v>
      </c>
      <c r="V90">
        <v>48</v>
      </c>
      <c r="W90" t="s">
        <v>40</v>
      </c>
      <c r="X90">
        <v>261</v>
      </c>
      <c r="Y90" t="s">
        <v>377</v>
      </c>
      <c r="Z90" t="s">
        <v>378</v>
      </c>
      <c r="AA90" t="s">
        <v>384</v>
      </c>
      <c r="AB90" t="s">
        <v>384</v>
      </c>
      <c r="AC90" t="s">
        <v>41</v>
      </c>
      <c r="AD90" t="s">
        <v>41</v>
      </c>
      <c r="AE90" t="s">
        <v>41</v>
      </c>
      <c r="AF90" t="s">
        <v>41</v>
      </c>
      <c r="AG90" t="s">
        <v>41</v>
      </c>
      <c r="AH90" t="s">
        <v>41</v>
      </c>
      <c r="AI90">
        <v>155687</v>
      </c>
      <c r="AJ90">
        <v>1</v>
      </c>
      <c r="AK90">
        <v>100</v>
      </c>
      <c r="AL90">
        <v>261</v>
      </c>
    </row>
    <row r="91" spans="1:38" x14ac:dyDescent="0.25">
      <c r="A91" t="s">
        <v>45</v>
      </c>
      <c r="B91">
        <v>45902.969224537039</v>
      </c>
      <c r="C91">
        <v>91536</v>
      </c>
      <c r="D91" t="s">
        <v>545</v>
      </c>
      <c r="E91">
        <v>4494527</v>
      </c>
      <c r="F91">
        <v>2307841</v>
      </c>
      <c r="G91" t="s">
        <v>546</v>
      </c>
      <c r="H91" t="s">
        <v>436</v>
      </c>
      <c r="I91">
        <v>15</v>
      </c>
      <c r="J91" t="b">
        <v>1</v>
      </c>
      <c r="K91">
        <v>7.0754716981132074E-2</v>
      </c>
      <c r="L91">
        <v>2307842</v>
      </c>
      <c r="M91" t="s">
        <v>547</v>
      </c>
      <c r="N91">
        <v>212</v>
      </c>
      <c r="O91">
        <v>212</v>
      </c>
      <c r="P91"/>
      <c r="Q91">
        <v>134976</v>
      </c>
      <c r="R91">
        <v>1</v>
      </c>
      <c r="S91" t="s">
        <v>40</v>
      </c>
      <c r="T91">
        <v>261</v>
      </c>
      <c r="W91"/>
      <c r="Y91" t="s">
        <v>377</v>
      </c>
      <c r="Z91" t="s">
        <v>378</v>
      </c>
      <c r="AA91" t="s">
        <v>379</v>
      </c>
      <c r="AB91" t="s">
        <v>548</v>
      </c>
      <c r="AC91" t="s">
        <v>41</v>
      </c>
      <c r="AD91" t="s">
        <v>41</v>
      </c>
      <c r="AE91" t="s">
        <v>41</v>
      </c>
      <c r="AF91" t="s">
        <v>41</v>
      </c>
      <c r="AG91" t="s">
        <v>41</v>
      </c>
      <c r="AH91" t="s">
        <v>41</v>
      </c>
      <c r="AK91"/>
    </row>
    <row r="92" spans="1:38" x14ac:dyDescent="0.25">
      <c r="A92" t="s">
        <v>39</v>
      </c>
      <c r="B92">
        <v>45902.972083333334</v>
      </c>
      <c r="C92">
        <v>90808</v>
      </c>
      <c r="D92" t="s">
        <v>545</v>
      </c>
      <c r="E92">
        <v>4491151</v>
      </c>
      <c r="F92">
        <v>2104671</v>
      </c>
      <c r="G92" t="s">
        <v>549</v>
      </c>
      <c r="H92" t="s">
        <v>375</v>
      </c>
      <c r="I92">
        <v>33</v>
      </c>
      <c r="J92" t="b">
        <v>1</v>
      </c>
      <c r="K92">
        <v>0.22916666666666666</v>
      </c>
      <c r="L92">
        <v>2106007</v>
      </c>
      <c r="M92" t="s">
        <v>550</v>
      </c>
      <c r="N92">
        <v>144</v>
      </c>
      <c r="O92">
        <v>189</v>
      </c>
      <c r="P92"/>
      <c r="Q92">
        <v>0</v>
      </c>
      <c r="R92">
        <v>0</v>
      </c>
      <c r="S92" t="s">
        <v>40</v>
      </c>
      <c r="T92">
        <v>261</v>
      </c>
      <c r="W92"/>
      <c r="Y92" t="s">
        <v>551</v>
      </c>
      <c r="Z92" t="s">
        <v>378</v>
      </c>
      <c r="AA92" t="s">
        <v>379</v>
      </c>
      <c r="AB92" t="s">
        <v>552</v>
      </c>
      <c r="AC92" t="s">
        <v>41</v>
      </c>
      <c r="AD92" t="s">
        <v>41</v>
      </c>
      <c r="AE92" t="s">
        <v>41</v>
      </c>
      <c r="AF92" t="s">
        <v>41</v>
      </c>
      <c r="AG92" t="s">
        <v>41</v>
      </c>
      <c r="AH92" t="s">
        <v>41</v>
      </c>
      <c r="AK92"/>
    </row>
    <row r="93" spans="1:38" x14ac:dyDescent="0.25">
      <c r="A93" t="s">
        <v>44</v>
      </c>
      <c r="B93">
        <v>45902.97997685185</v>
      </c>
      <c r="C93">
        <v>91147</v>
      </c>
      <c r="D93" t="s">
        <v>545</v>
      </c>
      <c r="E93">
        <v>4481480</v>
      </c>
      <c r="F93">
        <v>2304758</v>
      </c>
      <c r="G93" t="s">
        <v>402</v>
      </c>
      <c r="H93" t="s">
        <v>553</v>
      </c>
      <c r="I93">
        <v>14</v>
      </c>
      <c r="J93" t="b">
        <v>1</v>
      </c>
      <c r="K93">
        <v>1.75</v>
      </c>
      <c r="L93">
        <v>2304759</v>
      </c>
      <c r="M93" t="s">
        <v>404</v>
      </c>
      <c r="N93">
        <v>8</v>
      </c>
      <c r="O93">
        <v>8</v>
      </c>
      <c r="P93"/>
      <c r="Q93">
        <v>155687</v>
      </c>
      <c r="R93">
        <v>2</v>
      </c>
      <c r="S93" t="s">
        <v>40</v>
      </c>
      <c r="T93">
        <v>261</v>
      </c>
      <c r="U93">
        <v>147664</v>
      </c>
      <c r="V93">
        <v>48</v>
      </c>
      <c r="W93" t="s">
        <v>40</v>
      </c>
      <c r="X93">
        <v>261</v>
      </c>
      <c r="Y93" t="s">
        <v>377</v>
      </c>
      <c r="Z93" t="s">
        <v>378</v>
      </c>
      <c r="AA93" t="s">
        <v>384</v>
      </c>
      <c r="AB93" t="s">
        <v>384</v>
      </c>
      <c r="AC93" t="s">
        <v>41</v>
      </c>
      <c r="AD93" t="s">
        <v>41</v>
      </c>
      <c r="AE93" t="s">
        <v>41</v>
      </c>
      <c r="AF93" t="s">
        <v>41</v>
      </c>
      <c r="AG93" t="s">
        <v>41</v>
      </c>
      <c r="AH93" t="s">
        <v>41</v>
      </c>
      <c r="AK93"/>
    </row>
    <row r="94" spans="1:38" x14ac:dyDescent="0.25">
      <c r="A94" t="s">
        <v>42</v>
      </c>
      <c r="B94">
        <v>45903.029629629629</v>
      </c>
      <c r="C94">
        <v>92227</v>
      </c>
      <c r="D94" t="s">
        <v>545</v>
      </c>
      <c r="E94">
        <v>4491380</v>
      </c>
      <c r="F94">
        <v>105448</v>
      </c>
      <c r="G94" t="s">
        <v>405</v>
      </c>
      <c r="H94" t="s">
        <v>554</v>
      </c>
      <c r="I94">
        <v>7.5</v>
      </c>
      <c r="J94" t="b">
        <v>1</v>
      </c>
      <c r="K94">
        <v>0.625</v>
      </c>
      <c r="L94">
        <v>2106222</v>
      </c>
      <c r="M94" t="s">
        <v>407</v>
      </c>
      <c r="N94">
        <v>12</v>
      </c>
      <c r="O94">
        <v>12</v>
      </c>
      <c r="P94"/>
      <c r="Q94">
        <v>0</v>
      </c>
      <c r="R94">
        <v>0</v>
      </c>
      <c r="S94" t="s">
        <v>40</v>
      </c>
      <c r="T94">
        <v>261</v>
      </c>
      <c r="W94"/>
      <c r="Y94" t="s">
        <v>377</v>
      </c>
      <c r="Z94" t="s">
        <v>378</v>
      </c>
      <c r="AA94" t="s">
        <v>379</v>
      </c>
      <c r="AB94" t="s">
        <v>409</v>
      </c>
      <c r="AC94" t="s">
        <v>41</v>
      </c>
      <c r="AD94" t="s">
        <v>41</v>
      </c>
      <c r="AE94" t="s">
        <v>41</v>
      </c>
      <c r="AF94" t="s">
        <v>41</v>
      </c>
      <c r="AG94" t="s">
        <v>41</v>
      </c>
      <c r="AH94" t="s">
        <v>41</v>
      </c>
      <c r="AK94"/>
    </row>
    <row r="95" spans="1:38" x14ac:dyDescent="0.25">
      <c r="A95" t="s">
        <v>47</v>
      </c>
      <c r="B95">
        <v>45903.031273148146</v>
      </c>
      <c r="C95">
        <v>90809</v>
      </c>
      <c r="D95" t="s">
        <v>545</v>
      </c>
      <c r="E95">
        <v>4491151</v>
      </c>
      <c r="F95">
        <v>2104671</v>
      </c>
      <c r="G95" t="s">
        <v>549</v>
      </c>
      <c r="H95" t="s">
        <v>375</v>
      </c>
      <c r="I95">
        <v>33</v>
      </c>
      <c r="J95" t="b">
        <v>1</v>
      </c>
      <c r="K95">
        <v>0.56896551724137934</v>
      </c>
      <c r="L95">
        <v>2106007</v>
      </c>
      <c r="M95" t="s">
        <v>550</v>
      </c>
      <c r="N95">
        <v>58</v>
      </c>
      <c r="O95">
        <v>58</v>
      </c>
      <c r="P95"/>
      <c r="Q95">
        <v>0</v>
      </c>
      <c r="R95">
        <v>0</v>
      </c>
      <c r="S95" t="s">
        <v>40</v>
      </c>
      <c r="T95">
        <v>261</v>
      </c>
      <c r="W95"/>
      <c r="Y95" t="s">
        <v>377</v>
      </c>
      <c r="Z95" t="s">
        <v>378</v>
      </c>
      <c r="AA95" t="s">
        <v>379</v>
      </c>
      <c r="AB95" t="s">
        <v>555</v>
      </c>
      <c r="AC95" t="s">
        <v>41</v>
      </c>
      <c r="AD95" t="s">
        <v>41</v>
      </c>
      <c r="AE95" t="s">
        <v>41</v>
      </c>
      <c r="AF95" t="s">
        <v>41</v>
      </c>
      <c r="AG95" t="s">
        <v>41</v>
      </c>
      <c r="AH95" t="s">
        <v>41</v>
      </c>
      <c r="AK95"/>
    </row>
    <row r="96" spans="1:38" x14ac:dyDescent="0.25">
      <c r="A96" t="s">
        <v>48</v>
      </c>
      <c r="B96">
        <v>45903.099976851852</v>
      </c>
      <c r="C96">
        <v>92131</v>
      </c>
      <c r="D96" t="s">
        <v>545</v>
      </c>
      <c r="E96">
        <v>4495969</v>
      </c>
      <c r="F96">
        <v>2104879</v>
      </c>
      <c r="G96" t="s">
        <v>556</v>
      </c>
      <c r="H96" t="s">
        <v>557</v>
      </c>
      <c r="I96">
        <v>10</v>
      </c>
      <c r="J96" t="b">
        <v>1</v>
      </c>
      <c r="K96">
        <v>1.1111111111111112</v>
      </c>
      <c r="L96">
        <v>2106199</v>
      </c>
      <c r="M96" t="s">
        <v>558</v>
      </c>
      <c r="N96">
        <v>9</v>
      </c>
      <c r="O96">
        <v>9</v>
      </c>
      <c r="P96"/>
      <c r="Q96">
        <v>134971</v>
      </c>
      <c r="R96">
        <v>2</v>
      </c>
      <c r="S96" t="s">
        <v>40</v>
      </c>
      <c r="T96">
        <v>261</v>
      </c>
      <c r="U96">
        <v>147664</v>
      </c>
      <c r="V96">
        <v>48</v>
      </c>
      <c r="W96" t="s">
        <v>40</v>
      </c>
      <c r="X96">
        <v>261</v>
      </c>
      <c r="Y96" t="s">
        <v>377</v>
      </c>
      <c r="Z96" t="s">
        <v>378</v>
      </c>
      <c r="AA96" t="s">
        <v>379</v>
      </c>
      <c r="AB96" t="s">
        <v>384</v>
      </c>
      <c r="AC96" t="s">
        <v>379</v>
      </c>
      <c r="AD96" t="s">
        <v>559</v>
      </c>
      <c r="AE96" t="s">
        <v>41</v>
      </c>
      <c r="AF96" t="s">
        <v>41</v>
      </c>
      <c r="AG96" t="s">
        <v>41</v>
      </c>
      <c r="AH96" t="s">
        <v>41</v>
      </c>
      <c r="AK96"/>
    </row>
    <row r="97" spans="1:37" x14ac:dyDescent="0.25">
      <c r="A97" t="s">
        <v>48</v>
      </c>
      <c r="B97">
        <v>45903.10125</v>
      </c>
      <c r="C97">
        <v>92131</v>
      </c>
      <c r="D97" t="s">
        <v>545</v>
      </c>
      <c r="E97">
        <v>4495968</v>
      </c>
      <c r="F97">
        <v>2104879</v>
      </c>
      <c r="G97" t="s">
        <v>556</v>
      </c>
      <c r="H97" t="s">
        <v>557</v>
      </c>
      <c r="I97">
        <v>10</v>
      </c>
      <c r="J97" t="b">
        <v>1</v>
      </c>
      <c r="K97">
        <v>2.5</v>
      </c>
      <c r="L97">
        <v>2106199</v>
      </c>
      <c r="M97" t="s">
        <v>558</v>
      </c>
      <c r="N97">
        <v>4</v>
      </c>
      <c r="O97">
        <v>4</v>
      </c>
      <c r="P97"/>
      <c r="Q97">
        <v>134971</v>
      </c>
      <c r="R97">
        <v>0</v>
      </c>
      <c r="S97" t="s">
        <v>40</v>
      </c>
      <c r="T97">
        <v>261</v>
      </c>
      <c r="U97">
        <v>147664</v>
      </c>
      <c r="V97">
        <v>0</v>
      </c>
      <c r="W97" t="s">
        <v>40</v>
      </c>
      <c r="X97">
        <v>261</v>
      </c>
      <c r="Y97" t="s">
        <v>377</v>
      </c>
      <c r="Z97" t="s">
        <v>378</v>
      </c>
      <c r="AA97" t="s">
        <v>379</v>
      </c>
      <c r="AB97" t="s">
        <v>384</v>
      </c>
      <c r="AC97" t="s">
        <v>41</v>
      </c>
      <c r="AD97" t="s">
        <v>41</v>
      </c>
      <c r="AE97" t="s">
        <v>41</v>
      </c>
      <c r="AF97" t="s">
        <v>41</v>
      </c>
      <c r="AG97" t="s">
        <v>41</v>
      </c>
      <c r="AH97" t="s">
        <v>41</v>
      </c>
      <c r="AK97"/>
    </row>
    <row r="98" spans="1:37" x14ac:dyDescent="0.25">
      <c r="A98" t="s">
        <v>45</v>
      </c>
      <c r="B98">
        <v>45903.563935185186</v>
      </c>
      <c r="C98">
        <v>90090</v>
      </c>
      <c r="D98" t="s">
        <v>560</v>
      </c>
      <c r="E98">
        <v>4494193</v>
      </c>
      <c r="F98">
        <v>2132449</v>
      </c>
      <c r="G98" t="s">
        <v>537</v>
      </c>
      <c r="H98" t="s">
        <v>483</v>
      </c>
      <c r="I98">
        <v>10</v>
      </c>
      <c r="J98" t="b">
        <v>1</v>
      </c>
      <c r="K98">
        <v>6.8965517241379309E-2</v>
      </c>
      <c r="L98">
        <v>2135441</v>
      </c>
      <c r="M98" t="s">
        <v>538</v>
      </c>
      <c r="N98">
        <v>145</v>
      </c>
      <c r="O98">
        <v>255</v>
      </c>
      <c r="P98"/>
      <c r="Q98">
        <v>134974</v>
      </c>
      <c r="R98">
        <v>1</v>
      </c>
      <c r="S98" t="s">
        <v>40</v>
      </c>
      <c r="T98">
        <v>261</v>
      </c>
      <c r="W98"/>
      <c r="Y98" t="s">
        <v>377</v>
      </c>
      <c r="Z98" t="s">
        <v>378</v>
      </c>
      <c r="AA98" t="s">
        <v>379</v>
      </c>
      <c r="AB98" t="s">
        <v>561</v>
      </c>
      <c r="AC98" t="s">
        <v>41</v>
      </c>
      <c r="AD98" t="s">
        <v>41</v>
      </c>
      <c r="AE98" t="s">
        <v>41</v>
      </c>
      <c r="AF98" t="s">
        <v>41</v>
      </c>
      <c r="AG98" t="s">
        <v>41</v>
      </c>
      <c r="AH98" t="s">
        <v>41</v>
      </c>
      <c r="AK98"/>
    </row>
    <row r="99" spans="1:37" x14ac:dyDescent="0.25">
      <c r="A99" t="s">
        <v>38</v>
      </c>
      <c r="B99">
        <v>45903.567141203705</v>
      </c>
      <c r="C99">
        <v>92321</v>
      </c>
      <c r="D99" t="s">
        <v>560</v>
      </c>
      <c r="E99">
        <v>4481485</v>
      </c>
      <c r="F99">
        <v>2304758</v>
      </c>
      <c r="G99" t="s">
        <v>402</v>
      </c>
      <c r="H99" t="s">
        <v>562</v>
      </c>
      <c r="I99">
        <v>14</v>
      </c>
      <c r="J99" t="b">
        <v>1</v>
      </c>
      <c r="K99">
        <v>1.75</v>
      </c>
      <c r="L99">
        <v>2304759</v>
      </c>
      <c r="M99" t="s">
        <v>404</v>
      </c>
      <c r="N99">
        <v>8</v>
      </c>
      <c r="O99">
        <v>8</v>
      </c>
      <c r="P99"/>
      <c r="Q99">
        <v>155687</v>
      </c>
      <c r="R99">
        <v>2</v>
      </c>
      <c r="S99" t="s">
        <v>40</v>
      </c>
      <c r="T99">
        <v>261</v>
      </c>
      <c r="U99">
        <v>147664</v>
      </c>
      <c r="V99">
        <v>48</v>
      </c>
      <c r="W99" t="s">
        <v>40</v>
      </c>
      <c r="X99">
        <v>261</v>
      </c>
      <c r="Y99" t="s">
        <v>377</v>
      </c>
      <c r="Z99" t="s">
        <v>378</v>
      </c>
      <c r="AA99" t="s">
        <v>384</v>
      </c>
      <c r="AB99" t="s">
        <v>384</v>
      </c>
      <c r="AC99" t="s">
        <v>41</v>
      </c>
      <c r="AD99" t="s">
        <v>41</v>
      </c>
      <c r="AE99" t="s">
        <v>41</v>
      </c>
      <c r="AF99" t="s">
        <v>41</v>
      </c>
      <c r="AG99" t="s">
        <v>41</v>
      </c>
      <c r="AH99" t="s">
        <v>41</v>
      </c>
      <c r="AK99"/>
    </row>
    <row r="100" spans="1:37" x14ac:dyDescent="0.25">
      <c r="A100" t="s">
        <v>42</v>
      </c>
      <c r="B100">
        <v>45903.986238425925</v>
      </c>
      <c r="C100">
        <v>92228</v>
      </c>
      <c r="D100" t="s">
        <v>563</v>
      </c>
      <c r="E100">
        <v>4491381</v>
      </c>
      <c r="F100">
        <v>105448</v>
      </c>
      <c r="H100" t="s">
        <v>406</v>
      </c>
      <c r="I100">
        <v>7.5</v>
      </c>
      <c r="J100" t="b">
        <v>0</v>
      </c>
      <c r="K100">
        <v>0.625</v>
      </c>
      <c r="L100">
        <v>2106222</v>
      </c>
      <c r="M100" t="s">
        <v>407</v>
      </c>
      <c r="N100">
        <v>12</v>
      </c>
      <c r="O100">
        <v>12</v>
      </c>
      <c r="P100" t="s">
        <v>423</v>
      </c>
      <c r="Q100">
        <v>0</v>
      </c>
      <c r="R100">
        <v>0</v>
      </c>
      <c r="S100" t="s">
        <v>40</v>
      </c>
      <c r="T100">
        <v>261</v>
      </c>
      <c r="W100"/>
      <c r="Y100" t="s">
        <v>377</v>
      </c>
      <c r="Z100" t="s">
        <v>378</v>
      </c>
      <c r="AA100" t="s">
        <v>379</v>
      </c>
      <c r="AB100" t="s">
        <v>409</v>
      </c>
      <c r="AC100" t="s">
        <v>41</v>
      </c>
      <c r="AD100" t="s">
        <v>41</v>
      </c>
      <c r="AE100" t="s">
        <v>41</v>
      </c>
      <c r="AF100" t="s">
        <v>41</v>
      </c>
      <c r="AG100" t="s">
        <v>41</v>
      </c>
      <c r="AH100" t="s">
        <v>41</v>
      </c>
      <c r="AK100"/>
    </row>
    <row r="101" spans="1:37" x14ac:dyDescent="0.25">
      <c r="A101" t="s">
        <v>47</v>
      </c>
      <c r="B101">
        <v>45904.078831018516</v>
      </c>
      <c r="C101">
        <v>90091</v>
      </c>
      <c r="D101" t="s">
        <v>563</v>
      </c>
      <c r="E101">
        <v>4488612</v>
      </c>
      <c r="F101">
        <v>111531</v>
      </c>
      <c r="G101" t="s">
        <v>564</v>
      </c>
      <c r="H101" t="s">
        <v>565</v>
      </c>
      <c r="I101">
        <v>7.5</v>
      </c>
      <c r="J101" t="b">
        <v>0</v>
      </c>
      <c r="K101">
        <v>2.4429967426710098E-2</v>
      </c>
      <c r="L101">
        <v>111532</v>
      </c>
      <c r="M101" t="s">
        <v>566</v>
      </c>
      <c r="N101">
        <v>307</v>
      </c>
      <c r="O101">
        <v>307</v>
      </c>
      <c r="P101"/>
      <c r="Q101">
        <v>134974</v>
      </c>
      <c r="R101">
        <v>1</v>
      </c>
      <c r="S101" t="s">
        <v>40</v>
      </c>
      <c r="T101">
        <v>261</v>
      </c>
      <c r="W101"/>
      <c r="Y101" t="s">
        <v>377</v>
      </c>
      <c r="Z101" t="s">
        <v>378</v>
      </c>
      <c r="AA101" t="s">
        <v>379</v>
      </c>
      <c r="AB101" t="s">
        <v>567</v>
      </c>
      <c r="AC101" t="s">
        <v>41</v>
      </c>
      <c r="AD101" t="s">
        <v>41</v>
      </c>
      <c r="AE101" t="s">
        <v>41</v>
      </c>
      <c r="AF101" t="s">
        <v>41</v>
      </c>
      <c r="AG101" t="s">
        <v>41</v>
      </c>
      <c r="AH101" t="s">
        <v>41</v>
      </c>
      <c r="AK101"/>
    </row>
    <row r="102" spans="1:37" x14ac:dyDescent="0.25">
      <c r="A102" t="s">
        <v>47</v>
      </c>
      <c r="B102">
        <v>45904.083148148151</v>
      </c>
      <c r="C102">
        <v>90091</v>
      </c>
      <c r="D102" t="s">
        <v>563</v>
      </c>
      <c r="E102">
        <v>4488612</v>
      </c>
      <c r="F102">
        <v>111531</v>
      </c>
      <c r="G102" t="s">
        <v>564</v>
      </c>
      <c r="H102" t="s">
        <v>436</v>
      </c>
      <c r="I102">
        <v>7.5</v>
      </c>
      <c r="J102" t="b">
        <v>1</v>
      </c>
      <c r="K102">
        <v>2.4429967426710098E-2</v>
      </c>
      <c r="L102">
        <v>111532</v>
      </c>
      <c r="M102" t="s">
        <v>566</v>
      </c>
      <c r="N102">
        <v>307</v>
      </c>
      <c r="O102">
        <v>307</v>
      </c>
      <c r="P102"/>
      <c r="Q102">
        <v>134974</v>
      </c>
      <c r="R102">
        <v>1</v>
      </c>
      <c r="S102" t="s">
        <v>40</v>
      </c>
      <c r="T102">
        <v>261</v>
      </c>
      <c r="W102"/>
      <c r="Y102" t="s">
        <v>377</v>
      </c>
      <c r="Z102" t="s">
        <v>378</v>
      </c>
      <c r="AA102" t="s">
        <v>379</v>
      </c>
      <c r="AB102" t="s">
        <v>567</v>
      </c>
      <c r="AC102" t="s">
        <v>41</v>
      </c>
      <c r="AD102" t="s">
        <v>41</v>
      </c>
      <c r="AE102" t="s">
        <v>41</v>
      </c>
      <c r="AF102" t="s">
        <v>41</v>
      </c>
      <c r="AG102" t="s">
        <v>41</v>
      </c>
      <c r="AH102" t="s">
        <v>41</v>
      </c>
      <c r="AK102"/>
    </row>
    <row r="103" spans="1:37" x14ac:dyDescent="0.25">
      <c r="A103" t="s">
        <v>44</v>
      </c>
      <c r="B103">
        <v>45904.117037037038</v>
      </c>
      <c r="C103">
        <v>91538</v>
      </c>
      <c r="D103" t="s">
        <v>563</v>
      </c>
      <c r="E103">
        <v>4490068</v>
      </c>
      <c r="F103">
        <v>2105175</v>
      </c>
      <c r="G103" t="s">
        <v>568</v>
      </c>
      <c r="H103" t="s">
        <v>436</v>
      </c>
      <c r="I103">
        <v>3</v>
      </c>
      <c r="J103" t="b">
        <v>1</v>
      </c>
      <c r="K103">
        <v>1.4851485148514851E-2</v>
      </c>
      <c r="L103">
        <v>2124246</v>
      </c>
      <c r="M103"/>
      <c r="N103">
        <v>202</v>
      </c>
      <c r="O103">
        <v>202</v>
      </c>
      <c r="P103"/>
      <c r="Q103">
        <v>134971</v>
      </c>
      <c r="R103">
        <v>1</v>
      </c>
      <c r="S103" t="s">
        <v>40</v>
      </c>
      <c r="T103">
        <v>261</v>
      </c>
      <c r="U103">
        <v>147664</v>
      </c>
      <c r="V103">
        <v>24</v>
      </c>
      <c r="W103" t="s">
        <v>40</v>
      </c>
      <c r="X103">
        <v>261</v>
      </c>
      <c r="Y103" t="s">
        <v>377</v>
      </c>
      <c r="Z103" t="s">
        <v>378</v>
      </c>
      <c r="AA103" t="s">
        <v>379</v>
      </c>
      <c r="AB103" t="s">
        <v>569</v>
      </c>
      <c r="AC103" t="s">
        <v>41</v>
      </c>
      <c r="AD103" t="s">
        <v>41</v>
      </c>
      <c r="AE103" t="s">
        <v>41</v>
      </c>
      <c r="AF103" t="s">
        <v>41</v>
      </c>
      <c r="AG103" t="s">
        <v>41</v>
      </c>
      <c r="AH103" t="s">
        <v>41</v>
      </c>
      <c r="AK103"/>
    </row>
    <row r="104" spans="1:37" x14ac:dyDescent="0.25">
      <c r="A104" t="s">
        <v>39</v>
      </c>
      <c r="B104">
        <v>45904.190451388888</v>
      </c>
      <c r="C104">
        <v>91541</v>
      </c>
      <c r="D104" t="s">
        <v>563</v>
      </c>
      <c r="E104">
        <v>4488069</v>
      </c>
      <c r="F104">
        <v>141257</v>
      </c>
      <c r="G104" t="s">
        <v>570</v>
      </c>
      <c r="H104" t="s">
        <v>430</v>
      </c>
      <c r="I104">
        <v>10</v>
      </c>
      <c r="J104" t="b">
        <v>1</v>
      </c>
      <c r="K104">
        <v>4.3668122270742356E-2</v>
      </c>
      <c r="L104">
        <v>141258</v>
      </c>
      <c r="M104" t="s">
        <v>571</v>
      </c>
      <c r="N104">
        <v>229</v>
      </c>
      <c r="O104">
        <v>408</v>
      </c>
      <c r="P104"/>
      <c r="Q104">
        <v>134971</v>
      </c>
      <c r="R104">
        <v>1</v>
      </c>
      <c r="S104" t="s">
        <v>40</v>
      </c>
      <c r="T104">
        <v>261</v>
      </c>
      <c r="U104">
        <v>147664</v>
      </c>
      <c r="V104">
        <v>24</v>
      </c>
      <c r="W104" t="s">
        <v>40</v>
      </c>
      <c r="X104">
        <v>261</v>
      </c>
      <c r="Y104" t="s">
        <v>377</v>
      </c>
      <c r="Z104" t="s">
        <v>378</v>
      </c>
      <c r="AA104" t="s">
        <v>379</v>
      </c>
      <c r="AB104" t="s">
        <v>572</v>
      </c>
      <c r="AC104" t="s">
        <v>41</v>
      </c>
      <c r="AD104" t="s">
        <v>41</v>
      </c>
      <c r="AE104" t="s">
        <v>41</v>
      </c>
      <c r="AF104" t="s">
        <v>41</v>
      </c>
      <c r="AG104" t="s">
        <v>41</v>
      </c>
      <c r="AH104" t="s">
        <v>41</v>
      </c>
      <c r="AK104"/>
    </row>
    <row r="105" spans="1:37" x14ac:dyDescent="0.25">
      <c r="A105" t="s">
        <v>43</v>
      </c>
      <c r="B105">
        <v>45904.264421296299</v>
      </c>
      <c r="C105">
        <v>92277</v>
      </c>
      <c r="D105" t="s">
        <v>560</v>
      </c>
      <c r="E105">
        <v>4494274</v>
      </c>
      <c r="F105">
        <v>156292</v>
      </c>
      <c r="G105" t="s">
        <v>46</v>
      </c>
      <c r="H105" t="s">
        <v>515</v>
      </c>
      <c r="I105">
        <v>7</v>
      </c>
      <c r="J105" t="b">
        <v>1</v>
      </c>
      <c r="K105">
        <v>1.75</v>
      </c>
      <c r="L105">
        <v>156291</v>
      </c>
      <c r="M105" t="s">
        <v>433</v>
      </c>
      <c r="N105">
        <v>4</v>
      </c>
      <c r="O105">
        <v>4</v>
      </c>
      <c r="P105"/>
      <c r="Q105">
        <v>134905</v>
      </c>
      <c r="R105">
        <v>1</v>
      </c>
      <c r="S105" t="s">
        <v>40</v>
      </c>
      <c r="T105">
        <v>261</v>
      </c>
      <c r="U105">
        <v>147664</v>
      </c>
      <c r="V105">
        <v>24</v>
      </c>
      <c r="W105" t="s">
        <v>40</v>
      </c>
      <c r="X105">
        <v>261</v>
      </c>
      <c r="Y105" t="s">
        <v>377</v>
      </c>
      <c r="Z105" t="s">
        <v>378</v>
      </c>
      <c r="AA105" t="s">
        <v>379</v>
      </c>
      <c r="AB105" t="s">
        <v>384</v>
      </c>
      <c r="AC105" t="s">
        <v>41</v>
      </c>
      <c r="AD105" t="s">
        <v>41</v>
      </c>
      <c r="AE105" t="s">
        <v>41</v>
      </c>
      <c r="AF105" t="s">
        <v>41</v>
      </c>
      <c r="AG105" t="s">
        <v>41</v>
      </c>
      <c r="AH105" t="s">
        <v>41</v>
      </c>
      <c r="AK105"/>
    </row>
    <row r="106" spans="1:37" x14ac:dyDescent="0.25">
      <c r="A106" t="s">
        <v>43</v>
      </c>
      <c r="B106">
        <v>45904.267384259256</v>
      </c>
      <c r="C106">
        <v>92277</v>
      </c>
      <c r="D106" t="s">
        <v>560</v>
      </c>
      <c r="E106">
        <v>4494275</v>
      </c>
      <c r="F106">
        <v>156292</v>
      </c>
      <c r="G106" t="s">
        <v>46</v>
      </c>
      <c r="H106" t="s">
        <v>515</v>
      </c>
      <c r="I106">
        <v>7</v>
      </c>
      <c r="J106" t="b">
        <v>1</v>
      </c>
      <c r="K106">
        <v>1.75</v>
      </c>
      <c r="L106">
        <v>156291</v>
      </c>
      <c r="M106" t="s">
        <v>433</v>
      </c>
      <c r="N106">
        <v>4</v>
      </c>
      <c r="O106">
        <v>4</v>
      </c>
      <c r="P106"/>
      <c r="Q106">
        <v>134905</v>
      </c>
      <c r="R106">
        <v>1</v>
      </c>
      <c r="S106" t="s">
        <v>40</v>
      </c>
      <c r="T106">
        <v>261</v>
      </c>
      <c r="U106">
        <v>147664</v>
      </c>
      <c r="V106">
        <v>24</v>
      </c>
      <c r="W106" t="s">
        <v>40</v>
      </c>
      <c r="X106">
        <v>261</v>
      </c>
      <c r="Y106" t="s">
        <v>377</v>
      </c>
      <c r="Z106" t="s">
        <v>378</v>
      </c>
      <c r="AA106" t="s">
        <v>379</v>
      </c>
      <c r="AB106" t="s">
        <v>384</v>
      </c>
      <c r="AC106" t="s">
        <v>41</v>
      </c>
      <c r="AD106" t="s">
        <v>41</v>
      </c>
      <c r="AE106" t="s">
        <v>41</v>
      </c>
      <c r="AF106" t="s">
        <v>41</v>
      </c>
      <c r="AG106" t="s">
        <v>41</v>
      </c>
      <c r="AH106" t="s">
        <v>41</v>
      </c>
      <c r="AK106"/>
    </row>
    <row r="107" spans="1:37" x14ac:dyDescent="0.25">
      <c r="A107" t="s">
        <v>38</v>
      </c>
      <c r="B107">
        <v>45904.592812499999</v>
      </c>
      <c r="C107">
        <v>92276</v>
      </c>
      <c r="D107" t="s">
        <v>560</v>
      </c>
      <c r="E107">
        <v>4496542</v>
      </c>
      <c r="F107">
        <v>2301366</v>
      </c>
      <c r="G107" t="s">
        <v>397</v>
      </c>
      <c r="H107" t="s">
        <v>522</v>
      </c>
      <c r="I107">
        <v>14</v>
      </c>
      <c r="J107" t="b">
        <v>1</v>
      </c>
      <c r="K107">
        <v>1.75</v>
      </c>
      <c r="L107">
        <v>2301367</v>
      </c>
      <c r="M107" t="s">
        <v>399</v>
      </c>
      <c r="N107">
        <v>8</v>
      </c>
      <c r="O107">
        <v>13</v>
      </c>
      <c r="P107"/>
      <c r="Q107">
        <v>149831</v>
      </c>
      <c r="R107">
        <v>2</v>
      </c>
      <c r="S107" t="s">
        <v>40</v>
      </c>
      <c r="T107">
        <v>261</v>
      </c>
      <c r="U107">
        <v>147664</v>
      </c>
      <c r="V107">
        <v>48</v>
      </c>
      <c r="W107" t="s">
        <v>40</v>
      </c>
      <c r="X107">
        <v>261</v>
      </c>
      <c r="Y107" t="s">
        <v>49</v>
      </c>
      <c r="Z107" t="s">
        <v>378</v>
      </c>
      <c r="AA107" t="s">
        <v>384</v>
      </c>
      <c r="AB107" t="s">
        <v>384</v>
      </c>
      <c r="AC107" t="s">
        <v>41</v>
      </c>
      <c r="AD107" t="s">
        <v>41</v>
      </c>
      <c r="AE107" t="s">
        <v>41</v>
      </c>
      <c r="AF107" t="s">
        <v>41</v>
      </c>
      <c r="AG107" t="s">
        <v>41</v>
      </c>
      <c r="AH107" t="s">
        <v>41</v>
      </c>
      <c r="AK107"/>
    </row>
    <row r="108" spans="1:37" x14ac:dyDescent="0.25">
      <c r="A108" t="s">
        <v>42</v>
      </c>
      <c r="B108">
        <v>45904.66028935185</v>
      </c>
      <c r="C108">
        <v>91545</v>
      </c>
      <c r="D108" t="s">
        <v>560</v>
      </c>
      <c r="E108">
        <v>4488069</v>
      </c>
      <c r="F108">
        <v>141257</v>
      </c>
      <c r="G108" t="s">
        <v>570</v>
      </c>
      <c r="H108" t="s">
        <v>430</v>
      </c>
      <c r="I108">
        <v>10</v>
      </c>
      <c r="J108" t="b">
        <v>1</v>
      </c>
      <c r="K108">
        <v>0.05</v>
      </c>
      <c r="L108">
        <v>141258</v>
      </c>
      <c r="M108" t="s">
        <v>571</v>
      </c>
      <c r="N108">
        <v>200</v>
      </c>
      <c r="O108">
        <v>0</v>
      </c>
      <c r="P108"/>
      <c r="Q108">
        <v>134976</v>
      </c>
      <c r="R108">
        <v>2</v>
      </c>
      <c r="S108" t="s">
        <v>40</v>
      </c>
      <c r="T108">
        <v>261</v>
      </c>
      <c r="W108"/>
      <c r="Y108" t="s">
        <v>377</v>
      </c>
      <c r="Z108" t="s">
        <v>378</v>
      </c>
      <c r="AA108" t="s">
        <v>525</v>
      </c>
      <c r="AB108" t="s">
        <v>573</v>
      </c>
      <c r="AC108" t="s">
        <v>525</v>
      </c>
      <c r="AD108" t="s">
        <v>574</v>
      </c>
      <c r="AE108" t="s">
        <v>41</v>
      </c>
      <c r="AF108" t="s">
        <v>41</v>
      </c>
      <c r="AG108" t="s">
        <v>41</v>
      </c>
      <c r="AH108" t="s">
        <v>41</v>
      </c>
      <c r="AK108"/>
    </row>
    <row r="109" spans="1:37" x14ac:dyDescent="0.25">
      <c r="A109" t="s">
        <v>37</v>
      </c>
      <c r="B109">
        <v>45904.687303240738</v>
      </c>
      <c r="C109">
        <v>90089</v>
      </c>
      <c r="D109" t="s">
        <v>560</v>
      </c>
      <c r="E109">
        <v>4494193</v>
      </c>
      <c r="F109">
        <v>2132449</v>
      </c>
      <c r="G109" t="s">
        <v>537</v>
      </c>
      <c r="H109" t="s">
        <v>483</v>
      </c>
      <c r="I109">
        <v>10</v>
      </c>
      <c r="J109" t="b">
        <v>1</v>
      </c>
      <c r="K109">
        <v>0.08</v>
      </c>
      <c r="L109">
        <v>2135441</v>
      </c>
      <c r="M109" t="s">
        <v>538</v>
      </c>
      <c r="N109">
        <v>125</v>
      </c>
      <c r="O109">
        <v>0</v>
      </c>
      <c r="P109"/>
      <c r="Q109">
        <v>134976</v>
      </c>
      <c r="R109">
        <v>1</v>
      </c>
      <c r="S109" t="s">
        <v>40</v>
      </c>
      <c r="T109">
        <v>261</v>
      </c>
      <c r="W109"/>
      <c r="Y109" t="s">
        <v>377</v>
      </c>
      <c r="Z109" t="s">
        <v>378</v>
      </c>
      <c r="AA109" t="s">
        <v>379</v>
      </c>
      <c r="AB109" t="s">
        <v>575</v>
      </c>
      <c r="AC109" t="s">
        <v>41</v>
      </c>
      <c r="AD109" t="s">
        <v>41</v>
      </c>
      <c r="AE109" t="s">
        <v>41</v>
      </c>
      <c r="AF109" t="s">
        <v>41</v>
      </c>
      <c r="AG109" t="s">
        <v>41</v>
      </c>
      <c r="AH109" t="s">
        <v>41</v>
      </c>
      <c r="AK109"/>
    </row>
    <row r="110" spans="1:37" x14ac:dyDescent="0.25">
      <c r="A110" t="s">
        <v>37</v>
      </c>
      <c r="B110">
        <v>45904.688703703701</v>
      </c>
      <c r="C110">
        <v>90088</v>
      </c>
      <c r="D110" t="s">
        <v>560</v>
      </c>
      <c r="E110">
        <v>4494192</v>
      </c>
      <c r="F110">
        <v>2132449</v>
      </c>
      <c r="G110" t="s">
        <v>537</v>
      </c>
      <c r="H110" t="s">
        <v>436</v>
      </c>
      <c r="I110">
        <v>10</v>
      </c>
      <c r="J110" t="b">
        <v>1</v>
      </c>
      <c r="K110">
        <v>0.125</v>
      </c>
      <c r="L110">
        <v>2135441</v>
      </c>
      <c r="M110" t="s">
        <v>538</v>
      </c>
      <c r="N110">
        <v>80</v>
      </c>
      <c r="O110">
        <v>0</v>
      </c>
      <c r="P110"/>
      <c r="Q110">
        <v>134976</v>
      </c>
      <c r="R110">
        <v>1</v>
      </c>
      <c r="S110" t="s">
        <v>40</v>
      </c>
      <c r="T110">
        <v>261</v>
      </c>
      <c r="W110"/>
      <c r="Y110" t="s">
        <v>377</v>
      </c>
      <c r="Z110" t="s">
        <v>378</v>
      </c>
      <c r="AA110" t="s">
        <v>379</v>
      </c>
      <c r="AB110" t="s">
        <v>576</v>
      </c>
      <c r="AC110" t="s">
        <v>41</v>
      </c>
      <c r="AD110" t="s">
        <v>41</v>
      </c>
      <c r="AE110" t="s">
        <v>41</v>
      </c>
      <c r="AF110" t="s">
        <v>41</v>
      </c>
      <c r="AG110" t="s">
        <v>41</v>
      </c>
      <c r="AH110" t="s">
        <v>41</v>
      </c>
      <c r="AK110"/>
    </row>
    <row r="111" spans="1:37" x14ac:dyDescent="0.25">
      <c r="A111" t="s">
        <v>37</v>
      </c>
      <c r="B111">
        <v>45905.289965277778</v>
      </c>
      <c r="C111">
        <v>92135</v>
      </c>
      <c r="D111" t="s">
        <v>373</v>
      </c>
      <c r="E111">
        <v>4495976</v>
      </c>
      <c r="F111">
        <v>2104880</v>
      </c>
      <c r="G111" t="s">
        <v>577</v>
      </c>
      <c r="H111" t="s">
        <v>578</v>
      </c>
      <c r="I111">
        <v>10</v>
      </c>
      <c r="J111" t="b">
        <v>1</v>
      </c>
      <c r="K111">
        <v>2.5</v>
      </c>
      <c r="L111">
        <v>2106200</v>
      </c>
      <c r="M111" t="s">
        <v>579</v>
      </c>
      <c r="N111">
        <v>4</v>
      </c>
      <c r="O111">
        <v>4</v>
      </c>
      <c r="P111"/>
      <c r="Q111">
        <v>134906</v>
      </c>
      <c r="R111">
        <v>1</v>
      </c>
      <c r="S111" t="s">
        <v>40</v>
      </c>
      <c r="T111">
        <v>261</v>
      </c>
      <c r="U111">
        <v>147664</v>
      </c>
      <c r="V111">
        <v>24</v>
      </c>
      <c r="W111" t="s">
        <v>40</v>
      </c>
      <c r="X111">
        <v>261</v>
      </c>
      <c r="Y111" t="s">
        <v>377</v>
      </c>
      <c r="Z111" t="s">
        <v>378</v>
      </c>
      <c r="AA111" t="s">
        <v>379</v>
      </c>
      <c r="AB111" t="s">
        <v>384</v>
      </c>
      <c r="AC111" t="s">
        <v>41</v>
      </c>
      <c r="AD111" t="s">
        <v>41</v>
      </c>
      <c r="AE111" t="s">
        <v>41</v>
      </c>
      <c r="AF111" t="s">
        <v>41</v>
      </c>
      <c r="AG111" t="s">
        <v>41</v>
      </c>
      <c r="AH111" t="s">
        <v>41</v>
      </c>
      <c r="AK111"/>
    </row>
    <row r="112" spans="1:37" x14ac:dyDescent="0.25">
      <c r="A112" t="s">
        <v>37</v>
      </c>
      <c r="B112">
        <v>45905.295069444444</v>
      </c>
      <c r="C112">
        <v>92135</v>
      </c>
      <c r="D112" t="s">
        <v>373</v>
      </c>
      <c r="E112">
        <v>4495977</v>
      </c>
      <c r="F112">
        <v>2104880</v>
      </c>
      <c r="G112" t="s">
        <v>577</v>
      </c>
      <c r="H112" t="s">
        <v>578</v>
      </c>
      <c r="I112">
        <v>10</v>
      </c>
      <c r="J112" t="b">
        <v>1</v>
      </c>
      <c r="K112">
        <v>2</v>
      </c>
      <c r="L112">
        <v>2106200</v>
      </c>
      <c r="M112" t="s">
        <v>579</v>
      </c>
      <c r="N112">
        <v>5</v>
      </c>
      <c r="O112">
        <v>5</v>
      </c>
      <c r="P112"/>
      <c r="Q112">
        <v>134906</v>
      </c>
      <c r="R112">
        <v>1</v>
      </c>
      <c r="S112" t="s">
        <v>40</v>
      </c>
      <c r="T112">
        <v>261</v>
      </c>
      <c r="U112">
        <v>147664</v>
      </c>
      <c r="V112">
        <v>24</v>
      </c>
      <c r="W112" t="s">
        <v>40</v>
      </c>
      <c r="X112">
        <v>261</v>
      </c>
      <c r="Y112" t="s">
        <v>377</v>
      </c>
      <c r="Z112" t="s">
        <v>378</v>
      </c>
      <c r="AA112" t="s">
        <v>379</v>
      </c>
      <c r="AB112" t="s">
        <v>559</v>
      </c>
      <c r="AC112" t="s">
        <v>41</v>
      </c>
      <c r="AD112" t="s">
        <v>41</v>
      </c>
      <c r="AE112" t="s">
        <v>41</v>
      </c>
      <c r="AF112" t="s">
        <v>41</v>
      </c>
      <c r="AG112" t="s">
        <v>41</v>
      </c>
      <c r="AH112" t="s">
        <v>41</v>
      </c>
      <c r="AK112"/>
    </row>
    <row r="113" spans="1:37" x14ac:dyDescent="0.25">
      <c r="A113" t="s">
        <v>44</v>
      </c>
      <c r="B113">
        <v>45905.372361111113</v>
      </c>
      <c r="C113">
        <v>92323</v>
      </c>
      <c r="D113" t="s">
        <v>373</v>
      </c>
      <c r="E113">
        <v>4481486</v>
      </c>
      <c r="F113">
        <v>2304758</v>
      </c>
      <c r="G113" t="s">
        <v>402</v>
      </c>
      <c r="H113" t="s">
        <v>580</v>
      </c>
      <c r="I113">
        <v>14</v>
      </c>
      <c r="J113" t="b">
        <v>1</v>
      </c>
      <c r="K113">
        <v>1.75</v>
      </c>
      <c r="L113">
        <v>2304759</v>
      </c>
      <c r="M113" t="s">
        <v>404</v>
      </c>
      <c r="N113">
        <v>8</v>
      </c>
      <c r="O113">
        <v>8</v>
      </c>
      <c r="P113"/>
      <c r="Q113">
        <v>155687</v>
      </c>
      <c r="R113">
        <v>2</v>
      </c>
      <c r="S113" t="s">
        <v>40</v>
      </c>
      <c r="T113">
        <v>261</v>
      </c>
      <c r="U113">
        <v>147664</v>
      </c>
      <c r="V113">
        <v>48</v>
      </c>
      <c r="W113" t="s">
        <v>40</v>
      </c>
      <c r="X113">
        <v>261</v>
      </c>
      <c r="Y113" t="s">
        <v>377</v>
      </c>
      <c r="Z113" t="s">
        <v>378</v>
      </c>
      <c r="AA113" t="s">
        <v>525</v>
      </c>
      <c r="AB113" t="s">
        <v>400</v>
      </c>
      <c r="AC113" t="s">
        <v>41</v>
      </c>
      <c r="AD113" t="s">
        <v>41</v>
      </c>
      <c r="AE113" t="s">
        <v>41</v>
      </c>
      <c r="AF113" t="s">
        <v>41</v>
      </c>
      <c r="AG113" t="s">
        <v>41</v>
      </c>
      <c r="AH113" t="s">
        <v>41</v>
      </c>
      <c r="AK113"/>
    </row>
    <row r="114" spans="1:37" x14ac:dyDescent="0.25">
      <c r="A114" t="s">
        <v>39</v>
      </c>
      <c r="B114">
        <v>45905.3749537037</v>
      </c>
      <c r="C114">
        <v>92229</v>
      </c>
      <c r="D114" t="s">
        <v>373</v>
      </c>
      <c r="E114">
        <v>4491382</v>
      </c>
      <c r="F114">
        <v>105448</v>
      </c>
      <c r="G114" t="s">
        <v>405</v>
      </c>
      <c r="H114" t="s">
        <v>406</v>
      </c>
      <c r="I114">
        <v>7.5</v>
      </c>
      <c r="J114" t="b">
        <v>1</v>
      </c>
      <c r="K114">
        <v>0.625</v>
      </c>
      <c r="L114">
        <v>2106222</v>
      </c>
      <c r="M114" t="s">
        <v>407</v>
      </c>
      <c r="N114">
        <v>12</v>
      </c>
      <c r="O114">
        <v>6</v>
      </c>
      <c r="P114" t="s">
        <v>423</v>
      </c>
      <c r="Q114">
        <v>0</v>
      </c>
      <c r="R114">
        <v>0</v>
      </c>
      <c r="S114" t="s">
        <v>40</v>
      </c>
      <c r="T114">
        <v>261</v>
      </c>
      <c r="W114"/>
      <c r="Y114" t="s">
        <v>377</v>
      </c>
      <c r="Z114" t="s">
        <v>378</v>
      </c>
      <c r="AA114" t="s">
        <v>379</v>
      </c>
      <c r="AB114" t="s">
        <v>409</v>
      </c>
      <c r="AC114" t="s">
        <v>41</v>
      </c>
      <c r="AD114" t="s">
        <v>41</v>
      </c>
      <c r="AE114" t="s">
        <v>41</v>
      </c>
      <c r="AF114" t="s">
        <v>41</v>
      </c>
      <c r="AG114" t="s">
        <v>41</v>
      </c>
      <c r="AH114" t="s">
        <v>41</v>
      </c>
      <c r="AK114"/>
    </row>
    <row r="115" spans="1:37" x14ac:dyDescent="0.25">
      <c r="A115" t="s">
        <v>47</v>
      </c>
      <c r="B115">
        <v>45905.514201388891</v>
      </c>
      <c r="C115">
        <v>90095</v>
      </c>
      <c r="D115" t="s">
        <v>373</v>
      </c>
      <c r="E115">
        <v>4494841</v>
      </c>
      <c r="F115">
        <v>159700</v>
      </c>
      <c r="G115" t="s">
        <v>581</v>
      </c>
      <c r="H115" t="s">
        <v>582</v>
      </c>
      <c r="I115">
        <v>10</v>
      </c>
      <c r="J115" t="b">
        <v>1</v>
      </c>
      <c r="K115">
        <v>6.4102564102564097E-2</v>
      </c>
      <c r="L115">
        <v>159703</v>
      </c>
      <c r="M115" t="s">
        <v>583</v>
      </c>
      <c r="N115">
        <v>156</v>
      </c>
      <c r="O115">
        <v>110</v>
      </c>
      <c r="P115"/>
      <c r="Q115">
        <v>134975</v>
      </c>
      <c r="R115">
        <v>1</v>
      </c>
      <c r="S115" t="s">
        <v>40</v>
      </c>
      <c r="T115">
        <v>261</v>
      </c>
      <c r="W115"/>
      <c r="Y115" t="s">
        <v>377</v>
      </c>
      <c r="Z115" t="s">
        <v>378</v>
      </c>
      <c r="AA115" t="s">
        <v>379</v>
      </c>
      <c r="AB115" t="s">
        <v>584</v>
      </c>
      <c r="AC115" t="s">
        <v>41</v>
      </c>
      <c r="AD115" t="s">
        <v>41</v>
      </c>
      <c r="AE115" t="s">
        <v>41</v>
      </c>
      <c r="AF115" t="s">
        <v>41</v>
      </c>
      <c r="AG115" t="s">
        <v>41</v>
      </c>
      <c r="AH115" t="s">
        <v>41</v>
      </c>
      <c r="AK115"/>
    </row>
    <row r="116" spans="1:37" x14ac:dyDescent="0.25">
      <c r="A116" t="s">
        <v>42</v>
      </c>
      <c r="B116">
        <v>45905.519178240742</v>
      </c>
      <c r="C116">
        <v>91546</v>
      </c>
      <c r="D116" t="s">
        <v>373</v>
      </c>
      <c r="E116">
        <v>4488070</v>
      </c>
      <c r="F116">
        <v>141257</v>
      </c>
      <c r="G116" t="s">
        <v>570</v>
      </c>
      <c r="H116" t="s">
        <v>528</v>
      </c>
      <c r="I116">
        <v>10</v>
      </c>
      <c r="J116" t="b">
        <v>1</v>
      </c>
      <c r="K116">
        <v>4.1841004184100417E-2</v>
      </c>
      <c r="L116">
        <v>141258</v>
      </c>
      <c r="M116" t="s">
        <v>571</v>
      </c>
      <c r="N116">
        <v>239</v>
      </c>
      <c r="O116">
        <v>239</v>
      </c>
      <c r="P116"/>
      <c r="Q116">
        <v>134975</v>
      </c>
      <c r="R116">
        <v>2</v>
      </c>
      <c r="S116" t="s">
        <v>40</v>
      </c>
      <c r="T116">
        <v>261</v>
      </c>
      <c r="W116"/>
      <c r="Y116" t="s">
        <v>377</v>
      </c>
      <c r="Z116" t="s">
        <v>378</v>
      </c>
      <c r="AA116" t="s">
        <v>379</v>
      </c>
      <c r="AB116" t="s">
        <v>585</v>
      </c>
      <c r="AC116" t="s">
        <v>379</v>
      </c>
      <c r="AD116" t="s">
        <v>586</v>
      </c>
      <c r="AE116" t="s">
        <v>41</v>
      </c>
      <c r="AF116" t="s">
        <v>41</v>
      </c>
      <c r="AG116" t="s">
        <v>41</v>
      </c>
      <c r="AH116" t="s">
        <v>41</v>
      </c>
      <c r="AK116"/>
    </row>
    <row r="117" spans="1:37" x14ac:dyDescent="0.25">
      <c r="A117" t="s">
        <v>38</v>
      </c>
      <c r="B117">
        <v>45905.588067129633</v>
      </c>
      <c r="C117">
        <v>92278</v>
      </c>
      <c r="D117" t="s">
        <v>373</v>
      </c>
      <c r="E117">
        <v>4494276</v>
      </c>
      <c r="F117">
        <v>156292</v>
      </c>
      <c r="G117" t="s">
        <v>46</v>
      </c>
      <c r="H117" t="s">
        <v>587</v>
      </c>
      <c r="I117">
        <v>7</v>
      </c>
      <c r="J117" t="b">
        <v>1</v>
      </c>
      <c r="K117">
        <v>1.75</v>
      </c>
      <c r="L117">
        <v>156291</v>
      </c>
      <c r="M117" t="s">
        <v>433</v>
      </c>
      <c r="N117">
        <v>4</v>
      </c>
      <c r="O117">
        <v>4</v>
      </c>
      <c r="P117"/>
      <c r="Q117">
        <v>134905</v>
      </c>
      <c r="R117">
        <v>1</v>
      </c>
      <c r="S117" t="s">
        <v>40</v>
      </c>
      <c r="T117">
        <v>261</v>
      </c>
      <c r="U117">
        <v>147664</v>
      </c>
      <c r="V117">
        <v>24</v>
      </c>
      <c r="W117" t="s">
        <v>40</v>
      </c>
      <c r="X117">
        <v>261</v>
      </c>
      <c r="Y117" t="s">
        <v>377</v>
      </c>
      <c r="Z117" t="s">
        <v>378</v>
      </c>
      <c r="AA117" t="s">
        <v>384</v>
      </c>
      <c r="AB117" t="s">
        <v>384</v>
      </c>
      <c r="AC117" t="s">
        <v>41</v>
      </c>
      <c r="AD117" t="s">
        <v>41</v>
      </c>
      <c r="AE117" t="s">
        <v>41</v>
      </c>
      <c r="AF117" t="s">
        <v>41</v>
      </c>
      <c r="AG117" t="s">
        <v>41</v>
      </c>
      <c r="AH117" t="s">
        <v>41</v>
      </c>
      <c r="AK117"/>
    </row>
    <row r="118" spans="1:37" x14ac:dyDescent="0.25">
      <c r="A118" t="s">
        <v>38</v>
      </c>
      <c r="B118">
        <v>45905.589884259258</v>
      </c>
      <c r="C118">
        <v>92278</v>
      </c>
      <c r="D118" t="s">
        <v>373</v>
      </c>
      <c r="E118">
        <v>4494277</v>
      </c>
      <c r="F118">
        <v>156292</v>
      </c>
      <c r="G118" t="s">
        <v>46</v>
      </c>
      <c r="H118" t="s">
        <v>587</v>
      </c>
      <c r="I118">
        <v>7</v>
      </c>
      <c r="J118" t="b">
        <v>1</v>
      </c>
      <c r="K118">
        <v>1.75</v>
      </c>
      <c r="L118">
        <v>156291</v>
      </c>
      <c r="M118" t="s">
        <v>433</v>
      </c>
      <c r="N118">
        <v>4</v>
      </c>
      <c r="O118">
        <v>1</v>
      </c>
      <c r="P118"/>
      <c r="Q118">
        <v>134905</v>
      </c>
      <c r="R118">
        <v>1</v>
      </c>
      <c r="S118" t="s">
        <v>40</v>
      </c>
      <c r="T118">
        <v>261</v>
      </c>
      <c r="U118">
        <v>147664</v>
      </c>
      <c r="V118">
        <v>24</v>
      </c>
      <c r="W118" t="s">
        <v>40</v>
      </c>
      <c r="X118">
        <v>261</v>
      </c>
      <c r="Y118" t="s">
        <v>377</v>
      </c>
      <c r="Z118" t="s">
        <v>378</v>
      </c>
      <c r="AA118" t="s">
        <v>384</v>
      </c>
      <c r="AB118" t="s">
        <v>384</v>
      </c>
      <c r="AC118" t="s">
        <v>41</v>
      </c>
      <c r="AD118" t="s">
        <v>41</v>
      </c>
      <c r="AE118" t="s">
        <v>41</v>
      </c>
      <c r="AF118" t="s">
        <v>41</v>
      </c>
      <c r="AG118" t="s">
        <v>41</v>
      </c>
      <c r="AH118" t="s">
        <v>41</v>
      </c>
      <c r="AK118"/>
    </row>
    <row r="119" spans="1:37" x14ac:dyDescent="0.25">
      <c r="A119" t="s">
        <v>43</v>
      </c>
      <c r="B119">
        <v>45905.675000000003</v>
      </c>
      <c r="C119">
        <v>92230</v>
      </c>
      <c r="D119" t="s">
        <v>373</v>
      </c>
      <c r="E119">
        <v>4494551</v>
      </c>
      <c r="F119">
        <v>105463</v>
      </c>
      <c r="G119" t="s">
        <v>588</v>
      </c>
      <c r="H119" t="s">
        <v>471</v>
      </c>
      <c r="I119">
        <v>7.5</v>
      </c>
      <c r="J119" t="b">
        <v>1</v>
      </c>
      <c r="K119">
        <v>0.625</v>
      </c>
      <c r="L119">
        <v>2106237</v>
      </c>
      <c r="M119" t="s">
        <v>589</v>
      </c>
      <c r="N119">
        <v>12</v>
      </c>
      <c r="O119">
        <v>12</v>
      </c>
      <c r="P119" t="s">
        <v>423</v>
      </c>
      <c r="Q119">
        <v>0</v>
      </c>
      <c r="R119">
        <v>0</v>
      </c>
      <c r="S119" t="s">
        <v>40</v>
      </c>
      <c r="T119">
        <v>261</v>
      </c>
      <c r="W119"/>
      <c r="Y119" t="s">
        <v>377</v>
      </c>
      <c r="Z119" t="s">
        <v>378</v>
      </c>
      <c r="AA119" t="s">
        <v>379</v>
      </c>
      <c r="AB119" t="s">
        <v>409</v>
      </c>
      <c r="AC119" t="s">
        <v>41</v>
      </c>
      <c r="AD119" t="s">
        <v>41</v>
      </c>
      <c r="AE119" t="s">
        <v>41</v>
      </c>
      <c r="AF119" t="s">
        <v>41</v>
      </c>
      <c r="AG119" t="s">
        <v>41</v>
      </c>
      <c r="AH119" t="s">
        <v>41</v>
      </c>
      <c r="AK119"/>
    </row>
    <row r="120" spans="1:37" x14ac:dyDescent="0.25">
      <c r="A120" t="s">
        <v>45</v>
      </c>
      <c r="B120">
        <v>45906.000254629631</v>
      </c>
      <c r="C120">
        <v>91548</v>
      </c>
      <c r="D120" t="s">
        <v>590</v>
      </c>
      <c r="E120">
        <v>4494893</v>
      </c>
      <c r="F120">
        <v>2310260</v>
      </c>
      <c r="G120" t="s">
        <v>534</v>
      </c>
      <c r="H120" t="s">
        <v>436</v>
      </c>
      <c r="I120">
        <v>5</v>
      </c>
      <c r="J120" t="b">
        <v>1</v>
      </c>
      <c r="K120">
        <v>1.824817518248175E-2</v>
      </c>
      <c r="L120">
        <v>2310261</v>
      </c>
      <c r="M120" t="s">
        <v>591</v>
      </c>
      <c r="N120">
        <v>274</v>
      </c>
      <c r="O120">
        <v>270</v>
      </c>
      <c r="P120" t="s">
        <v>592</v>
      </c>
      <c r="Q120">
        <v>134977</v>
      </c>
      <c r="R120">
        <v>1</v>
      </c>
      <c r="S120" t="s">
        <v>40</v>
      </c>
      <c r="T120">
        <v>261</v>
      </c>
      <c r="W120"/>
      <c r="Y120" t="s">
        <v>377</v>
      </c>
      <c r="Z120" t="s">
        <v>378</v>
      </c>
      <c r="AA120" t="s">
        <v>379</v>
      </c>
      <c r="AB120" t="s">
        <v>593</v>
      </c>
      <c r="AC120" t="s">
        <v>41</v>
      </c>
      <c r="AD120" t="s">
        <v>41</v>
      </c>
      <c r="AE120" t="s">
        <v>41</v>
      </c>
      <c r="AF120" t="s">
        <v>41</v>
      </c>
      <c r="AG120" t="s">
        <v>41</v>
      </c>
      <c r="AH120" t="s">
        <v>41</v>
      </c>
      <c r="AK120"/>
    </row>
    <row r="121" spans="1:37" x14ac:dyDescent="0.25">
      <c r="A121" t="s">
        <v>37</v>
      </c>
      <c r="B121">
        <v>45906.040497685186</v>
      </c>
      <c r="C121">
        <v>92137</v>
      </c>
      <c r="D121" t="s">
        <v>590</v>
      </c>
      <c r="E121">
        <v>4495979</v>
      </c>
      <c r="F121">
        <v>2104880</v>
      </c>
      <c r="G121" t="s">
        <v>577</v>
      </c>
      <c r="H121" t="s">
        <v>522</v>
      </c>
      <c r="I121">
        <v>10</v>
      </c>
      <c r="J121" t="b">
        <v>0</v>
      </c>
      <c r="K121">
        <v>2</v>
      </c>
      <c r="L121">
        <v>2106200</v>
      </c>
      <c r="M121" t="s">
        <v>579</v>
      </c>
      <c r="N121">
        <v>5</v>
      </c>
      <c r="O121">
        <v>5</v>
      </c>
      <c r="P121"/>
      <c r="Q121">
        <v>134906</v>
      </c>
      <c r="R121">
        <v>1</v>
      </c>
      <c r="S121" t="s">
        <v>40</v>
      </c>
      <c r="T121">
        <v>261</v>
      </c>
      <c r="U121">
        <v>147664</v>
      </c>
      <c r="V121">
        <v>24</v>
      </c>
      <c r="W121" t="s">
        <v>40</v>
      </c>
      <c r="X121">
        <v>261</v>
      </c>
      <c r="Y121" t="s">
        <v>377</v>
      </c>
      <c r="Z121" t="s">
        <v>378</v>
      </c>
      <c r="AA121" t="s">
        <v>379</v>
      </c>
      <c r="AB121" t="s">
        <v>559</v>
      </c>
      <c r="AC121" t="s">
        <v>41</v>
      </c>
      <c r="AD121" t="s">
        <v>41</v>
      </c>
      <c r="AE121" t="s">
        <v>41</v>
      </c>
      <c r="AF121" t="s">
        <v>41</v>
      </c>
      <c r="AG121" t="s">
        <v>41</v>
      </c>
      <c r="AH121" t="s">
        <v>41</v>
      </c>
      <c r="AK121"/>
    </row>
    <row r="122" spans="1:37" x14ac:dyDescent="0.25">
      <c r="A122" t="s">
        <v>37</v>
      </c>
      <c r="B122">
        <v>45906.042534722219</v>
      </c>
      <c r="C122">
        <v>92137</v>
      </c>
      <c r="D122" t="s">
        <v>590</v>
      </c>
      <c r="E122">
        <v>4495978</v>
      </c>
      <c r="F122">
        <v>2104880</v>
      </c>
      <c r="G122" t="s">
        <v>577</v>
      </c>
      <c r="H122" t="s">
        <v>522</v>
      </c>
      <c r="I122">
        <v>10</v>
      </c>
      <c r="J122" t="b">
        <v>0</v>
      </c>
      <c r="K122">
        <v>2.5</v>
      </c>
      <c r="L122">
        <v>2106200</v>
      </c>
      <c r="M122" t="s">
        <v>579</v>
      </c>
      <c r="N122">
        <v>4</v>
      </c>
      <c r="O122">
        <v>4</v>
      </c>
      <c r="P122"/>
      <c r="Q122">
        <v>134906</v>
      </c>
      <c r="R122">
        <v>1</v>
      </c>
      <c r="S122" t="s">
        <v>40</v>
      </c>
      <c r="T122">
        <v>261</v>
      </c>
      <c r="U122">
        <v>147664</v>
      </c>
      <c r="V122">
        <v>24</v>
      </c>
      <c r="W122" t="s">
        <v>40</v>
      </c>
      <c r="X122">
        <v>261</v>
      </c>
      <c r="Y122" t="s">
        <v>377</v>
      </c>
      <c r="Z122" t="s">
        <v>378</v>
      </c>
      <c r="AA122" t="s">
        <v>379</v>
      </c>
      <c r="AB122" t="s">
        <v>384</v>
      </c>
      <c r="AC122" t="s">
        <v>41</v>
      </c>
      <c r="AD122" t="s">
        <v>41</v>
      </c>
      <c r="AE122" t="s">
        <v>41</v>
      </c>
      <c r="AF122" t="s">
        <v>41</v>
      </c>
      <c r="AG122" t="s">
        <v>41</v>
      </c>
      <c r="AH122" t="s">
        <v>41</v>
      </c>
      <c r="AK122"/>
    </row>
    <row r="123" spans="1:37" x14ac:dyDescent="0.25">
      <c r="A123" t="s">
        <v>42</v>
      </c>
      <c r="B123">
        <v>45906.155381944445</v>
      </c>
      <c r="C123">
        <v>91549</v>
      </c>
      <c r="D123" t="s">
        <v>590</v>
      </c>
      <c r="E123">
        <v>4488071</v>
      </c>
      <c r="F123">
        <v>141257</v>
      </c>
      <c r="G123" t="s">
        <v>570</v>
      </c>
      <c r="H123" t="s">
        <v>594</v>
      </c>
      <c r="I123">
        <v>10</v>
      </c>
      <c r="J123" t="b">
        <v>1</v>
      </c>
      <c r="K123">
        <v>4.3103448275862072E-2</v>
      </c>
      <c r="L123">
        <v>141258</v>
      </c>
      <c r="M123" t="s">
        <v>571</v>
      </c>
      <c r="N123">
        <v>232</v>
      </c>
      <c r="O123">
        <v>237</v>
      </c>
      <c r="P123"/>
      <c r="Q123">
        <v>134907</v>
      </c>
      <c r="R123">
        <v>1</v>
      </c>
      <c r="S123" t="s">
        <v>40</v>
      </c>
      <c r="T123">
        <v>261</v>
      </c>
      <c r="U123">
        <v>147664</v>
      </c>
      <c r="V123">
        <v>24</v>
      </c>
      <c r="W123" t="s">
        <v>40</v>
      </c>
      <c r="X123">
        <v>261</v>
      </c>
      <c r="Y123" t="s">
        <v>377</v>
      </c>
      <c r="Z123" t="s">
        <v>378</v>
      </c>
      <c r="AA123" t="s">
        <v>379</v>
      </c>
      <c r="AB123" t="s">
        <v>595</v>
      </c>
      <c r="AC123" t="s">
        <v>41</v>
      </c>
      <c r="AD123" t="s">
        <v>41</v>
      </c>
      <c r="AE123" t="s">
        <v>41</v>
      </c>
      <c r="AF123" t="s">
        <v>41</v>
      </c>
      <c r="AG123" t="s">
        <v>41</v>
      </c>
      <c r="AH123" t="s">
        <v>41</v>
      </c>
      <c r="AK123"/>
    </row>
    <row r="124" spans="1:37" x14ac:dyDescent="0.25">
      <c r="A124" t="s">
        <v>39</v>
      </c>
      <c r="B124">
        <v>45906.157523148147</v>
      </c>
      <c r="C124">
        <v>91547</v>
      </c>
      <c r="D124" t="s">
        <v>590</v>
      </c>
      <c r="E124">
        <v>4488070</v>
      </c>
      <c r="F124">
        <v>141257</v>
      </c>
      <c r="G124" t="s">
        <v>570</v>
      </c>
      <c r="H124" t="s">
        <v>528</v>
      </c>
      <c r="I124">
        <v>10</v>
      </c>
      <c r="J124" t="b">
        <v>1</v>
      </c>
      <c r="K124">
        <v>4.1666666666666664E-2</v>
      </c>
      <c r="L124">
        <v>141258</v>
      </c>
      <c r="M124" t="s">
        <v>571</v>
      </c>
      <c r="N124">
        <v>240</v>
      </c>
      <c r="O124">
        <v>218</v>
      </c>
      <c r="P124"/>
      <c r="Q124">
        <v>134907</v>
      </c>
      <c r="R124">
        <v>1</v>
      </c>
      <c r="S124" t="s">
        <v>40</v>
      </c>
      <c r="T124">
        <v>261</v>
      </c>
      <c r="U124">
        <v>147664</v>
      </c>
      <c r="V124">
        <v>24</v>
      </c>
      <c r="W124" t="s">
        <v>40</v>
      </c>
      <c r="X124">
        <v>261</v>
      </c>
      <c r="Y124" t="s">
        <v>377</v>
      </c>
      <c r="Z124" t="s">
        <v>378</v>
      </c>
      <c r="AA124" t="s">
        <v>379</v>
      </c>
      <c r="AB124" t="s">
        <v>596</v>
      </c>
      <c r="AC124" t="s">
        <v>41</v>
      </c>
      <c r="AD124" t="s">
        <v>41</v>
      </c>
      <c r="AE124" t="s">
        <v>41</v>
      </c>
      <c r="AF124" t="s">
        <v>41</v>
      </c>
      <c r="AG124" t="s">
        <v>41</v>
      </c>
      <c r="AH124" t="s">
        <v>41</v>
      </c>
      <c r="AK124"/>
    </row>
    <row r="125" spans="1:37" x14ac:dyDescent="0.25">
      <c r="A125" t="s">
        <v>44</v>
      </c>
      <c r="B125">
        <v>45906.228101851855</v>
      </c>
      <c r="C125">
        <v>92325</v>
      </c>
      <c r="D125" t="s">
        <v>590</v>
      </c>
      <c r="E125">
        <v>4481487</v>
      </c>
      <c r="F125">
        <v>2304758</v>
      </c>
      <c r="G125" t="s">
        <v>402</v>
      </c>
      <c r="H125" t="s">
        <v>597</v>
      </c>
      <c r="I125">
        <v>14</v>
      </c>
      <c r="J125" t="b">
        <v>1</v>
      </c>
      <c r="K125">
        <v>1.75</v>
      </c>
      <c r="L125">
        <v>2304759</v>
      </c>
      <c r="M125" t="s">
        <v>404</v>
      </c>
      <c r="N125">
        <v>8</v>
      </c>
      <c r="O125">
        <v>8</v>
      </c>
      <c r="P125"/>
      <c r="Q125">
        <v>155687</v>
      </c>
      <c r="R125">
        <v>2</v>
      </c>
      <c r="S125" t="s">
        <v>40</v>
      </c>
      <c r="T125">
        <v>261</v>
      </c>
      <c r="U125">
        <v>147664</v>
      </c>
      <c r="V125">
        <v>48</v>
      </c>
      <c r="W125" t="s">
        <v>40</v>
      </c>
      <c r="X125">
        <v>261</v>
      </c>
      <c r="Y125" t="s">
        <v>377</v>
      </c>
      <c r="Z125" t="s">
        <v>378</v>
      </c>
      <c r="AA125" t="s">
        <v>384</v>
      </c>
      <c r="AB125" t="s">
        <v>384</v>
      </c>
      <c r="AC125" t="s">
        <v>41</v>
      </c>
      <c r="AD125" t="s">
        <v>41</v>
      </c>
      <c r="AE125" t="s">
        <v>41</v>
      </c>
      <c r="AF125" t="s">
        <v>41</v>
      </c>
      <c r="AG125" t="s">
        <v>41</v>
      </c>
      <c r="AH125" t="s">
        <v>41</v>
      </c>
      <c r="AK125"/>
    </row>
    <row r="126" spans="1:37" x14ac:dyDescent="0.25">
      <c r="A126" t="s">
        <v>37</v>
      </c>
      <c r="B126">
        <v>45906.347071759257</v>
      </c>
      <c r="C126">
        <v>92231</v>
      </c>
      <c r="D126" t="s">
        <v>373</v>
      </c>
      <c r="E126">
        <v>4494559</v>
      </c>
      <c r="F126">
        <v>113699</v>
      </c>
      <c r="G126" t="s">
        <v>598</v>
      </c>
      <c r="H126" t="s">
        <v>436</v>
      </c>
      <c r="I126">
        <v>7.5</v>
      </c>
      <c r="J126" t="b">
        <v>1</v>
      </c>
      <c r="K126">
        <v>0.625</v>
      </c>
      <c r="L126">
        <v>113700</v>
      </c>
      <c r="M126" t="s">
        <v>599</v>
      </c>
      <c r="N126">
        <v>12</v>
      </c>
      <c r="O126">
        <v>12</v>
      </c>
      <c r="P126"/>
      <c r="Q126">
        <v>134971</v>
      </c>
      <c r="R126">
        <v>2</v>
      </c>
      <c r="S126" t="s">
        <v>40</v>
      </c>
      <c r="T126">
        <v>261</v>
      </c>
      <c r="U126">
        <v>147664</v>
      </c>
      <c r="V126">
        <v>48</v>
      </c>
      <c r="W126" t="s">
        <v>40</v>
      </c>
      <c r="X126">
        <v>261</v>
      </c>
      <c r="Y126" t="s">
        <v>377</v>
      </c>
      <c r="Z126" t="s">
        <v>378</v>
      </c>
      <c r="AA126" t="s">
        <v>379</v>
      </c>
      <c r="AB126" t="s">
        <v>400</v>
      </c>
      <c r="AC126" t="s">
        <v>379</v>
      </c>
      <c r="AD126" t="s">
        <v>384</v>
      </c>
      <c r="AE126" t="s">
        <v>41</v>
      </c>
      <c r="AF126" t="s">
        <v>41</v>
      </c>
      <c r="AG126" t="s">
        <v>41</v>
      </c>
      <c r="AH126" t="s">
        <v>41</v>
      </c>
      <c r="AK126"/>
    </row>
    <row r="127" spans="1:37" x14ac:dyDescent="0.25">
      <c r="A127" t="s">
        <v>45</v>
      </c>
      <c r="B127">
        <v>45906.483912037038</v>
      </c>
      <c r="C127">
        <v>91553</v>
      </c>
      <c r="D127" t="s">
        <v>373</v>
      </c>
      <c r="E127">
        <v>4494714</v>
      </c>
      <c r="F127">
        <v>133947</v>
      </c>
      <c r="G127" t="s">
        <v>442</v>
      </c>
      <c r="H127" t="s">
        <v>468</v>
      </c>
      <c r="I127">
        <v>2.5</v>
      </c>
      <c r="J127" t="b">
        <v>1</v>
      </c>
      <c r="K127">
        <v>3.125E-2</v>
      </c>
      <c r="L127">
        <v>133869</v>
      </c>
      <c r="M127" t="s">
        <v>446</v>
      </c>
      <c r="N127">
        <v>80</v>
      </c>
      <c r="O127">
        <v>80</v>
      </c>
      <c r="P127" t="s">
        <v>423</v>
      </c>
      <c r="Q127">
        <v>0</v>
      </c>
      <c r="R127">
        <v>0</v>
      </c>
      <c r="S127" t="s">
        <v>40</v>
      </c>
      <c r="T127">
        <v>261</v>
      </c>
      <c r="W127"/>
      <c r="Y127" t="s">
        <v>377</v>
      </c>
      <c r="Z127" t="s">
        <v>378</v>
      </c>
      <c r="AA127" t="s">
        <v>379</v>
      </c>
      <c r="AB127" t="s">
        <v>576</v>
      </c>
      <c r="AC127" t="s">
        <v>41</v>
      </c>
      <c r="AD127" t="s">
        <v>41</v>
      </c>
      <c r="AE127" t="s">
        <v>41</v>
      </c>
      <c r="AF127" t="s">
        <v>41</v>
      </c>
      <c r="AG127" t="s">
        <v>41</v>
      </c>
      <c r="AH127" t="s">
        <v>41</v>
      </c>
      <c r="AK127"/>
    </row>
    <row r="128" spans="1:37" x14ac:dyDescent="0.25">
      <c r="A128" t="s">
        <v>45</v>
      </c>
      <c r="B128">
        <v>45906.485590277778</v>
      </c>
      <c r="C128">
        <v>91551</v>
      </c>
      <c r="D128" t="s">
        <v>373</v>
      </c>
      <c r="E128">
        <v>4495030</v>
      </c>
      <c r="F128">
        <v>133868</v>
      </c>
      <c r="G128" t="s">
        <v>445</v>
      </c>
      <c r="H128" t="s">
        <v>468</v>
      </c>
      <c r="I128">
        <v>2.5</v>
      </c>
      <c r="J128" t="b">
        <v>1</v>
      </c>
      <c r="K128">
        <v>3.125E-2</v>
      </c>
      <c r="L128">
        <v>133869</v>
      </c>
      <c r="M128" t="s">
        <v>446</v>
      </c>
      <c r="N128">
        <v>80</v>
      </c>
      <c r="O128">
        <v>80</v>
      </c>
      <c r="P128" t="s">
        <v>423</v>
      </c>
      <c r="Q128">
        <v>0</v>
      </c>
      <c r="R128">
        <v>0</v>
      </c>
      <c r="S128" t="s">
        <v>40</v>
      </c>
      <c r="T128">
        <v>261</v>
      </c>
      <c r="W128"/>
      <c r="Y128" t="s">
        <v>377</v>
      </c>
      <c r="Z128" t="s">
        <v>378</v>
      </c>
      <c r="AA128" t="s">
        <v>379</v>
      </c>
      <c r="AB128" t="s">
        <v>576</v>
      </c>
      <c r="AC128" t="s">
        <v>41</v>
      </c>
      <c r="AD128" t="s">
        <v>41</v>
      </c>
      <c r="AE128" t="s">
        <v>41</v>
      </c>
      <c r="AF128" t="s">
        <v>41</v>
      </c>
      <c r="AG128" t="s">
        <v>41</v>
      </c>
      <c r="AH128" t="s">
        <v>41</v>
      </c>
      <c r="AK128"/>
    </row>
    <row r="129" spans="1:38" x14ac:dyDescent="0.25">
      <c r="A129" t="s">
        <v>43</v>
      </c>
      <c r="B129">
        <v>45906.652326388888</v>
      </c>
      <c r="C129">
        <v>92138</v>
      </c>
      <c r="D129" t="s">
        <v>373</v>
      </c>
      <c r="E129">
        <v>4495980</v>
      </c>
      <c r="F129">
        <v>2104881</v>
      </c>
      <c r="G129" t="s">
        <v>600</v>
      </c>
      <c r="H129" t="s">
        <v>601</v>
      </c>
      <c r="I129">
        <v>10</v>
      </c>
      <c r="J129" t="b">
        <v>1</v>
      </c>
      <c r="K129">
        <v>2.5</v>
      </c>
      <c r="L129">
        <v>2106201</v>
      </c>
      <c r="M129" t="s">
        <v>602</v>
      </c>
      <c r="N129">
        <v>4</v>
      </c>
      <c r="O129">
        <v>4</v>
      </c>
      <c r="P129"/>
      <c r="Q129">
        <v>134905</v>
      </c>
      <c r="R129">
        <v>1</v>
      </c>
      <c r="S129" t="s">
        <v>40</v>
      </c>
      <c r="T129">
        <v>261</v>
      </c>
      <c r="U129">
        <v>147664</v>
      </c>
      <c r="V129">
        <v>24</v>
      </c>
      <c r="W129" t="s">
        <v>40</v>
      </c>
      <c r="X129">
        <v>261</v>
      </c>
      <c r="Y129" t="s">
        <v>377</v>
      </c>
      <c r="Z129" t="s">
        <v>378</v>
      </c>
      <c r="AA129" t="s">
        <v>379</v>
      </c>
      <c r="AB129" t="s">
        <v>384</v>
      </c>
      <c r="AC129" t="s">
        <v>41</v>
      </c>
      <c r="AD129" t="s">
        <v>41</v>
      </c>
      <c r="AE129" t="s">
        <v>41</v>
      </c>
      <c r="AF129" t="s">
        <v>41</v>
      </c>
      <c r="AG129" t="s">
        <v>41</v>
      </c>
      <c r="AH129" t="s">
        <v>41</v>
      </c>
      <c r="AK129"/>
    </row>
    <row r="130" spans="1:38" x14ac:dyDescent="0.25">
      <c r="A130" t="s">
        <v>43</v>
      </c>
      <c r="B130">
        <v>45906.653923611113</v>
      </c>
      <c r="C130">
        <v>92138</v>
      </c>
      <c r="D130" t="s">
        <v>373</v>
      </c>
      <c r="E130">
        <v>4496021</v>
      </c>
      <c r="F130">
        <v>2104881</v>
      </c>
      <c r="G130" t="s">
        <v>600</v>
      </c>
      <c r="H130" t="s">
        <v>601</v>
      </c>
      <c r="I130">
        <v>10</v>
      </c>
      <c r="J130" t="b">
        <v>1</v>
      </c>
      <c r="K130">
        <v>2.5</v>
      </c>
      <c r="L130">
        <v>2106201</v>
      </c>
      <c r="M130" t="s">
        <v>602</v>
      </c>
      <c r="N130">
        <v>4</v>
      </c>
      <c r="O130">
        <v>3</v>
      </c>
      <c r="P130"/>
      <c r="Q130">
        <v>134905</v>
      </c>
      <c r="R130">
        <v>1</v>
      </c>
      <c r="S130" t="s">
        <v>40</v>
      </c>
      <c r="T130">
        <v>261</v>
      </c>
      <c r="U130">
        <v>147664</v>
      </c>
      <c r="V130">
        <v>24</v>
      </c>
      <c r="W130" t="s">
        <v>40</v>
      </c>
      <c r="X130">
        <v>261</v>
      </c>
      <c r="Y130" t="s">
        <v>377</v>
      </c>
      <c r="Z130" t="s">
        <v>378</v>
      </c>
      <c r="AA130" t="s">
        <v>379</v>
      </c>
      <c r="AB130" t="s">
        <v>384</v>
      </c>
      <c r="AC130" t="s">
        <v>41</v>
      </c>
      <c r="AD130" t="s">
        <v>41</v>
      </c>
      <c r="AE130" t="s">
        <v>41</v>
      </c>
      <c r="AF130" t="s">
        <v>41</v>
      </c>
      <c r="AG130" t="s">
        <v>41</v>
      </c>
      <c r="AH130" t="s">
        <v>41</v>
      </c>
      <c r="AK130"/>
    </row>
    <row r="131" spans="1:38" x14ac:dyDescent="0.25">
      <c r="A131" t="s">
        <v>43</v>
      </c>
      <c r="B131">
        <v>45906.656689814816</v>
      </c>
      <c r="C131">
        <v>92138</v>
      </c>
      <c r="D131" t="s">
        <v>373</v>
      </c>
      <c r="E131">
        <v>4496021</v>
      </c>
      <c r="F131">
        <v>2104881</v>
      </c>
      <c r="G131" t="s">
        <v>600</v>
      </c>
      <c r="H131" t="s">
        <v>601</v>
      </c>
      <c r="I131">
        <v>1</v>
      </c>
      <c r="J131" t="b">
        <v>1</v>
      </c>
      <c r="K131">
        <v>1</v>
      </c>
      <c r="L131">
        <v>2106201</v>
      </c>
      <c r="M131" t="s">
        <v>602</v>
      </c>
      <c r="N131">
        <v>1</v>
      </c>
      <c r="O131">
        <v>0</v>
      </c>
      <c r="P131"/>
      <c r="Q131">
        <v>0</v>
      </c>
      <c r="R131">
        <v>0</v>
      </c>
      <c r="S131" t="s">
        <v>40</v>
      </c>
      <c r="T131">
        <v>261</v>
      </c>
      <c r="W131"/>
      <c r="Y131" t="s">
        <v>377</v>
      </c>
      <c r="Z131" t="s">
        <v>378</v>
      </c>
      <c r="AA131" t="s">
        <v>525</v>
      </c>
      <c r="AB131" t="s">
        <v>525</v>
      </c>
      <c r="AC131" t="s">
        <v>41</v>
      </c>
      <c r="AD131" t="s">
        <v>41</v>
      </c>
      <c r="AE131" t="s">
        <v>41</v>
      </c>
      <c r="AF131" t="s">
        <v>41</v>
      </c>
      <c r="AG131" t="s">
        <v>41</v>
      </c>
      <c r="AH131" t="s">
        <v>41</v>
      </c>
      <c r="AK131"/>
    </row>
    <row r="132" spans="1:38" x14ac:dyDescent="0.25">
      <c r="A132" t="s">
        <v>48</v>
      </c>
      <c r="B132">
        <v>45906.66065972222</v>
      </c>
      <c r="C132">
        <v>91563</v>
      </c>
      <c r="D132" t="s">
        <v>373</v>
      </c>
      <c r="E132">
        <v>4488071</v>
      </c>
      <c r="F132">
        <v>141257</v>
      </c>
      <c r="G132" t="s">
        <v>570</v>
      </c>
      <c r="H132" t="s">
        <v>594</v>
      </c>
      <c r="I132">
        <v>10</v>
      </c>
      <c r="J132" t="b">
        <v>1</v>
      </c>
      <c r="K132">
        <v>5.5555555555555552E-2</v>
      </c>
      <c r="L132">
        <v>141258</v>
      </c>
      <c r="M132" t="s">
        <v>571</v>
      </c>
      <c r="N132">
        <v>180</v>
      </c>
      <c r="O132">
        <v>170</v>
      </c>
      <c r="P132"/>
      <c r="Q132">
        <v>134975</v>
      </c>
      <c r="R132">
        <v>1</v>
      </c>
      <c r="S132" t="s">
        <v>40</v>
      </c>
      <c r="T132">
        <v>261</v>
      </c>
      <c r="V132">
        <v>0</v>
      </c>
      <c r="W132"/>
      <c r="Y132" t="s">
        <v>377</v>
      </c>
      <c r="Z132" t="s">
        <v>378</v>
      </c>
      <c r="AA132" t="s">
        <v>379</v>
      </c>
      <c r="AB132" t="s">
        <v>603</v>
      </c>
      <c r="AC132" t="s">
        <v>379</v>
      </c>
      <c r="AD132" t="s">
        <v>604</v>
      </c>
      <c r="AE132" t="s">
        <v>41</v>
      </c>
      <c r="AF132" t="s">
        <v>41</v>
      </c>
      <c r="AG132" t="s">
        <v>41</v>
      </c>
      <c r="AH132" t="s">
        <v>41</v>
      </c>
      <c r="AI132">
        <v>134975</v>
      </c>
      <c r="AJ132">
        <v>1</v>
      </c>
      <c r="AK132" t="s">
        <v>40</v>
      </c>
      <c r="AL132">
        <v>261</v>
      </c>
    </row>
    <row r="133" spans="1:38" x14ac:dyDescent="0.25">
      <c r="A133" t="s">
        <v>47</v>
      </c>
      <c r="B133">
        <v>45906.663101851853</v>
      </c>
      <c r="C133">
        <v>91561</v>
      </c>
      <c r="D133" t="s">
        <v>373</v>
      </c>
      <c r="E133">
        <v>4479916</v>
      </c>
      <c r="F133">
        <v>124622</v>
      </c>
      <c r="G133" t="s">
        <v>605</v>
      </c>
      <c r="H133" t="s">
        <v>471</v>
      </c>
      <c r="I133">
        <v>1.5</v>
      </c>
      <c r="J133" t="b">
        <v>1</v>
      </c>
      <c r="K133">
        <v>1.3157894736842105E-2</v>
      </c>
      <c r="L133">
        <v>124623</v>
      </c>
      <c r="M133" t="s">
        <v>606</v>
      </c>
      <c r="N133">
        <v>114</v>
      </c>
      <c r="O133">
        <v>127</v>
      </c>
      <c r="P133"/>
      <c r="Q133">
        <v>134975</v>
      </c>
      <c r="R133">
        <v>1</v>
      </c>
      <c r="S133" t="s">
        <v>40</v>
      </c>
      <c r="T133">
        <v>261</v>
      </c>
      <c r="W133"/>
      <c r="Y133" t="s">
        <v>377</v>
      </c>
      <c r="Z133" t="s">
        <v>378</v>
      </c>
      <c r="AA133" t="s">
        <v>379</v>
      </c>
      <c r="AB133" t="s">
        <v>516</v>
      </c>
      <c r="AC133" t="s">
        <v>41</v>
      </c>
      <c r="AD133" t="s">
        <v>41</v>
      </c>
      <c r="AE133" t="s">
        <v>41</v>
      </c>
      <c r="AF133" t="s">
        <v>41</v>
      </c>
      <c r="AG133" t="s">
        <v>41</v>
      </c>
      <c r="AH133" t="s">
        <v>41</v>
      </c>
      <c r="AK133"/>
    </row>
    <row r="134" spans="1:38" x14ac:dyDescent="0.25">
      <c r="A134" t="s">
        <v>42</v>
      </c>
      <c r="B134">
        <v>45907.171412037038</v>
      </c>
      <c r="C134">
        <v>91552</v>
      </c>
      <c r="D134" t="s">
        <v>590</v>
      </c>
      <c r="E134">
        <v>4495022</v>
      </c>
      <c r="F134">
        <v>133860</v>
      </c>
      <c r="G134" t="s">
        <v>607</v>
      </c>
      <c r="H134" t="s">
        <v>483</v>
      </c>
      <c r="I134">
        <v>1.5</v>
      </c>
      <c r="J134" t="b">
        <v>1</v>
      </c>
      <c r="K134">
        <v>2.1428571428571429E-2</v>
      </c>
      <c r="L134">
        <v>133866</v>
      </c>
      <c r="M134" t="s">
        <v>608</v>
      </c>
      <c r="N134">
        <v>70</v>
      </c>
      <c r="O134">
        <v>70</v>
      </c>
      <c r="P134" t="s">
        <v>609</v>
      </c>
      <c r="Q134">
        <v>0</v>
      </c>
      <c r="R134">
        <v>0</v>
      </c>
      <c r="S134" t="s">
        <v>40</v>
      </c>
      <c r="T134">
        <v>261</v>
      </c>
      <c r="W134"/>
      <c r="Y134" t="s">
        <v>377</v>
      </c>
      <c r="Z134" t="s">
        <v>378</v>
      </c>
      <c r="AA134" t="s">
        <v>379</v>
      </c>
      <c r="AB134" t="s">
        <v>447</v>
      </c>
      <c r="AC134" t="s">
        <v>41</v>
      </c>
      <c r="AD134" t="s">
        <v>41</v>
      </c>
      <c r="AE134" t="s">
        <v>41</v>
      </c>
      <c r="AF134" t="s">
        <v>41</v>
      </c>
      <c r="AG134" t="s">
        <v>41</v>
      </c>
      <c r="AH134" t="s">
        <v>41</v>
      </c>
      <c r="AK134"/>
    </row>
    <row r="135" spans="1:38" x14ac:dyDescent="0.25">
      <c r="A135" t="s">
        <v>42</v>
      </c>
      <c r="B135">
        <v>45907.172777777778</v>
      </c>
      <c r="C135">
        <v>91555</v>
      </c>
      <c r="D135" t="s">
        <v>590</v>
      </c>
      <c r="E135">
        <v>4494680</v>
      </c>
      <c r="F135">
        <v>104014</v>
      </c>
      <c r="G135" t="s">
        <v>610</v>
      </c>
      <c r="H135" t="s">
        <v>468</v>
      </c>
      <c r="I135">
        <v>1.5</v>
      </c>
      <c r="J135" t="b">
        <v>1</v>
      </c>
      <c r="K135">
        <v>2.1428571428571429E-2</v>
      </c>
      <c r="L135">
        <v>104015</v>
      </c>
      <c r="M135" t="s">
        <v>611</v>
      </c>
      <c r="N135">
        <v>70</v>
      </c>
      <c r="O135">
        <v>70</v>
      </c>
      <c r="P135" t="s">
        <v>408</v>
      </c>
      <c r="Q135">
        <v>0</v>
      </c>
      <c r="R135">
        <v>0</v>
      </c>
      <c r="S135" t="s">
        <v>40</v>
      </c>
      <c r="T135">
        <v>261</v>
      </c>
      <c r="W135"/>
      <c r="Y135" t="s">
        <v>377</v>
      </c>
      <c r="Z135" t="s">
        <v>378</v>
      </c>
      <c r="AA135" t="s">
        <v>379</v>
      </c>
      <c r="AB135" t="s">
        <v>447</v>
      </c>
      <c r="AC135" t="s">
        <v>41</v>
      </c>
      <c r="AD135" t="s">
        <v>41</v>
      </c>
      <c r="AE135" t="s">
        <v>41</v>
      </c>
      <c r="AF135" t="s">
        <v>41</v>
      </c>
      <c r="AG135" t="s">
        <v>41</v>
      </c>
      <c r="AH135" t="s">
        <v>41</v>
      </c>
      <c r="AK135"/>
    </row>
    <row r="136" spans="1:38" x14ac:dyDescent="0.25">
      <c r="A136" t="s">
        <v>39</v>
      </c>
      <c r="B136">
        <v>45907.186898148146</v>
      </c>
      <c r="C136">
        <v>92232</v>
      </c>
      <c r="D136" t="s">
        <v>590</v>
      </c>
      <c r="E136">
        <v>4494560</v>
      </c>
      <c r="F136">
        <v>113699</v>
      </c>
      <c r="G136" t="s">
        <v>598</v>
      </c>
      <c r="H136" t="s">
        <v>483</v>
      </c>
      <c r="I136">
        <v>7.5</v>
      </c>
      <c r="J136" t="b">
        <v>1</v>
      </c>
      <c r="K136">
        <v>0.625</v>
      </c>
      <c r="L136">
        <v>113700</v>
      </c>
      <c r="M136" t="s">
        <v>599</v>
      </c>
      <c r="N136">
        <v>12</v>
      </c>
      <c r="O136">
        <v>12</v>
      </c>
      <c r="P136"/>
      <c r="Q136">
        <v>134971</v>
      </c>
      <c r="R136">
        <v>1</v>
      </c>
      <c r="S136" t="s">
        <v>40</v>
      </c>
      <c r="T136">
        <v>261</v>
      </c>
      <c r="U136">
        <v>147664</v>
      </c>
      <c r="V136">
        <v>48</v>
      </c>
      <c r="W136" t="s">
        <v>40</v>
      </c>
      <c r="X136">
        <v>261</v>
      </c>
      <c r="Y136" t="s">
        <v>377</v>
      </c>
      <c r="Z136" t="s">
        <v>378</v>
      </c>
      <c r="AA136" t="s">
        <v>379</v>
      </c>
      <c r="AB136" t="s">
        <v>384</v>
      </c>
      <c r="AC136" t="s">
        <v>379</v>
      </c>
      <c r="AD136" t="s">
        <v>400</v>
      </c>
      <c r="AE136" t="s">
        <v>41</v>
      </c>
      <c r="AF136" t="s">
        <v>41</v>
      </c>
      <c r="AG136" t="s">
        <v>41</v>
      </c>
      <c r="AH136" t="s">
        <v>41</v>
      </c>
      <c r="AI136">
        <v>134907</v>
      </c>
      <c r="AJ136">
        <v>1</v>
      </c>
      <c r="AK136" t="s">
        <v>40</v>
      </c>
      <c r="AL136">
        <v>261</v>
      </c>
    </row>
    <row r="137" spans="1:38" x14ac:dyDescent="0.25">
      <c r="A137" t="s">
        <v>45</v>
      </c>
      <c r="B137">
        <v>45907.238310185188</v>
      </c>
      <c r="C137">
        <v>91566</v>
      </c>
      <c r="D137" t="s">
        <v>590</v>
      </c>
      <c r="E137">
        <v>4495378</v>
      </c>
      <c r="F137">
        <v>114786</v>
      </c>
      <c r="G137" t="s">
        <v>612</v>
      </c>
      <c r="H137" t="s">
        <v>474</v>
      </c>
      <c r="I137">
        <v>2.5</v>
      </c>
      <c r="J137" t="b">
        <v>1</v>
      </c>
      <c r="K137">
        <v>1.1111111111111112E-2</v>
      </c>
      <c r="L137">
        <v>114787</v>
      </c>
      <c r="M137" t="s">
        <v>613</v>
      </c>
      <c r="N137">
        <v>225</v>
      </c>
      <c r="O137">
        <v>219</v>
      </c>
      <c r="P137"/>
      <c r="Q137">
        <v>134974</v>
      </c>
      <c r="R137">
        <v>1</v>
      </c>
      <c r="S137" t="s">
        <v>40</v>
      </c>
      <c r="T137">
        <v>261</v>
      </c>
      <c r="W137"/>
      <c r="Y137" t="s">
        <v>377</v>
      </c>
      <c r="Z137" t="s">
        <v>378</v>
      </c>
      <c r="AA137" t="s">
        <v>379</v>
      </c>
      <c r="AB137" t="s">
        <v>614</v>
      </c>
      <c r="AC137" t="s">
        <v>41</v>
      </c>
      <c r="AD137" t="s">
        <v>41</v>
      </c>
      <c r="AE137" t="s">
        <v>41</v>
      </c>
      <c r="AF137" t="s">
        <v>41</v>
      </c>
      <c r="AG137" t="s">
        <v>41</v>
      </c>
      <c r="AH137" t="s">
        <v>41</v>
      </c>
      <c r="AK137"/>
    </row>
    <row r="138" spans="1:38" x14ac:dyDescent="0.25">
      <c r="A138" t="s">
        <v>37</v>
      </c>
      <c r="B138">
        <v>45907.286979166667</v>
      </c>
      <c r="C138">
        <v>92279</v>
      </c>
      <c r="D138" t="s">
        <v>373</v>
      </c>
      <c r="E138">
        <v>4496495</v>
      </c>
      <c r="F138">
        <v>156292</v>
      </c>
      <c r="G138" t="s">
        <v>46</v>
      </c>
      <c r="H138" t="s">
        <v>615</v>
      </c>
      <c r="I138">
        <v>14</v>
      </c>
      <c r="J138" t="b">
        <v>0</v>
      </c>
      <c r="K138">
        <v>3.5</v>
      </c>
      <c r="L138">
        <v>156291</v>
      </c>
      <c r="M138" t="s">
        <v>433</v>
      </c>
      <c r="N138">
        <v>4</v>
      </c>
      <c r="O138">
        <v>4</v>
      </c>
      <c r="P138"/>
      <c r="Q138">
        <v>134905</v>
      </c>
      <c r="R138">
        <v>1</v>
      </c>
      <c r="S138" t="s">
        <v>40</v>
      </c>
      <c r="T138">
        <v>261</v>
      </c>
      <c r="U138">
        <v>147664</v>
      </c>
      <c r="V138">
        <v>24</v>
      </c>
      <c r="W138" t="s">
        <v>40</v>
      </c>
      <c r="X138">
        <v>261</v>
      </c>
      <c r="Y138" t="s">
        <v>377</v>
      </c>
      <c r="Z138" t="s">
        <v>378</v>
      </c>
      <c r="AA138" t="s">
        <v>379</v>
      </c>
      <c r="AB138" t="s">
        <v>384</v>
      </c>
      <c r="AC138" t="s">
        <v>41</v>
      </c>
      <c r="AD138" t="s">
        <v>41</v>
      </c>
      <c r="AE138" t="s">
        <v>41</v>
      </c>
      <c r="AF138" t="s">
        <v>41</v>
      </c>
      <c r="AG138" t="s">
        <v>41</v>
      </c>
      <c r="AH138" t="s">
        <v>41</v>
      </c>
      <c r="AK138"/>
    </row>
    <row r="139" spans="1:38" x14ac:dyDescent="0.25">
      <c r="A139" t="s">
        <v>37</v>
      </c>
      <c r="B139">
        <v>45907.292141203703</v>
      </c>
      <c r="C139">
        <v>92279</v>
      </c>
      <c r="D139" t="s">
        <v>373</v>
      </c>
      <c r="E139">
        <v>4496496</v>
      </c>
      <c r="F139">
        <v>156292</v>
      </c>
      <c r="G139" t="s">
        <v>46</v>
      </c>
      <c r="H139" t="s">
        <v>615</v>
      </c>
      <c r="I139">
        <v>14</v>
      </c>
      <c r="J139" t="b">
        <v>1</v>
      </c>
      <c r="K139">
        <v>3.5</v>
      </c>
      <c r="L139">
        <v>156291</v>
      </c>
      <c r="M139" t="s">
        <v>433</v>
      </c>
      <c r="N139">
        <v>4</v>
      </c>
      <c r="O139">
        <v>4</v>
      </c>
      <c r="P139"/>
      <c r="Q139">
        <v>134905</v>
      </c>
      <c r="R139">
        <v>1</v>
      </c>
      <c r="S139" t="s">
        <v>40</v>
      </c>
      <c r="T139">
        <v>261</v>
      </c>
      <c r="U139">
        <v>147664</v>
      </c>
      <c r="V139">
        <v>24</v>
      </c>
      <c r="W139" t="s">
        <v>40</v>
      </c>
      <c r="X139">
        <v>261</v>
      </c>
      <c r="Y139" t="s">
        <v>377</v>
      </c>
      <c r="Z139" t="s">
        <v>378</v>
      </c>
      <c r="AA139" t="s">
        <v>379</v>
      </c>
      <c r="AB139" t="s">
        <v>384</v>
      </c>
      <c r="AC139" t="s">
        <v>41</v>
      </c>
      <c r="AD139" t="s">
        <v>41</v>
      </c>
      <c r="AE139" t="s">
        <v>41</v>
      </c>
      <c r="AF139" t="s">
        <v>41</v>
      </c>
      <c r="AG139" t="s">
        <v>41</v>
      </c>
      <c r="AH139" t="s">
        <v>41</v>
      </c>
      <c r="AK139"/>
    </row>
    <row r="140" spans="1:38" x14ac:dyDescent="0.25">
      <c r="A140" t="s">
        <v>47</v>
      </c>
      <c r="B140">
        <v>45907.394560185188</v>
      </c>
      <c r="C140">
        <v>91568</v>
      </c>
      <c r="D140" t="s">
        <v>373</v>
      </c>
      <c r="E140">
        <v>4495378</v>
      </c>
      <c r="F140">
        <v>114786</v>
      </c>
      <c r="G140" t="s">
        <v>612</v>
      </c>
      <c r="H140" t="s">
        <v>474</v>
      </c>
      <c r="I140">
        <v>2.5</v>
      </c>
      <c r="J140" t="b">
        <v>1</v>
      </c>
      <c r="K140">
        <v>2.4752475247524754E-2</v>
      </c>
      <c r="L140">
        <v>114787</v>
      </c>
      <c r="M140" t="s">
        <v>613</v>
      </c>
      <c r="N140">
        <v>101</v>
      </c>
      <c r="O140">
        <v>101</v>
      </c>
      <c r="P140"/>
      <c r="Q140">
        <v>134974</v>
      </c>
      <c r="R140">
        <v>1</v>
      </c>
      <c r="S140" t="s">
        <v>40</v>
      </c>
      <c r="T140">
        <v>261</v>
      </c>
      <c r="W140"/>
      <c r="Y140" t="s">
        <v>377</v>
      </c>
      <c r="Z140" t="s">
        <v>378</v>
      </c>
      <c r="AA140" t="s">
        <v>379</v>
      </c>
      <c r="AB140" t="s">
        <v>616</v>
      </c>
      <c r="AC140" t="s">
        <v>41</v>
      </c>
      <c r="AD140" t="s">
        <v>41</v>
      </c>
      <c r="AE140" t="s">
        <v>41</v>
      </c>
      <c r="AF140" t="s">
        <v>41</v>
      </c>
      <c r="AG140" t="s">
        <v>41</v>
      </c>
      <c r="AH140" t="s">
        <v>41</v>
      </c>
      <c r="AK140"/>
    </row>
    <row r="141" spans="1:38" x14ac:dyDescent="0.25">
      <c r="A141" t="s">
        <v>43</v>
      </c>
      <c r="B141">
        <v>45907.410509259258</v>
      </c>
      <c r="C141">
        <v>92139</v>
      </c>
      <c r="D141" t="s">
        <v>373</v>
      </c>
      <c r="E141">
        <v>4496022</v>
      </c>
      <c r="F141">
        <v>2104881</v>
      </c>
      <c r="G141" t="s">
        <v>600</v>
      </c>
      <c r="H141" t="s">
        <v>617</v>
      </c>
      <c r="I141">
        <v>5</v>
      </c>
      <c r="J141" t="b">
        <v>1</v>
      </c>
      <c r="K141">
        <v>1.25</v>
      </c>
      <c r="L141">
        <v>2106201</v>
      </c>
      <c r="M141" t="s">
        <v>602</v>
      </c>
      <c r="N141">
        <v>4</v>
      </c>
      <c r="O141">
        <v>4</v>
      </c>
      <c r="P141"/>
      <c r="Q141">
        <v>134905</v>
      </c>
      <c r="R141">
        <v>1</v>
      </c>
      <c r="S141" t="s">
        <v>40</v>
      </c>
      <c r="T141">
        <v>261</v>
      </c>
      <c r="U141">
        <v>147664</v>
      </c>
      <c r="V141">
        <v>24</v>
      </c>
      <c r="W141" t="s">
        <v>40</v>
      </c>
      <c r="X141">
        <v>261</v>
      </c>
      <c r="Y141" t="s">
        <v>377</v>
      </c>
      <c r="Z141" t="s">
        <v>378</v>
      </c>
      <c r="AA141" t="s">
        <v>379</v>
      </c>
      <c r="AB141" t="s">
        <v>384</v>
      </c>
      <c r="AC141" t="s">
        <v>41</v>
      </c>
      <c r="AD141" t="s">
        <v>41</v>
      </c>
      <c r="AE141" t="s">
        <v>41</v>
      </c>
      <c r="AF141" t="s">
        <v>41</v>
      </c>
      <c r="AG141" t="s">
        <v>41</v>
      </c>
      <c r="AH141" t="s">
        <v>41</v>
      </c>
      <c r="AK141"/>
    </row>
    <row r="142" spans="1:38" x14ac:dyDescent="0.25">
      <c r="A142" t="s">
        <v>43</v>
      </c>
      <c r="B142">
        <v>45907.411793981482</v>
      </c>
      <c r="C142">
        <v>92139</v>
      </c>
      <c r="D142" t="s">
        <v>373</v>
      </c>
      <c r="E142">
        <v>4496023</v>
      </c>
      <c r="F142">
        <v>2104881</v>
      </c>
      <c r="G142" t="s">
        <v>600</v>
      </c>
      <c r="H142" t="s">
        <v>617</v>
      </c>
      <c r="I142">
        <v>5</v>
      </c>
      <c r="J142" t="b">
        <v>1</v>
      </c>
      <c r="K142">
        <v>1</v>
      </c>
      <c r="L142">
        <v>2106201</v>
      </c>
      <c r="M142" t="s">
        <v>602</v>
      </c>
      <c r="N142">
        <v>5</v>
      </c>
      <c r="O142">
        <v>5</v>
      </c>
      <c r="P142"/>
      <c r="Q142">
        <v>134905</v>
      </c>
      <c r="R142">
        <v>1</v>
      </c>
      <c r="S142" t="s">
        <v>40</v>
      </c>
      <c r="T142">
        <v>261</v>
      </c>
      <c r="U142">
        <v>147664</v>
      </c>
      <c r="V142">
        <v>24</v>
      </c>
      <c r="W142" t="s">
        <v>40</v>
      </c>
      <c r="X142">
        <v>261</v>
      </c>
      <c r="Y142" t="s">
        <v>377</v>
      </c>
      <c r="Z142" t="s">
        <v>378</v>
      </c>
      <c r="AA142" t="s">
        <v>379</v>
      </c>
      <c r="AB142" t="s">
        <v>559</v>
      </c>
      <c r="AC142" t="s">
        <v>41</v>
      </c>
      <c r="AD142" t="s">
        <v>41</v>
      </c>
      <c r="AE142" t="s">
        <v>41</v>
      </c>
      <c r="AF142" t="s">
        <v>41</v>
      </c>
      <c r="AG142" t="s">
        <v>41</v>
      </c>
      <c r="AH142" t="s">
        <v>41</v>
      </c>
      <c r="AK142"/>
    </row>
    <row r="143" spans="1:38" x14ac:dyDescent="0.25">
      <c r="A143" t="s">
        <v>39</v>
      </c>
      <c r="B143">
        <v>45907.556527777779</v>
      </c>
      <c r="C143">
        <v>91556</v>
      </c>
      <c r="D143" t="s">
        <v>373</v>
      </c>
      <c r="E143">
        <v>4494693</v>
      </c>
      <c r="F143">
        <v>2141699</v>
      </c>
      <c r="G143" t="s">
        <v>448</v>
      </c>
      <c r="H143" t="s">
        <v>618</v>
      </c>
      <c r="I143">
        <v>1.5</v>
      </c>
      <c r="J143" t="b">
        <v>1</v>
      </c>
      <c r="K143">
        <v>4.2253521126760559E-3</v>
      </c>
      <c r="L143">
        <v>2106398</v>
      </c>
      <c r="M143" t="s">
        <v>449</v>
      </c>
      <c r="N143">
        <v>355</v>
      </c>
      <c r="O143">
        <v>290</v>
      </c>
      <c r="P143"/>
      <c r="Q143">
        <v>134971</v>
      </c>
      <c r="R143">
        <v>1</v>
      </c>
      <c r="S143" t="s">
        <v>40</v>
      </c>
      <c r="T143">
        <v>261</v>
      </c>
      <c r="U143">
        <v>147664</v>
      </c>
      <c r="V143">
        <v>24</v>
      </c>
      <c r="W143" t="s">
        <v>40</v>
      </c>
      <c r="X143">
        <v>261</v>
      </c>
      <c r="Y143" t="s">
        <v>377</v>
      </c>
      <c r="Z143" t="s">
        <v>378</v>
      </c>
      <c r="AA143" t="s">
        <v>379</v>
      </c>
      <c r="AB143" t="s">
        <v>453</v>
      </c>
      <c r="AC143" t="s">
        <v>41</v>
      </c>
      <c r="AD143" t="s">
        <v>41</v>
      </c>
      <c r="AE143" t="s">
        <v>41</v>
      </c>
      <c r="AF143" t="s">
        <v>41</v>
      </c>
      <c r="AG143" t="s">
        <v>41</v>
      </c>
      <c r="AH143" t="s">
        <v>41</v>
      </c>
      <c r="AK143"/>
    </row>
    <row r="144" spans="1:38" x14ac:dyDescent="0.25">
      <c r="A144" t="s">
        <v>38</v>
      </c>
      <c r="B144">
        <v>45907.834988425922</v>
      </c>
      <c r="C144">
        <v>92326</v>
      </c>
      <c r="D144" t="s">
        <v>619</v>
      </c>
      <c r="E144">
        <v>4481488</v>
      </c>
      <c r="F144">
        <v>2304758</v>
      </c>
      <c r="G144" t="s">
        <v>402</v>
      </c>
      <c r="H144" t="s">
        <v>620</v>
      </c>
      <c r="I144">
        <v>14</v>
      </c>
      <c r="J144" t="b">
        <v>1</v>
      </c>
      <c r="K144">
        <v>1.75</v>
      </c>
      <c r="L144">
        <v>2304759</v>
      </c>
      <c r="M144" t="s">
        <v>404</v>
      </c>
      <c r="N144">
        <v>8</v>
      </c>
      <c r="O144">
        <v>8</v>
      </c>
      <c r="P144" t="s">
        <v>621</v>
      </c>
      <c r="Q144">
        <v>155687</v>
      </c>
      <c r="R144">
        <v>1</v>
      </c>
      <c r="S144" t="s">
        <v>40</v>
      </c>
      <c r="T144">
        <v>261</v>
      </c>
      <c r="U144">
        <v>147664</v>
      </c>
      <c r="V144">
        <v>24</v>
      </c>
      <c r="W144" t="s">
        <v>40</v>
      </c>
      <c r="X144">
        <v>261</v>
      </c>
      <c r="Y144" t="s">
        <v>377</v>
      </c>
      <c r="Z144" t="s">
        <v>378</v>
      </c>
      <c r="AA144" t="s">
        <v>379</v>
      </c>
      <c r="AB144" t="s">
        <v>384</v>
      </c>
      <c r="AC144" t="s">
        <v>379</v>
      </c>
      <c r="AD144" t="s">
        <v>622</v>
      </c>
      <c r="AE144" t="s">
        <v>41</v>
      </c>
      <c r="AF144" t="s">
        <v>41</v>
      </c>
      <c r="AG144" t="s">
        <v>41</v>
      </c>
      <c r="AH144" t="s">
        <v>41</v>
      </c>
      <c r="AK144"/>
    </row>
    <row r="145" spans="1:38" x14ac:dyDescent="0.25">
      <c r="A145" t="s">
        <v>42</v>
      </c>
      <c r="B145">
        <v>45907.847766203704</v>
      </c>
      <c r="C145">
        <v>92233</v>
      </c>
      <c r="D145" t="s">
        <v>619</v>
      </c>
      <c r="E145">
        <v>4494561</v>
      </c>
      <c r="F145">
        <v>113699</v>
      </c>
      <c r="G145" t="s">
        <v>598</v>
      </c>
      <c r="H145" t="s">
        <v>468</v>
      </c>
      <c r="I145">
        <v>7.5</v>
      </c>
      <c r="J145" t="b">
        <v>1</v>
      </c>
      <c r="K145">
        <v>0.625</v>
      </c>
      <c r="L145">
        <v>113700</v>
      </c>
      <c r="M145" t="s">
        <v>599</v>
      </c>
      <c r="N145">
        <v>12</v>
      </c>
      <c r="O145">
        <v>12</v>
      </c>
      <c r="P145"/>
      <c r="Q145">
        <v>134907</v>
      </c>
      <c r="R145">
        <v>1</v>
      </c>
      <c r="S145" t="s">
        <v>40</v>
      </c>
      <c r="T145">
        <v>261</v>
      </c>
      <c r="U145">
        <v>147664</v>
      </c>
      <c r="V145">
        <v>24</v>
      </c>
      <c r="W145" t="s">
        <v>40</v>
      </c>
      <c r="X145">
        <v>261</v>
      </c>
      <c r="Y145" t="s">
        <v>377</v>
      </c>
      <c r="Z145" t="s">
        <v>378</v>
      </c>
      <c r="AA145" t="s">
        <v>379</v>
      </c>
      <c r="AB145" t="s">
        <v>400</v>
      </c>
      <c r="AC145" t="s">
        <v>379</v>
      </c>
      <c r="AD145" t="s">
        <v>384</v>
      </c>
      <c r="AE145" t="s">
        <v>41</v>
      </c>
      <c r="AF145" t="s">
        <v>41</v>
      </c>
      <c r="AG145" t="s">
        <v>41</v>
      </c>
      <c r="AH145" t="s">
        <v>41</v>
      </c>
      <c r="AK145"/>
    </row>
    <row r="146" spans="1:38" x14ac:dyDescent="0.25">
      <c r="A146" t="s">
        <v>39</v>
      </c>
      <c r="B146">
        <v>45907.961435185185</v>
      </c>
      <c r="C146">
        <v>91567</v>
      </c>
      <c r="D146" t="s">
        <v>619</v>
      </c>
      <c r="E146">
        <v>4490055</v>
      </c>
      <c r="F146">
        <v>2305829</v>
      </c>
      <c r="G146" t="s">
        <v>623</v>
      </c>
      <c r="H146" t="s">
        <v>436</v>
      </c>
      <c r="I146">
        <v>2.5</v>
      </c>
      <c r="J146" t="b">
        <v>1</v>
      </c>
      <c r="K146">
        <v>1.0373443983402489E-2</v>
      </c>
      <c r="L146">
        <v>2305870</v>
      </c>
      <c r="M146" t="s">
        <v>624</v>
      </c>
      <c r="N146">
        <v>241</v>
      </c>
      <c r="O146">
        <v>254</v>
      </c>
      <c r="P146"/>
      <c r="Q146">
        <v>134974</v>
      </c>
      <c r="R146">
        <v>1</v>
      </c>
      <c r="S146" t="s">
        <v>40</v>
      </c>
      <c r="T146">
        <v>261</v>
      </c>
      <c r="V146">
        <v>0</v>
      </c>
      <c r="W146"/>
      <c r="Y146" t="s">
        <v>377</v>
      </c>
      <c r="Z146" t="s">
        <v>378</v>
      </c>
      <c r="AA146" t="s">
        <v>379</v>
      </c>
      <c r="AB146" t="s">
        <v>625</v>
      </c>
      <c r="AC146" t="s">
        <v>379</v>
      </c>
      <c r="AD146" t="s">
        <v>502</v>
      </c>
      <c r="AE146" t="s">
        <v>41</v>
      </c>
      <c r="AF146" t="s">
        <v>41</v>
      </c>
      <c r="AG146" t="s">
        <v>41</v>
      </c>
      <c r="AH146" t="s">
        <v>41</v>
      </c>
      <c r="AI146">
        <v>134976</v>
      </c>
      <c r="AJ146">
        <v>1</v>
      </c>
      <c r="AK146" t="s">
        <v>40</v>
      </c>
      <c r="AL146">
        <v>261</v>
      </c>
    </row>
    <row r="147" spans="1:38" x14ac:dyDescent="0.25">
      <c r="A147" t="s">
        <v>44</v>
      </c>
      <c r="B147">
        <v>45908.073506944442</v>
      </c>
      <c r="C147">
        <v>922800</v>
      </c>
      <c r="D147" t="s">
        <v>619</v>
      </c>
      <c r="E147">
        <v>4496542</v>
      </c>
      <c r="F147">
        <v>2301366</v>
      </c>
      <c r="G147" t="s">
        <v>397</v>
      </c>
      <c r="H147" t="s">
        <v>626</v>
      </c>
      <c r="I147">
        <v>14</v>
      </c>
      <c r="J147" t="b">
        <v>1</v>
      </c>
      <c r="K147">
        <v>1.75</v>
      </c>
      <c r="L147">
        <v>2301367</v>
      </c>
      <c r="M147" t="s">
        <v>399</v>
      </c>
      <c r="N147">
        <v>8</v>
      </c>
      <c r="O147">
        <v>6</v>
      </c>
      <c r="P147"/>
      <c r="Q147">
        <v>155687</v>
      </c>
      <c r="R147">
        <v>1</v>
      </c>
      <c r="S147" t="s">
        <v>40</v>
      </c>
      <c r="T147">
        <v>261</v>
      </c>
      <c r="U147">
        <v>147664</v>
      </c>
      <c r="V147">
        <v>24</v>
      </c>
      <c r="W147" t="s">
        <v>40</v>
      </c>
      <c r="X147">
        <v>261</v>
      </c>
      <c r="Y147" t="s">
        <v>377</v>
      </c>
      <c r="Z147" t="s">
        <v>378</v>
      </c>
      <c r="AA147" t="s">
        <v>384</v>
      </c>
      <c r="AB147" t="s">
        <v>384</v>
      </c>
      <c r="AC147" t="s">
        <v>41</v>
      </c>
      <c r="AD147" t="s">
        <v>41</v>
      </c>
      <c r="AE147" t="s">
        <v>41</v>
      </c>
      <c r="AF147" t="s">
        <v>41</v>
      </c>
      <c r="AG147" t="s">
        <v>41</v>
      </c>
      <c r="AH147" t="s">
        <v>41</v>
      </c>
      <c r="AK147"/>
    </row>
    <row r="148" spans="1:38" x14ac:dyDescent="0.25">
      <c r="A148" t="s">
        <v>43</v>
      </c>
      <c r="B148">
        <v>45908.091145833336</v>
      </c>
      <c r="C148">
        <v>92142</v>
      </c>
      <c r="D148" t="s">
        <v>619</v>
      </c>
      <c r="E148">
        <v>4496537</v>
      </c>
      <c r="F148">
        <v>2104880</v>
      </c>
      <c r="G148" t="s">
        <v>577</v>
      </c>
      <c r="H148" t="s">
        <v>626</v>
      </c>
      <c r="I148">
        <v>10</v>
      </c>
      <c r="J148" t="b">
        <v>1</v>
      </c>
      <c r="K148">
        <v>1.1111111111111112</v>
      </c>
      <c r="L148">
        <v>2106200</v>
      </c>
      <c r="M148" t="s">
        <v>579</v>
      </c>
      <c r="N148">
        <v>9</v>
      </c>
      <c r="O148">
        <v>9</v>
      </c>
      <c r="P148"/>
      <c r="Q148">
        <v>134907</v>
      </c>
      <c r="R148">
        <v>1</v>
      </c>
      <c r="S148" t="s">
        <v>40</v>
      </c>
      <c r="T148">
        <v>261</v>
      </c>
      <c r="U148">
        <v>147664</v>
      </c>
      <c r="V148">
        <v>24</v>
      </c>
      <c r="W148" t="s">
        <v>40</v>
      </c>
      <c r="X148">
        <v>261</v>
      </c>
      <c r="Y148" t="s">
        <v>377</v>
      </c>
      <c r="Z148" t="s">
        <v>378</v>
      </c>
      <c r="AA148" t="s">
        <v>379</v>
      </c>
      <c r="AB148" t="s">
        <v>384</v>
      </c>
      <c r="AC148" t="s">
        <v>379</v>
      </c>
      <c r="AD148" t="s">
        <v>559</v>
      </c>
      <c r="AE148" t="s">
        <v>41</v>
      </c>
      <c r="AF148" t="s">
        <v>41</v>
      </c>
      <c r="AG148" t="s">
        <v>41</v>
      </c>
      <c r="AH148" t="s">
        <v>41</v>
      </c>
      <c r="AK148"/>
    </row>
    <row r="149" spans="1:38" x14ac:dyDescent="0.25">
      <c r="A149" t="s">
        <v>48</v>
      </c>
      <c r="B149">
        <v>45908.358749999999</v>
      </c>
      <c r="C149">
        <v>92282</v>
      </c>
      <c r="D149" t="s">
        <v>401</v>
      </c>
      <c r="E149">
        <v>4491803</v>
      </c>
      <c r="F149">
        <v>2304718</v>
      </c>
      <c r="G149" t="s">
        <v>627</v>
      </c>
      <c r="H149" t="s">
        <v>587</v>
      </c>
      <c r="I149">
        <v>14</v>
      </c>
      <c r="J149" t="b">
        <v>1</v>
      </c>
      <c r="K149">
        <v>1.75</v>
      </c>
      <c r="L149">
        <v>2304719</v>
      </c>
      <c r="M149" t="s">
        <v>628</v>
      </c>
      <c r="N149">
        <v>8</v>
      </c>
      <c r="O149">
        <v>6</v>
      </c>
      <c r="P149"/>
      <c r="Q149">
        <v>134905</v>
      </c>
      <c r="R149">
        <v>2</v>
      </c>
      <c r="S149" t="s">
        <v>40</v>
      </c>
      <c r="T149">
        <v>261</v>
      </c>
      <c r="U149">
        <v>147664</v>
      </c>
      <c r="V149">
        <v>48</v>
      </c>
      <c r="W149" t="s">
        <v>40</v>
      </c>
      <c r="X149">
        <v>261</v>
      </c>
      <c r="Y149" t="s">
        <v>377</v>
      </c>
      <c r="Z149" t="s">
        <v>378</v>
      </c>
      <c r="AA149" t="s">
        <v>379</v>
      </c>
      <c r="AB149" t="s">
        <v>400</v>
      </c>
      <c r="AC149" t="s">
        <v>41</v>
      </c>
      <c r="AD149" t="s">
        <v>41</v>
      </c>
      <c r="AE149" t="s">
        <v>41</v>
      </c>
      <c r="AF149" t="s">
        <v>41</v>
      </c>
      <c r="AG149" t="s">
        <v>41</v>
      </c>
      <c r="AH149" t="s">
        <v>41</v>
      </c>
      <c r="AK149"/>
    </row>
    <row r="150" spans="1:38" x14ac:dyDescent="0.25">
      <c r="A150" t="s">
        <v>42</v>
      </c>
      <c r="B150">
        <v>45908.388275462959</v>
      </c>
      <c r="C150">
        <v>92234</v>
      </c>
      <c r="D150" t="s">
        <v>629</v>
      </c>
      <c r="E150">
        <v>4494562</v>
      </c>
      <c r="F150">
        <v>113699</v>
      </c>
      <c r="G150" t="s">
        <v>598</v>
      </c>
      <c r="H150" t="s">
        <v>471</v>
      </c>
      <c r="I150">
        <v>7.5</v>
      </c>
      <c r="J150" t="b">
        <v>0</v>
      </c>
      <c r="K150">
        <v>0.625</v>
      </c>
      <c r="L150">
        <v>113700</v>
      </c>
      <c r="M150" t="s">
        <v>599</v>
      </c>
      <c r="N150">
        <v>12</v>
      </c>
      <c r="O150">
        <v>12</v>
      </c>
      <c r="P150"/>
      <c r="Q150">
        <v>0</v>
      </c>
      <c r="R150">
        <v>0</v>
      </c>
      <c r="S150" t="s">
        <v>40</v>
      </c>
      <c r="T150">
        <v>261</v>
      </c>
      <c r="W150"/>
      <c r="Y150" t="s">
        <v>377</v>
      </c>
      <c r="Z150" t="s">
        <v>378</v>
      </c>
      <c r="AA150" t="s">
        <v>379</v>
      </c>
      <c r="AB150" t="s">
        <v>409</v>
      </c>
      <c r="AC150" t="s">
        <v>41</v>
      </c>
      <c r="AD150" t="s">
        <v>41</v>
      </c>
      <c r="AE150" t="s">
        <v>41</v>
      </c>
      <c r="AF150" t="s">
        <v>41</v>
      </c>
      <c r="AG150" t="s">
        <v>41</v>
      </c>
      <c r="AH150" t="s">
        <v>41</v>
      </c>
      <c r="AK150"/>
    </row>
    <row r="151" spans="1:38" x14ac:dyDescent="0.25">
      <c r="A151" t="s">
        <v>39</v>
      </c>
      <c r="B151">
        <v>45908.578298611108</v>
      </c>
      <c r="C151">
        <v>91557</v>
      </c>
      <c r="D151" t="s">
        <v>401</v>
      </c>
      <c r="E151">
        <v>4486429</v>
      </c>
      <c r="F151">
        <v>2105170</v>
      </c>
      <c r="G151" t="s">
        <v>630</v>
      </c>
      <c r="H151" t="s">
        <v>582</v>
      </c>
      <c r="I151">
        <v>3</v>
      </c>
      <c r="J151" t="b">
        <v>1</v>
      </c>
      <c r="K151">
        <v>9.0090090090090089E-3</v>
      </c>
      <c r="L151">
        <v>2106456</v>
      </c>
      <c r="M151" t="s">
        <v>631</v>
      </c>
      <c r="N151">
        <v>333</v>
      </c>
      <c r="O151">
        <v>333</v>
      </c>
      <c r="P151"/>
      <c r="Q151">
        <v>134975</v>
      </c>
      <c r="R151">
        <v>1</v>
      </c>
      <c r="S151" t="s">
        <v>40</v>
      </c>
      <c r="T151">
        <v>261</v>
      </c>
      <c r="V151">
        <v>0</v>
      </c>
      <c r="W151"/>
      <c r="Y151" t="s">
        <v>377</v>
      </c>
      <c r="Z151" t="s">
        <v>378</v>
      </c>
      <c r="AA151" t="s">
        <v>379</v>
      </c>
      <c r="AB151" t="s">
        <v>632</v>
      </c>
      <c r="AC151" t="s">
        <v>379</v>
      </c>
      <c r="AD151" t="s">
        <v>633</v>
      </c>
      <c r="AE151" t="s">
        <v>41</v>
      </c>
      <c r="AF151" t="s">
        <v>41</v>
      </c>
      <c r="AG151" t="s">
        <v>41</v>
      </c>
      <c r="AH151" t="s">
        <v>41</v>
      </c>
      <c r="AI151">
        <v>134974</v>
      </c>
      <c r="AJ151">
        <v>1</v>
      </c>
      <c r="AK151" t="s">
        <v>40</v>
      </c>
      <c r="AL151">
        <v>261</v>
      </c>
    </row>
    <row r="152" spans="1:38" x14ac:dyDescent="0.25">
      <c r="A152" t="s">
        <v>45</v>
      </c>
      <c r="B152">
        <v>45908.714988425927</v>
      </c>
      <c r="C152">
        <v>91569</v>
      </c>
      <c r="D152" t="s">
        <v>401</v>
      </c>
      <c r="E152">
        <v>4490064</v>
      </c>
      <c r="F152">
        <v>113612</v>
      </c>
      <c r="G152" t="s">
        <v>634</v>
      </c>
      <c r="H152" t="s">
        <v>436</v>
      </c>
      <c r="I152">
        <v>2.5</v>
      </c>
      <c r="J152" t="b">
        <v>1</v>
      </c>
      <c r="K152">
        <v>1.1904761904761904E-2</v>
      </c>
      <c r="L152">
        <v>113614</v>
      </c>
      <c r="M152" t="s">
        <v>635</v>
      </c>
      <c r="N152">
        <v>210</v>
      </c>
      <c r="O152">
        <v>200</v>
      </c>
      <c r="P152"/>
      <c r="Q152">
        <v>134971</v>
      </c>
      <c r="R152">
        <v>1</v>
      </c>
      <c r="S152" t="s">
        <v>40</v>
      </c>
      <c r="T152">
        <v>261</v>
      </c>
      <c r="U152">
        <v>147664</v>
      </c>
      <c r="V152">
        <v>24</v>
      </c>
      <c r="W152" t="s">
        <v>40</v>
      </c>
      <c r="X152">
        <v>261</v>
      </c>
      <c r="Y152" t="s">
        <v>377</v>
      </c>
      <c r="Z152" t="s">
        <v>378</v>
      </c>
      <c r="AA152" t="s">
        <v>379</v>
      </c>
      <c r="AB152" t="s">
        <v>636</v>
      </c>
      <c r="AC152" t="s">
        <v>41</v>
      </c>
      <c r="AD152" t="s">
        <v>41</v>
      </c>
      <c r="AE152" t="s">
        <v>41</v>
      </c>
      <c r="AF152" t="s">
        <v>41</v>
      </c>
      <c r="AG152" t="s">
        <v>41</v>
      </c>
      <c r="AH152" t="s">
        <v>41</v>
      </c>
      <c r="AK152"/>
    </row>
    <row r="153" spans="1:38" x14ac:dyDescent="0.25">
      <c r="A153" t="s">
        <v>37</v>
      </c>
      <c r="B153">
        <v>45908.740381944444</v>
      </c>
      <c r="C153">
        <v>92143</v>
      </c>
      <c r="D153" t="s">
        <v>401</v>
      </c>
      <c r="E153">
        <v>4496539</v>
      </c>
      <c r="F153">
        <v>2104880</v>
      </c>
      <c r="G153" t="s">
        <v>577</v>
      </c>
      <c r="H153" t="s">
        <v>637</v>
      </c>
      <c r="I153">
        <v>5</v>
      </c>
      <c r="J153" t="b">
        <v>1</v>
      </c>
      <c r="K153">
        <v>1</v>
      </c>
      <c r="L153">
        <v>2106200</v>
      </c>
      <c r="M153" t="s">
        <v>579</v>
      </c>
      <c r="N153">
        <v>5</v>
      </c>
      <c r="O153">
        <v>5</v>
      </c>
      <c r="P153"/>
      <c r="Q153">
        <v>134971</v>
      </c>
      <c r="R153">
        <v>1</v>
      </c>
      <c r="S153" t="s">
        <v>40</v>
      </c>
      <c r="T153">
        <v>261</v>
      </c>
      <c r="U153">
        <v>147664</v>
      </c>
      <c r="V153">
        <v>24</v>
      </c>
      <c r="W153" t="s">
        <v>40</v>
      </c>
      <c r="X153">
        <v>261</v>
      </c>
      <c r="Y153" t="s">
        <v>377</v>
      </c>
      <c r="Z153" t="s">
        <v>378</v>
      </c>
      <c r="AA153" t="s">
        <v>379</v>
      </c>
      <c r="AB153" t="s">
        <v>559</v>
      </c>
      <c r="AC153" t="s">
        <v>41</v>
      </c>
      <c r="AD153" t="s">
        <v>41</v>
      </c>
      <c r="AE153" t="s">
        <v>41</v>
      </c>
      <c r="AF153" t="s">
        <v>41</v>
      </c>
      <c r="AG153" t="s">
        <v>41</v>
      </c>
      <c r="AH153" t="s">
        <v>41</v>
      </c>
      <c r="AK153"/>
    </row>
    <row r="154" spans="1:38" x14ac:dyDescent="0.25">
      <c r="A154" t="s">
        <v>37</v>
      </c>
      <c r="B154">
        <v>45908.741608796299</v>
      </c>
      <c r="C154">
        <v>92143</v>
      </c>
      <c r="D154" t="s">
        <v>401</v>
      </c>
      <c r="E154">
        <v>4496538</v>
      </c>
      <c r="F154">
        <v>2104880</v>
      </c>
      <c r="G154" t="s">
        <v>577</v>
      </c>
      <c r="H154" t="s">
        <v>637</v>
      </c>
      <c r="I154">
        <v>5</v>
      </c>
      <c r="J154" t="b">
        <v>1</v>
      </c>
      <c r="K154">
        <v>1.25</v>
      </c>
      <c r="L154">
        <v>2106200</v>
      </c>
      <c r="M154" t="s">
        <v>579</v>
      </c>
      <c r="N154">
        <v>4</v>
      </c>
      <c r="O154">
        <v>4</v>
      </c>
      <c r="P154"/>
      <c r="Q154">
        <v>134971</v>
      </c>
      <c r="R154">
        <v>1</v>
      </c>
      <c r="S154" t="s">
        <v>40</v>
      </c>
      <c r="T154">
        <v>261</v>
      </c>
      <c r="U154">
        <v>147664</v>
      </c>
      <c r="V154">
        <v>24</v>
      </c>
      <c r="W154" t="s">
        <v>40</v>
      </c>
      <c r="X154">
        <v>261</v>
      </c>
      <c r="Y154" t="s">
        <v>377</v>
      </c>
      <c r="Z154" t="s">
        <v>378</v>
      </c>
      <c r="AA154" t="s">
        <v>379</v>
      </c>
      <c r="AB154" t="s">
        <v>384</v>
      </c>
      <c r="AC154" t="s">
        <v>41</v>
      </c>
      <c r="AD154" t="s">
        <v>41</v>
      </c>
      <c r="AE154" t="s">
        <v>41</v>
      </c>
      <c r="AF154" t="s">
        <v>41</v>
      </c>
      <c r="AG154" t="s">
        <v>41</v>
      </c>
      <c r="AH154" t="s">
        <v>41</v>
      </c>
      <c r="AK154"/>
    </row>
    <row r="155" spans="1:38" x14ac:dyDescent="0.25">
      <c r="A155" t="s">
        <v>39</v>
      </c>
      <c r="B155">
        <v>45909.829884259256</v>
      </c>
      <c r="C155">
        <v>91573</v>
      </c>
      <c r="D155" t="s">
        <v>563</v>
      </c>
      <c r="E155">
        <v>4495964</v>
      </c>
      <c r="F155">
        <v>2306315</v>
      </c>
      <c r="G155" t="s">
        <v>638</v>
      </c>
      <c r="H155" t="s">
        <v>436</v>
      </c>
      <c r="I155">
        <v>10</v>
      </c>
      <c r="J155" t="b">
        <v>1</v>
      </c>
      <c r="K155">
        <v>4.6511627906976744E-2</v>
      </c>
      <c r="L155">
        <v>145086</v>
      </c>
      <c r="M155" t="s">
        <v>639</v>
      </c>
      <c r="N155">
        <v>215</v>
      </c>
      <c r="O155">
        <v>215</v>
      </c>
      <c r="P155"/>
      <c r="Q155">
        <v>134974</v>
      </c>
      <c r="R155">
        <v>1</v>
      </c>
      <c r="S155" t="s">
        <v>40</v>
      </c>
      <c r="T155">
        <v>261</v>
      </c>
      <c r="W155"/>
      <c r="Y155" t="s">
        <v>377</v>
      </c>
      <c r="Z155" t="s">
        <v>378</v>
      </c>
      <c r="AA155" t="s">
        <v>379</v>
      </c>
      <c r="AB155" t="s">
        <v>489</v>
      </c>
      <c r="AC155" t="s">
        <v>41</v>
      </c>
      <c r="AD155" t="s">
        <v>41</v>
      </c>
      <c r="AE155" t="s">
        <v>41</v>
      </c>
      <c r="AF155" t="s">
        <v>41</v>
      </c>
      <c r="AG155" t="s">
        <v>41</v>
      </c>
      <c r="AH155" t="s">
        <v>41</v>
      </c>
      <c r="AK155"/>
    </row>
    <row r="156" spans="1:38" x14ac:dyDescent="0.25">
      <c r="A156" t="s">
        <v>37</v>
      </c>
      <c r="B156">
        <v>45910.111435185187</v>
      </c>
      <c r="C156">
        <v>91572</v>
      </c>
      <c r="D156" t="s">
        <v>563</v>
      </c>
      <c r="E156">
        <v>4492232</v>
      </c>
      <c r="F156">
        <v>2305150</v>
      </c>
      <c r="G156" t="s">
        <v>640</v>
      </c>
      <c r="H156" t="s">
        <v>436</v>
      </c>
      <c r="I156">
        <v>20</v>
      </c>
      <c r="J156" t="b">
        <v>1</v>
      </c>
      <c r="K156">
        <v>0.11764705882352941</v>
      </c>
      <c r="L156">
        <v>2305151</v>
      </c>
      <c r="M156" t="s">
        <v>641</v>
      </c>
      <c r="N156">
        <v>170</v>
      </c>
      <c r="O156">
        <v>371</v>
      </c>
      <c r="P156"/>
      <c r="Q156">
        <v>134974</v>
      </c>
      <c r="R156">
        <v>1</v>
      </c>
      <c r="S156" t="s">
        <v>40</v>
      </c>
      <c r="T156">
        <v>261</v>
      </c>
      <c r="W156"/>
      <c r="Y156" t="s">
        <v>377</v>
      </c>
      <c r="Z156" t="s">
        <v>378</v>
      </c>
      <c r="AA156" t="s">
        <v>379</v>
      </c>
      <c r="AB156" t="s">
        <v>642</v>
      </c>
      <c r="AC156" t="s">
        <v>41</v>
      </c>
      <c r="AD156" t="s">
        <v>41</v>
      </c>
      <c r="AE156" t="s">
        <v>41</v>
      </c>
      <c r="AF156" t="s">
        <v>41</v>
      </c>
      <c r="AG156" t="s">
        <v>41</v>
      </c>
      <c r="AH156" t="s">
        <v>41</v>
      </c>
      <c r="AK156"/>
    </row>
    <row r="157" spans="1:38" x14ac:dyDescent="0.25">
      <c r="A157" t="s">
        <v>45</v>
      </c>
      <c r="B157">
        <v>45910.136145833334</v>
      </c>
      <c r="C157">
        <v>90965</v>
      </c>
      <c r="D157" t="s">
        <v>563</v>
      </c>
      <c r="E157">
        <v>4486600</v>
      </c>
      <c r="F157">
        <v>2105666</v>
      </c>
      <c r="G157" t="s">
        <v>643</v>
      </c>
      <c r="H157" t="s">
        <v>582</v>
      </c>
      <c r="I157">
        <v>1.5</v>
      </c>
      <c r="J157" t="b">
        <v>1</v>
      </c>
      <c r="K157">
        <v>9.3749999999999997E-3</v>
      </c>
      <c r="L157">
        <v>2106930</v>
      </c>
      <c r="M157" t="s">
        <v>644</v>
      </c>
      <c r="N157">
        <v>160</v>
      </c>
      <c r="O157">
        <v>160</v>
      </c>
      <c r="P157"/>
      <c r="Q157">
        <v>134976</v>
      </c>
      <c r="R157">
        <v>1</v>
      </c>
      <c r="S157" t="s">
        <v>40</v>
      </c>
      <c r="T157">
        <v>261</v>
      </c>
      <c r="W157"/>
      <c r="Y157" t="s">
        <v>377</v>
      </c>
      <c r="Z157" t="s">
        <v>378</v>
      </c>
      <c r="AA157" t="s">
        <v>379</v>
      </c>
      <c r="AB157" t="s">
        <v>645</v>
      </c>
      <c r="AC157" t="s">
        <v>41</v>
      </c>
      <c r="AD157" t="s">
        <v>41</v>
      </c>
      <c r="AE157" t="s">
        <v>41</v>
      </c>
      <c r="AF157" t="s">
        <v>41</v>
      </c>
      <c r="AG157" t="s">
        <v>41</v>
      </c>
      <c r="AH157" t="s">
        <v>41</v>
      </c>
      <c r="AK157"/>
    </row>
    <row r="158" spans="1:38" x14ac:dyDescent="0.25">
      <c r="A158" t="s">
        <v>48</v>
      </c>
      <c r="B158">
        <v>45910.417812500003</v>
      </c>
      <c r="C158">
        <v>91571</v>
      </c>
      <c r="D158" t="s">
        <v>646</v>
      </c>
      <c r="E158">
        <v>4492232</v>
      </c>
      <c r="F158">
        <v>2305150</v>
      </c>
      <c r="G158" t="s">
        <v>640</v>
      </c>
      <c r="H158" t="s">
        <v>436</v>
      </c>
      <c r="I158">
        <v>20</v>
      </c>
      <c r="J158" t="b">
        <v>1</v>
      </c>
      <c r="K158">
        <v>0.10869565217391304</v>
      </c>
      <c r="L158">
        <v>2305151</v>
      </c>
      <c r="M158" t="s">
        <v>641</v>
      </c>
      <c r="N158">
        <v>184</v>
      </c>
      <c r="O158">
        <v>197</v>
      </c>
      <c r="P158"/>
      <c r="Q158">
        <v>134974</v>
      </c>
      <c r="R158">
        <v>1</v>
      </c>
      <c r="S158" t="s">
        <v>40</v>
      </c>
      <c r="T158">
        <v>261</v>
      </c>
      <c r="W158"/>
      <c r="Y158" t="s">
        <v>377</v>
      </c>
      <c r="Z158" t="s">
        <v>378</v>
      </c>
      <c r="AA158" t="s">
        <v>379</v>
      </c>
      <c r="AB158" t="s">
        <v>647</v>
      </c>
      <c r="AC158" t="s">
        <v>41</v>
      </c>
      <c r="AD158" t="s">
        <v>41</v>
      </c>
      <c r="AE158" t="s">
        <v>41</v>
      </c>
      <c r="AF158" t="s">
        <v>41</v>
      </c>
      <c r="AG158" t="s">
        <v>41</v>
      </c>
      <c r="AH158" t="s">
        <v>41</v>
      </c>
      <c r="AK158"/>
    </row>
    <row r="159" spans="1:38" x14ac:dyDescent="0.25">
      <c r="A159" t="s">
        <v>39</v>
      </c>
      <c r="B159">
        <v>45910.445462962962</v>
      </c>
      <c r="C159">
        <v>91574</v>
      </c>
      <c r="D159" t="s">
        <v>646</v>
      </c>
      <c r="E159">
        <v>4490058</v>
      </c>
      <c r="F159">
        <v>2308643</v>
      </c>
      <c r="G159" t="s">
        <v>648</v>
      </c>
      <c r="H159" t="s">
        <v>436</v>
      </c>
      <c r="I159">
        <v>3</v>
      </c>
      <c r="J159" t="b">
        <v>1</v>
      </c>
      <c r="K159">
        <v>1.1811023622047244E-2</v>
      </c>
      <c r="L159">
        <v>2308644</v>
      </c>
      <c r="M159" t="s">
        <v>649</v>
      </c>
      <c r="N159">
        <v>254</v>
      </c>
      <c r="O159">
        <v>249</v>
      </c>
      <c r="P159"/>
      <c r="Q159">
        <v>134974</v>
      </c>
      <c r="R159">
        <v>1</v>
      </c>
      <c r="S159" t="s">
        <v>40</v>
      </c>
      <c r="T159">
        <v>261</v>
      </c>
      <c r="V159">
        <v>0</v>
      </c>
      <c r="W159"/>
      <c r="Y159" t="s">
        <v>377</v>
      </c>
      <c r="Z159" t="s">
        <v>378</v>
      </c>
      <c r="AA159" t="s">
        <v>379</v>
      </c>
      <c r="AB159" t="s">
        <v>491</v>
      </c>
      <c r="AC159" t="s">
        <v>379</v>
      </c>
      <c r="AD159" t="s">
        <v>543</v>
      </c>
      <c r="AE159" t="s">
        <v>41</v>
      </c>
      <c r="AF159" t="s">
        <v>41</v>
      </c>
      <c r="AG159" t="s">
        <v>41</v>
      </c>
      <c r="AH159" t="s">
        <v>41</v>
      </c>
      <c r="AI159">
        <v>134975</v>
      </c>
      <c r="AJ159">
        <v>1</v>
      </c>
      <c r="AK159" t="s">
        <v>40</v>
      </c>
      <c r="AL159">
        <v>261</v>
      </c>
    </row>
    <row r="160" spans="1:38" x14ac:dyDescent="0.25">
      <c r="A160" t="s">
        <v>39</v>
      </c>
      <c r="B160">
        <v>45910.447476851848</v>
      </c>
      <c r="C160">
        <v>91574</v>
      </c>
      <c r="D160" t="s">
        <v>646</v>
      </c>
      <c r="E160">
        <v>4490058</v>
      </c>
      <c r="F160">
        <v>2308643</v>
      </c>
      <c r="G160" t="s">
        <v>648</v>
      </c>
      <c r="H160" t="s">
        <v>436</v>
      </c>
      <c r="I160">
        <v>3</v>
      </c>
      <c r="J160" t="b">
        <v>1</v>
      </c>
      <c r="K160">
        <v>1.1811023622047244E-2</v>
      </c>
      <c r="L160">
        <v>2308644</v>
      </c>
      <c r="M160" t="s">
        <v>649</v>
      </c>
      <c r="N160">
        <v>254</v>
      </c>
      <c r="O160">
        <v>150</v>
      </c>
      <c r="P160"/>
      <c r="Q160">
        <v>134974</v>
      </c>
      <c r="R160">
        <v>1</v>
      </c>
      <c r="S160" t="s">
        <v>40</v>
      </c>
      <c r="T160">
        <v>261</v>
      </c>
      <c r="V160">
        <v>0</v>
      </c>
      <c r="W160"/>
      <c r="Y160" t="s">
        <v>377</v>
      </c>
      <c r="Z160" t="s">
        <v>378</v>
      </c>
      <c r="AA160" t="s">
        <v>379</v>
      </c>
      <c r="AB160" t="s">
        <v>491</v>
      </c>
      <c r="AC160" t="s">
        <v>379</v>
      </c>
      <c r="AD160" t="s">
        <v>543</v>
      </c>
      <c r="AE160" t="s">
        <v>41</v>
      </c>
      <c r="AF160" t="s">
        <v>41</v>
      </c>
      <c r="AG160" t="s">
        <v>41</v>
      </c>
      <c r="AH160" t="s">
        <v>41</v>
      </c>
      <c r="AI160">
        <v>134975</v>
      </c>
      <c r="AJ160">
        <v>1</v>
      </c>
      <c r="AK160" t="s">
        <v>40</v>
      </c>
      <c r="AL160">
        <v>261</v>
      </c>
    </row>
    <row r="161" spans="1:38" x14ac:dyDescent="0.25">
      <c r="A161" t="s">
        <v>37</v>
      </c>
      <c r="B161">
        <v>45910.48709490741</v>
      </c>
      <c r="C161">
        <v>92237</v>
      </c>
      <c r="D161" t="s">
        <v>646</v>
      </c>
      <c r="E161">
        <v>4494609</v>
      </c>
      <c r="F161">
        <v>105448</v>
      </c>
      <c r="G161" t="s">
        <v>405</v>
      </c>
      <c r="H161" t="s">
        <v>650</v>
      </c>
      <c r="I161">
        <v>7.5</v>
      </c>
      <c r="J161" t="b">
        <v>0</v>
      </c>
      <c r="K161">
        <v>0.625</v>
      </c>
      <c r="L161">
        <v>2106222</v>
      </c>
      <c r="M161" t="s">
        <v>407</v>
      </c>
      <c r="N161">
        <v>12</v>
      </c>
      <c r="O161">
        <v>12</v>
      </c>
      <c r="P161"/>
      <c r="Q161">
        <v>134907</v>
      </c>
      <c r="R161">
        <v>2</v>
      </c>
      <c r="S161" t="s">
        <v>40</v>
      </c>
      <c r="T161">
        <v>261</v>
      </c>
      <c r="U161">
        <v>147664</v>
      </c>
      <c r="V161">
        <v>48</v>
      </c>
      <c r="W161" t="s">
        <v>40</v>
      </c>
      <c r="X161">
        <v>261</v>
      </c>
      <c r="Y161" t="s">
        <v>377</v>
      </c>
      <c r="Z161" t="s">
        <v>378</v>
      </c>
      <c r="AA161" t="s">
        <v>379</v>
      </c>
      <c r="AB161" t="s">
        <v>400</v>
      </c>
      <c r="AC161" t="s">
        <v>379</v>
      </c>
      <c r="AD161" t="s">
        <v>384</v>
      </c>
      <c r="AE161" t="s">
        <v>41</v>
      </c>
      <c r="AF161" t="s">
        <v>41</v>
      </c>
      <c r="AG161" t="s">
        <v>41</v>
      </c>
      <c r="AH161" t="s">
        <v>41</v>
      </c>
      <c r="AK161"/>
    </row>
    <row r="162" spans="1:38" x14ac:dyDescent="0.25">
      <c r="A162" t="s">
        <v>37</v>
      </c>
      <c r="B162">
        <v>45910.49287037037</v>
      </c>
      <c r="C162">
        <v>92237</v>
      </c>
      <c r="D162" t="s">
        <v>646</v>
      </c>
      <c r="E162">
        <v>4494609</v>
      </c>
      <c r="F162">
        <v>105448</v>
      </c>
      <c r="G162" t="s">
        <v>405</v>
      </c>
      <c r="H162" t="s">
        <v>465</v>
      </c>
      <c r="I162">
        <v>7.5</v>
      </c>
      <c r="J162" t="b">
        <v>1</v>
      </c>
      <c r="K162">
        <v>0.625</v>
      </c>
      <c r="L162">
        <v>2106222</v>
      </c>
      <c r="M162" t="s">
        <v>407</v>
      </c>
      <c r="N162">
        <v>12</v>
      </c>
      <c r="O162">
        <v>12</v>
      </c>
      <c r="P162"/>
      <c r="Q162">
        <v>134907</v>
      </c>
      <c r="R162">
        <v>2</v>
      </c>
      <c r="S162" t="s">
        <v>40</v>
      </c>
      <c r="T162">
        <v>261</v>
      </c>
      <c r="U162">
        <v>147664</v>
      </c>
      <c r="V162">
        <v>48</v>
      </c>
      <c r="W162" t="s">
        <v>40</v>
      </c>
      <c r="X162">
        <v>261</v>
      </c>
      <c r="Y162" t="s">
        <v>377</v>
      </c>
      <c r="Z162" t="s">
        <v>378</v>
      </c>
      <c r="AA162" t="s">
        <v>379</v>
      </c>
      <c r="AB162" t="s">
        <v>400</v>
      </c>
      <c r="AC162" t="s">
        <v>379</v>
      </c>
      <c r="AD162" t="s">
        <v>384</v>
      </c>
      <c r="AE162" t="s">
        <v>41</v>
      </c>
      <c r="AF162" t="s">
        <v>41</v>
      </c>
      <c r="AG162" t="s">
        <v>41</v>
      </c>
      <c r="AH162" t="s">
        <v>41</v>
      </c>
      <c r="AK162"/>
    </row>
    <row r="163" spans="1:38" x14ac:dyDescent="0.25">
      <c r="A163" t="s">
        <v>47</v>
      </c>
      <c r="B163">
        <v>45910.53429398148</v>
      </c>
      <c r="C163">
        <v>90966</v>
      </c>
      <c r="D163" t="s">
        <v>646</v>
      </c>
      <c r="E163">
        <v>4494847</v>
      </c>
      <c r="F163">
        <v>2310106</v>
      </c>
      <c r="G163" t="s">
        <v>651</v>
      </c>
      <c r="H163" t="s">
        <v>582</v>
      </c>
      <c r="I163">
        <v>1.5</v>
      </c>
      <c r="J163" t="b">
        <v>1</v>
      </c>
      <c r="K163">
        <v>8.4745762711864406E-3</v>
      </c>
      <c r="L163">
        <v>2310107</v>
      </c>
      <c r="M163" t="s">
        <v>652</v>
      </c>
      <c r="N163">
        <v>177</v>
      </c>
      <c r="O163">
        <v>201</v>
      </c>
      <c r="P163"/>
      <c r="Q163">
        <v>134974</v>
      </c>
      <c r="R163">
        <v>1</v>
      </c>
      <c r="S163" t="s">
        <v>40</v>
      </c>
      <c r="T163">
        <v>261</v>
      </c>
      <c r="W163"/>
      <c r="Y163" t="s">
        <v>377</v>
      </c>
      <c r="Z163" t="s">
        <v>378</v>
      </c>
      <c r="AA163" t="s">
        <v>379</v>
      </c>
      <c r="AB163" t="s">
        <v>653</v>
      </c>
      <c r="AC163" t="s">
        <v>41</v>
      </c>
      <c r="AD163" t="s">
        <v>41</v>
      </c>
      <c r="AE163" t="s">
        <v>41</v>
      </c>
      <c r="AF163" t="s">
        <v>41</v>
      </c>
      <c r="AG163" t="s">
        <v>41</v>
      </c>
      <c r="AH163" t="s">
        <v>41</v>
      </c>
      <c r="AK163"/>
    </row>
    <row r="164" spans="1:38" x14ac:dyDescent="0.25">
      <c r="A164" t="s">
        <v>45</v>
      </c>
      <c r="B164">
        <v>45910.552268518521</v>
      </c>
      <c r="C164">
        <v>91575</v>
      </c>
      <c r="D164" t="s">
        <v>646</v>
      </c>
      <c r="E164">
        <v>4490058</v>
      </c>
      <c r="F164">
        <v>2308643</v>
      </c>
      <c r="G164" t="s">
        <v>648</v>
      </c>
      <c r="H164" t="s">
        <v>436</v>
      </c>
      <c r="I164">
        <v>1.5</v>
      </c>
      <c r="J164" t="b">
        <v>1</v>
      </c>
      <c r="K164">
        <v>1.1278195488721804E-2</v>
      </c>
      <c r="L164">
        <v>2308644</v>
      </c>
      <c r="M164" t="s">
        <v>649</v>
      </c>
      <c r="N164">
        <v>133</v>
      </c>
      <c r="O164">
        <v>150</v>
      </c>
      <c r="P164"/>
      <c r="Q164">
        <v>134976</v>
      </c>
      <c r="R164">
        <v>1</v>
      </c>
      <c r="S164" t="s">
        <v>40</v>
      </c>
      <c r="T164">
        <v>261</v>
      </c>
      <c r="W164"/>
      <c r="Y164" t="s">
        <v>377</v>
      </c>
      <c r="Z164" t="s">
        <v>378</v>
      </c>
      <c r="AA164" t="s">
        <v>379</v>
      </c>
      <c r="AB164" t="s">
        <v>654</v>
      </c>
      <c r="AC164" t="s">
        <v>41</v>
      </c>
      <c r="AD164" t="s">
        <v>41</v>
      </c>
      <c r="AE164" t="s">
        <v>41</v>
      </c>
      <c r="AF164" t="s">
        <v>41</v>
      </c>
      <c r="AG164" t="s">
        <v>41</v>
      </c>
      <c r="AH164" t="s">
        <v>41</v>
      </c>
      <c r="AK164"/>
    </row>
    <row r="165" spans="1:38" x14ac:dyDescent="0.25">
      <c r="A165" t="s">
        <v>39</v>
      </c>
      <c r="B165">
        <v>45911.055381944447</v>
      </c>
      <c r="C165">
        <v>90967</v>
      </c>
      <c r="D165" t="s">
        <v>531</v>
      </c>
      <c r="E165">
        <v>4488901</v>
      </c>
      <c r="F165">
        <v>2116491</v>
      </c>
      <c r="G165" t="s">
        <v>655</v>
      </c>
      <c r="H165" t="s">
        <v>582</v>
      </c>
      <c r="I165">
        <v>2.5</v>
      </c>
      <c r="J165" t="b">
        <v>1</v>
      </c>
      <c r="K165">
        <v>9.1575091575091579E-3</v>
      </c>
      <c r="L165">
        <v>2117645</v>
      </c>
      <c r="M165" t="s">
        <v>656</v>
      </c>
      <c r="N165">
        <v>273</v>
      </c>
      <c r="O165">
        <v>253</v>
      </c>
      <c r="P165"/>
      <c r="Q165">
        <v>134974</v>
      </c>
      <c r="R165">
        <v>1</v>
      </c>
      <c r="S165" t="s">
        <v>40</v>
      </c>
      <c r="T165">
        <v>261</v>
      </c>
      <c r="V165">
        <v>0</v>
      </c>
      <c r="W165"/>
      <c r="Y165" t="s">
        <v>377</v>
      </c>
      <c r="Z165" t="s">
        <v>378</v>
      </c>
      <c r="AA165" t="s">
        <v>379</v>
      </c>
      <c r="AB165" t="s">
        <v>657</v>
      </c>
      <c r="AC165" t="s">
        <v>379</v>
      </c>
      <c r="AD165" t="s">
        <v>633</v>
      </c>
      <c r="AE165" t="s">
        <v>41</v>
      </c>
      <c r="AF165" t="s">
        <v>41</v>
      </c>
      <c r="AG165" t="s">
        <v>41</v>
      </c>
      <c r="AH165" t="s">
        <v>41</v>
      </c>
      <c r="AI165">
        <v>134974</v>
      </c>
      <c r="AJ165">
        <v>1</v>
      </c>
      <c r="AK165" t="s">
        <v>40</v>
      </c>
      <c r="AL165">
        <v>261</v>
      </c>
    </row>
    <row r="166" spans="1:38" x14ac:dyDescent="0.25">
      <c r="A166" t="s">
        <v>42</v>
      </c>
      <c r="B166">
        <v>45911.057546296295</v>
      </c>
      <c r="C166">
        <v>91577</v>
      </c>
      <c r="D166" t="s">
        <v>531</v>
      </c>
      <c r="E166">
        <v>4490059</v>
      </c>
      <c r="F166">
        <v>2308643</v>
      </c>
      <c r="G166" t="s">
        <v>648</v>
      </c>
      <c r="H166" t="s">
        <v>483</v>
      </c>
      <c r="I166">
        <v>2.5</v>
      </c>
      <c r="J166" t="b">
        <v>1</v>
      </c>
      <c r="K166">
        <v>9.057971014492754E-3</v>
      </c>
      <c r="L166">
        <v>2308644</v>
      </c>
      <c r="M166" t="s">
        <v>649</v>
      </c>
      <c r="N166">
        <v>276</v>
      </c>
      <c r="O166">
        <v>260</v>
      </c>
      <c r="P166"/>
      <c r="Q166">
        <v>134974</v>
      </c>
      <c r="R166">
        <v>1</v>
      </c>
      <c r="S166" t="s">
        <v>40</v>
      </c>
      <c r="T166">
        <v>261</v>
      </c>
      <c r="V166">
        <v>0</v>
      </c>
      <c r="W166"/>
      <c r="Y166" t="s">
        <v>377</v>
      </c>
      <c r="Z166" t="s">
        <v>378</v>
      </c>
      <c r="AA166" t="s">
        <v>384</v>
      </c>
      <c r="AB166" t="s">
        <v>493</v>
      </c>
      <c r="AC166" t="s">
        <v>41</v>
      </c>
      <c r="AD166" t="s">
        <v>41</v>
      </c>
      <c r="AE166" t="s">
        <v>41</v>
      </c>
      <c r="AF166" t="s">
        <v>41</v>
      </c>
      <c r="AG166" t="s">
        <v>41</v>
      </c>
      <c r="AH166" t="s">
        <v>41</v>
      </c>
      <c r="AI166">
        <v>134976</v>
      </c>
      <c r="AJ166">
        <v>1</v>
      </c>
      <c r="AK166" t="s">
        <v>40</v>
      </c>
      <c r="AL166">
        <v>261</v>
      </c>
    </row>
    <row r="167" spans="1:38" x14ac:dyDescent="0.25">
      <c r="A167" t="s">
        <v>44</v>
      </c>
      <c r="B167">
        <v>45911.206180555557</v>
      </c>
      <c r="C167">
        <v>92285</v>
      </c>
      <c r="D167" t="s">
        <v>531</v>
      </c>
      <c r="E167">
        <v>4481482</v>
      </c>
      <c r="F167">
        <v>2304758</v>
      </c>
      <c r="G167" t="s">
        <v>402</v>
      </c>
      <c r="H167" t="s">
        <v>658</v>
      </c>
      <c r="I167">
        <v>14</v>
      </c>
      <c r="J167" t="b">
        <v>1</v>
      </c>
      <c r="K167">
        <v>1.75</v>
      </c>
      <c r="L167">
        <v>2304759</v>
      </c>
      <c r="M167" t="s">
        <v>404</v>
      </c>
      <c r="N167">
        <v>8</v>
      </c>
      <c r="O167">
        <v>8</v>
      </c>
      <c r="P167"/>
      <c r="Q167">
        <v>155687</v>
      </c>
      <c r="R167">
        <v>2</v>
      </c>
      <c r="S167" t="s">
        <v>40</v>
      </c>
      <c r="T167">
        <v>261</v>
      </c>
      <c r="U167">
        <v>147664</v>
      </c>
      <c r="V167">
        <v>48</v>
      </c>
      <c r="W167" t="s">
        <v>40</v>
      </c>
      <c r="X167">
        <v>261</v>
      </c>
      <c r="Y167" t="s">
        <v>377</v>
      </c>
      <c r="Z167" t="s">
        <v>378</v>
      </c>
      <c r="AA167" t="s">
        <v>384</v>
      </c>
      <c r="AB167" t="s">
        <v>384</v>
      </c>
      <c r="AC167" t="s">
        <v>41</v>
      </c>
      <c r="AD167" t="s">
        <v>41</v>
      </c>
      <c r="AE167" t="s">
        <v>41</v>
      </c>
      <c r="AF167" t="s">
        <v>41</v>
      </c>
      <c r="AG167" t="s">
        <v>41</v>
      </c>
      <c r="AH167" t="s">
        <v>41</v>
      </c>
      <c r="AK167"/>
    </row>
    <row r="168" spans="1:38" x14ac:dyDescent="0.25">
      <c r="A168" t="s">
        <v>42</v>
      </c>
      <c r="B168">
        <v>45911.362187500003</v>
      </c>
      <c r="C168">
        <v>92238</v>
      </c>
      <c r="D168" t="s">
        <v>646</v>
      </c>
      <c r="E168">
        <v>4494610</v>
      </c>
      <c r="F168">
        <v>105448</v>
      </c>
      <c r="G168" t="s">
        <v>405</v>
      </c>
      <c r="H168" t="s">
        <v>465</v>
      </c>
      <c r="I168">
        <v>7.5</v>
      </c>
      <c r="J168" t="b">
        <v>1</v>
      </c>
      <c r="K168">
        <v>0.625</v>
      </c>
      <c r="L168">
        <v>2106222</v>
      </c>
      <c r="M168" t="s">
        <v>407</v>
      </c>
      <c r="N168">
        <v>12</v>
      </c>
      <c r="O168">
        <v>8</v>
      </c>
      <c r="P168"/>
      <c r="Q168">
        <v>134907</v>
      </c>
      <c r="R168">
        <v>2</v>
      </c>
      <c r="S168" t="s">
        <v>40</v>
      </c>
      <c r="T168">
        <v>261</v>
      </c>
      <c r="U168">
        <v>147664</v>
      </c>
      <c r="V168">
        <v>48</v>
      </c>
      <c r="W168" t="s">
        <v>40</v>
      </c>
      <c r="X168">
        <v>261</v>
      </c>
      <c r="Y168" t="s">
        <v>377</v>
      </c>
      <c r="Z168" t="s">
        <v>378</v>
      </c>
      <c r="AA168" t="s">
        <v>379</v>
      </c>
      <c r="AB168" t="s">
        <v>400</v>
      </c>
      <c r="AC168" t="s">
        <v>379</v>
      </c>
      <c r="AD168" t="s">
        <v>384</v>
      </c>
      <c r="AE168" t="s">
        <v>41</v>
      </c>
      <c r="AF168" t="s">
        <v>41</v>
      </c>
      <c r="AG168" t="s">
        <v>41</v>
      </c>
      <c r="AH168" t="s">
        <v>41</v>
      </c>
      <c r="AK168"/>
    </row>
    <row r="169" spans="1:38" x14ac:dyDescent="0.25">
      <c r="A169" t="s">
        <v>38</v>
      </c>
      <c r="B169">
        <v>45911.48642361111</v>
      </c>
      <c r="C169">
        <v>92283</v>
      </c>
      <c r="D169" t="s">
        <v>646</v>
      </c>
      <c r="E169">
        <v>4496543</v>
      </c>
      <c r="F169">
        <v>2301366</v>
      </c>
      <c r="G169" t="s">
        <v>397</v>
      </c>
      <c r="H169" t="s">
        <v>637</v>
      </c>
      <c r="I169">
        <v>14</v>
      </c>
      <c r="J169" t="b">
        <v>1</v>
      </c>
      <c r="K169">
        <v>1.75</v>
      </c>
      <c r="L169">
        <v>2301367</v>
      </c>
      <c r="M169" t="s">
        <v>399</v>
      </c>
      <c r="N169">
        <v>8</v>
      </c>
      <c r="O169">
        <v>8</v>
      </c>
      <c r="P169"/>
      <c r="Q169">
        <v>155687</v>
      </c>
      <c r="R169">
        <v>2</v>
      </c>
      <c r="S169" t="s">
        <v>40</v>
      </c>
      <c r="T169">
        <v>261</v>
      </c>
      <c r="U169">
        <v>147664</v>
      </c>
      <c r="V169">
        <v>48</v>
      </c>
      <c r="W169" t="s">
        <v>40</v>
      </c>
      <c r="X169">
        <v>261</v>
      </c>
      <c r="Y169" t="s">
        <v>377</v>
      </c>
      <c r="Z169" t="s">
        <v>378</v>
      </c>
      <c r="AA169" t="s">
        <v>384</v>
      </c>
      <c r="AB169" t="s">
        <v>384</v>
      </c>
      <c r="AC169" t="s">
        <v>41</v>
      </c>
      <c r="AD169" t="s">
        <v>41</v>
      </c>
      <c r="AE169" t="s">
        <v>41</v>
      </c>
      <c r="AF169" t="s">
        <v>41</v>
      </c>
      <c r="AG169" t="s">
        <v>41</v>
      </c>
      <c r="AH169" t="s">
        <v>41</v>
      </c>
      <c r="AK169"/>
    </row>
    <row r="170" spans="1:38" x14ac:dyDescent="0.25">
      <c r="A170" t="s">
        <v>37</v>
      </c>
      <c r="B170">
        <v>45911.700185185182</v>
      </c>
      <c r="C170">
        <v>90968</v>
      </c>
      <c r="D170" t="s">
        <v>646</v>
      </c>
      <c r="E170">
        <v>4494109</v>
      </c>
      <c r="F170">
        <v>2116517</v>
      </c>
      <c r="G170" t="s">
        <v>659</v>
      </c>
      <c r="H170" t="s">
        <v>582</v>
      </c>
      <c r="I170">
        <v>1.5</v>
      </c>
      <c r="J170" t="b">
        <v>1</v>
      </c>
      <c r="K170">
        <v>4.0871934604904629E-3</v>
      </c>
      <c r="L170">
        <v>2117670</v>
      </c>
      <c r="M170" t="s">
        <v>660</v>
      </c>
      <c r="N170">
        <v>367</v>
      </c>
      <c r="O170">
        <v>370</v>
      </c>
      <c r="P170"/>
      <c r="Q170">
        <v>134974</v>
      </c>
      <c r="R170">
        <v>1</v>
      </c>
      <c r="S170" t="s">
        <v>40</v>
      </c>
      <c r="T170">
        <v>261</v>
      </c>
      <c r="V170">
        <v>0</v>
      </c>
      <c r="W170"/>
      <c r="Y170" t="s">
        <v>377</v>
      </c>
      <c r="Z170" t="s">
        <v>378</v>
      </c>
      <c r="AA170" t="s">
        <v>379</v>
      </c>
      <c r="AB170" t="s">
        <v>661</v>
      </c>
      <c r="AC170" t="s">
        <v>379</v>
      </c>
      <c r="AD170" t="s">
        <v>647</v>
      </c>
      <c r="AE170" t="s">
        <v>41</v>
      </c>
      <c r="AF170" t="s">
        <v>41</v>
      </c>
      <c r="AG170" t="s">
        <v>41</v>
      </c>
      <c r="AH170" t="s">
        <v>41</v>
      </c>
      <c r="AI170">
        <v>134975</v>
      </c>
      <c r="AJ170">
        <v>1</v>
      </c>
      <c r="AK170" t="s">
        <v>40</v>
      </c>
      <c r="AL170">
        <v>261</v>
      </c>
    </row>
    <row r="171" spans="1:38" x14ac:dyDescent="0.25">
      <c r="A171" t="s">
        <v>47</v>
      </c>
      <c r="B171">
        <v>45911.885462962964</v>
      </c>
      <c r="C171">
        <v>91579</v>
      </c>
      <c r="D171" t="s">
        <v>545</v>
      </c>
      <c r="E171">
        <v>4495472</v>
      </c>
      <c r="F171">
        <v>2105718</v>
      </c>
      <c r="G171" t="s">
        <v>662</v>
      </c>
      <c r="H171" t="s">
        <v>663</v>
      </c>
      <c r="I171">
        <v>2.5</v>
      </c>
      <c r="J171" t="b">
        <v>1</v>
      </c>
      <c r="K171">
        <v>3.90625E-2</v>
      </c>
      <c r="L171">
        <v>2106975</v>
      </c>
      <c r="M171" t="s">
        <v>664</v>
      </c>
      <c r="N171">
        <v>64</v>
      </c>
      <c r="O171">
        <v>60</v>
      </c>
      <c r="P171"/>
      <c r="Q171">
        <v>134974</v>
      </c>
      <c r="R171">
        <v>1</v>
      </c>
      <c r="S171" t="s">
        <v>40</v>
      </c>
      <c r="T171">
        <v>261</v>
      </c>
      <c r="W171"/>
      <c r="Y171" t="s">
        <v>377</v>
      </c>
      <c r="Z171" t="s">
        <v>378</v>
      </c>
      <c r="AA171" t="s">
        <v>379</v>
      </c>
      <c r="AB171" t="s">
        <v>665</v>
      </c>
      <c r="AC171" t="s">
        <v>41</v>
      </c>
      <c r="AD171" t="s">
        <v>41</v>
      </c>
      <c r="AE171" t="s">
        <v>41</v>
      </c>
      <c r="AF171" t="s">
        <v>41</v>
      </c>
      <c r="AG171" t="s">
        <v>41</v>
      </c>
      <c r="AH171" t="s">
        <v>41</v>
      </c>
      <c r="AK171"/>
    </row>
    <row r="172" spans="1:38" x14ac:dyDescent="0.25">
      <c r="A172" t="s">
        <v>42</v>
      </c>
      <c r="B172">
        <v>45911.933692129627</v>
      </c>
      <c r="C172">
        <v>92239</v>
      </c>
      <c r="D172" t="s">
        <v>545</v>
      </c>
      <c r="E172">
        <v>4494565</v>
      </c>
      <c r="F172">
        <v>113699</v>
      </c>
      <c r="G172" t="s">
        <v>598</v>
      </c>
      <c r="H172" t="s">
        <v>528</v>
      </c>
      <c r="I172">
        <v>7.5</v>
      </c>
      <c r="J172" t="b">
        <v>1</v>
      </c>
      <c r="K172">
        <v>0.625</v>
      </c>
      <c r="L172">
        <v>113700</v>
      </c>
      <c r="M172" t="s">
        <v>599</v>
      </c>
      <c r="N172">
        <v>12</v>
      </c>
      <c r="O172">
        <v>12</v>
      </c>
      <c r="P172"/>
      <c r="Q172">
        <v>134908</v>
      </c>
      <c r="R172">
        <v>1</v>
      </c>
      <c r="S172" t="s">
        <v>40</v>
      </c>
      <c r="T172">
        <v>261</v>
      </c>
      <c r="U172">
        <v>147664</v>
      </c>
      <c r="V172">
        <v>48</v>
      </c>
      <c r="W172" t="s">
        <v>40</v>
      </c>
      <c r="X172">
        <v>261</v>
      </c>
      <c r="Y172" t="s">
        <v>377</v>
      </c>
      <c r="Z172" t="s">
        <v>378</v>
      </c>
      <c r="AA172" t="s">
        <v>379</v>
      </c>
      <c r="AB172" t="s">
        <v>384</v>
      </c>
      <c r="AC172" t="s">
        <v>379</v>
      </c>
      <c r="AD172" t="s">
        <v>400</v>
      </c>
      <c r="AE172" t="s">
        <v>41</v>
      </c>
      <c r="AF172" t="s">
        <v>41</v>
      </c>
      <c r="AG172" t="s">
        <v>41</v>
      </c>
      <c r="AH172" t="s">
        <v>41</v>
      </c>
      <c r="AI172">
        <v>134971</v>
      </c>
      <c r="AJ172">
        <v>1</v>
      </c>
      <c r="AK172" t="s">
        <v>40</v>
      </c>
      <c r="AL172">
        <v>261</v>
      </c>
    </row>
    <row r="173" spans="1:38" x14ac:dyDescent="0.25">
      <c r="A173" t="s">
        <v>44</v>
      </c>
      <c r="B173">
        <v>45912.199629629627</v>
      </c>
      <c r="C173">
        <v>91578</v>
      </c>
      <c r="D173" t="s">
        <v>545</v>
      </c>
      <c r="E173">
        <v>4492010</v>
      </c>
      <c r="F173">
        <v>2105786</v>
      </c>
      <c r="G173" t="s">
        <v>666</v>
      </c>
      <c r="H173" t="s">
        <v>436</v>
      </c>
      <c r="I173">
        <v>20</v>
      </c>
      <c r="J173" t="b">
        <v>1</v>
      </c>
      <c r="K173">
        <v>0.1</v>
      </c>
      <c r="L173">
        <v>2107036</v>
      </c>
      <c r="M173" t="s">
        <v>667</v>
      </c>
      <c r="N173">
        <v>200</v>
      </c>
      <c r="O173">
        <v>262</v>
      </c>
      <c r="P173"/>
      <c r="Q173">
        <v>134974</v>
      </c>
      <c r="R173">
        <v>1</v>
      </c>
      <c r="S173" t="s">
        <v>40</v>
      </c>
      <c r="T173">
        <v>261</v>
      </c>
      <c r="W173"/>
      <c r="Y173" t="s">
        <v>377</v>
      </c>
      <c r="Z173" t="s">
        <v>378</v>
      </c>
      <c r="AA173" t="s">
        <v>379</v>
      </c>
      <c r="AB173" t="s">
        <v>668</v>
      </c>
      <c r="AC173" t="s">
        <v>41</v>
      </c>
      <c r="AD173" t="s">
        <v>41</v>
      </c>
      <c r="AE173" t="s">
        <v>41</v>
      </c>
      <c r="AF173" t="s">
        <v>41</v>
      </c>
      <c r="AG173" t="s">
        <v>41</v>
      </c>
      <c r="AH173" t="s">
        <v>41</v>
      </c>
      <c r="AK173"/>
    </row>
    <row r="174" spans="1:38" x14ac:dyDescent="0.25">
      <c r="A174" t="s">
        <v>39</v>
      </c>
      <c r="B174">
        <v>45912.42046296296</v>
      </c>
      <c r="C174">
        <v>91580</v>
      </c>
      <c r="D174" t="s">
        <v>669</v>
      </c>
      <c r="E174">
        <v>4492010</v>
      </c>
      <c r="F174">
        <v>2105786</v>
      </c>
      <c r="G174" t="s">
        <v>666</v>
      </c>
      <c r="H174" t="s">
        <v>436</v>
      </c>
      <c r="I174">
        <v>20</v>
      </c>
      <c r="J174" t="b">
        <v>1</v>
      </c>
      <c r="K174">
        <v>0.21739130434782608</v>
      </c>
      <c r="L174">
        <v>2105786</v>
      </c>
      <c r="M174" t="s">
        <v>666</v>
      </c>
      <c r="N174">
        <v>92</v>
      </c>
      <c r="O174">
        <v>250</v>
      </c>
      <c r="P174"/>
      <c r="Q174">
        <v>134974</v>
      </c>
      <c r="R174">
        <v>1</v>
      </c>
      <c r="S174" t="s">
        <v>40</v>
      </c>
      <c r="T174">
        <v>261</v>
      </c>
      <c r="W174"/>
      <c r="Y174" t="s">
        <v>670</v>
      </c>
      <c r="Z174" t="s">
        <v>378</v>
      </c>
      <c r="AA174" t="s">
        <v>379</v>
      </c>
      <c r="AB174" t="s">
        <v>671</v>
      </c>
      <c r="AC174" t="s">
        <v>41</v>
      </c>
      <c r="AD174" t="s">
        <v>41</v>
      </c>
      <c r="AE174" t="s">
        <v>41</v>
      </c>
      <c r="AF174" t="s">
        <v>41</v>
      </c>
      <c r="AG174" t="s">
        <v>41</v>
      </c>
      <c r="AH174" t="s">
        <v>41</v>
      </c>
      <c r="AK174"/>
    </row>
    <row r="175" spans="1:38" x14ac:dyDescent="0.25">
      <c r="A175" t="s">
        <v>39</v>
      </c>
      <c r="B175">
        <v>45912.421412037038</v>
      </c>
      <c r="C175">
        <v>91580</v>
      </c>
      <c r="D175" t="s">
        <v>669</v>
      </c>
      <c r="E175">
        <v>4492010</v>
      </c>
      <c r="F175">
        <v>2105786</v>
      </c>
      <c r="G175" t="s">
        <v>666</v>
      </c>
      <c r="H175" t="s">
        <v>436</v>
      </c>
      <c r="I175">
        <v>20</v>
      </c>
      <c r="J175" t="b">
        <v>0</v>
      </c>
      <c r="K175">
        <v>0.21739130434782608</v>
      </c>
      <c r="L175">
        <v>2105786</v>
      </c>
      <c r="M175" t="s">
        <v>666</v>
      </c>
      <c r="N175">
        <v>92</v>
      </c>
      <c r="O175">
        <v>200</v>
      </c>
      <c r="P175"/>
      <c r="Q175">
        <v>134974</v>
      </c>
      <c r="R175">
        <v>1</v>
      </c>
      <c r="S175" t="s">
        <v>40</v>
      </c>
      <c r="T175">
        <v>261</v>
      </c>
      <c r="W175"/>
      <c r="Y175" t="s">
        <v>672</v>
      </c>
      <c r="Z175" t="s">
        <v>378</v>
      </c>
      <c r="AA175" t="s">
        <v>379</v>
      </c>
      <c r="AB175" t="s">
        <v>671</v>
      </c>
      <c r="AC175" t="s">
        <v>41</v>
      </c>
      <c r="AD175" t="s">
        <v>41</v>
      </c>
      <c r="AE175" t="s">
        <v>41</v>
      </c>
      <c r="AF175" t="s">
        <v>41</v>
      </c>
      <c r="AG175" t="s">
        <v>41</v>
      </c>
      <c r="AH175" t="s">
        <v>41</v>
      </c>
      <c r="AK175"/>
    </row>
    <row r="176" spans="1:38" x14ac:dyDescent="0.25">
      <c r="A176" t="s">
        <v>38</v>
      </c>
      <c r="B176">
        <v>45912.425694444442</v>
      </c>
      <c r="C176">
        <v>92286</v>
      </c>
      <c r="D176" t="s">
        <v>669</v>
      </c>
      <c r="E176">
        <v>4481483</v>
      </c>
      <c r="F176">
        <v>2304758</v>
      </c>
      <c r="G176" t="s">
        <v>402</v>
      </c>
      <c r="H176" t="s">
        <v>673</v>
      </c>
      <c r="I176">
        <v>14</v>
      </c>
      <c r="J176" t="b">
        <v>1</v>
      </c>
      <c r="K176">
        <v>1.75</v>
      </c>
      <c r="L176">
        <v>2304759</v>
      </c>
      <c r="M176" t="s">
        <v>404</v>
      </c>
      <c r="N176">
        <v>8</v>
      </c>
      <c r="O176">
        <v>8</v>
      </c>
      <c r="P176"/>
      <c r="Q176">
        <v>149831</v>
      </c>
      <c r="R176">
        <v>1</v>
      </c>
      <c r="S176" t="s">
        <v>40</v>
      </c>
      <c r="T176">
        <v>261</v>
      </c>
      <c r="U176">
        <v>147664</v>
      </c>
      <c r="V176">
        <v>24</v>
      </c>
      <c r="W176" t="s">
        <v>40</v>
      </c>
      <c r="X176">
        <v>261</v>
      </c>
      <c r="Y176" t="s">
        <v>377</v>
      </c>
      <c r="Z176" t="s">
        <v>378</v>
      </c>
      <c r="AA176" t="s">
        <v>384</v>
      </c>
      <c r="AB176" t="s">
        <v>384</v>
      </c>
      <c r="AC176" t="s">
        <v>41</v>
      </c>
      <c r="AD176" t="s">
        <v>41</v>
      </c>
      <c r="AE176" t="s">
        <v>41</v>
      </c>
      <c r="AF176" t="s">
        <v>41</v>
      </c>
      <c r="AG176" t="s">
        <v>41</v>
      </c>
      <c r="AH176" t="s">
        <v>41</v>
      </c>
      <c r="AK176"/>
    </row>
    <row r="177" spans="1:38" x14ac:dyDescent="0.25">
      <c r="A177" t="s">
        <v>42</v>
      </c>
      <c r="B177">
        <v>45912.434467592589</v>
      </c>
      <c r="C177">
        <v>91582</v>
      </c>
      <c r="D177" t="s">
        <v>669</v>
      </c>
      <c r="E177">
        <v>4490865</v>
      </c>
      <c r="F177">
        <v>2105598</v>
      </c>
      <c r="G177" t="s">
        <v>674</v>
      </c>
      <c r="H177" t="s">
        <v>483</v>
      </c>
      <c r="I177">
        <v>1.5</v>
      </c>
      <c r="J177" t="b">
        <v>1</v>
      </c>
      <c r="K177">
        <v>5.6603773584905656E-3</v>
      </c>
      <c r="L177">
        <v>2106863</v>
      </c>
      <c r="M177" t="s">
        <v>675</v>
      </c>
      <c r="N177">
        <v>265</v>
      </c>
      <c r="O177">
        <v>257</v>
      </c>
      <c r="P177"/>
      <c r="Q177">
        <v>134974</v>
      </c>
      <c r="R177">
        <v>1</v>
      </c>
      <c r="S177" t="s">
        <v>40</v>
      </c>
      <c r="T177">
        <v>261</v>
      </c>
      <c r="V177">
        <v>0</v>
      </c>
      <c r="W177"/>
      <c r="Y177" t="s">
        <v>377</v>
      </c>
      <c r="Z177" t="s">
        <v>378</v>
      </c>
      <c r="AA177" t="s">
        <v>379</v>
      </c>
      <c r="AB177" t="s">
        <v>486</v>
      </c>
      <c r="AC177" t="s">
        <v>379</v>
      </c>
      <c r="AD177" t="s">
        <v>676</v>
      </c>
      <c r="AE177" t="s">
        <v>41</v>
      </c>
      <c r="AF177" t="s">
        <v>41</v>
      </c>
      <c r="AG177" t="s">
        <v>41</v>
      </c>
      <c r="AH177" t="s">
        <v>41</v>
      </c>
      <c r="AI177">
        <v>134975</v>
      </c>
      <c r="AJ177">
        <v>1</v>
      </c>
      <c r="AK177" t="s">
        <v>40</v>
      </c>
      <c r="AL177">
        <v>261</v>
      </c>
    </row>
    <row r="178" spans="1:38" x14ac:dyDescent="0.25">
      <c r="A178" t="s">
        <v>45</v>
      </c>
      <c r="B178">
        <v>45912.437430555554</v>
      </c>
      <c r="C178">
        <v>90810</v>
      </c>
      <c r="D178" t="s">
        <v>669</v>
      </c>
      <c r="E178">
        <v>4487719</v>
      </c>
      <c r="F178">
        <v>2104700</v>
      </c>
      <c r="G178" t="s">
        <v>677</v>
      </c>
      <c r="H178" t="s">
        <v>386</v>
      </c>
      <c r="I178">
        <v>33</v>
      </c>
      <c r="J178" t="b">
        <v>1</v>
      </c>
      <c r="K178">
        <v>0.375</v>
      </c>
      <c r="L178">
        <v>2106028</v>
      </c>
      <c r="M178" t="s">
        <v>678</v>
      </c>
      <c r="N178">
        <v>88</v>
      </c>
      <c r="O178">
        <v>252</v>
      </c>
      <c r="P178" t="s">
        <v>423</v>
      </c>
      <c r="Q178">
        <v>0</v>
      </c>
      <c r="R178">
        <v>0</v>
      </c>
      <c r="S178" t="s">
        <v>40</v>
      </c>
      <c r="T178">
        <v>261</v>
      </c>
      <c r="W178"/>
      <c r="Y178" t="s">
        <v>679</v>
      </c>
      <c r="Z178" t="s">
        <v>378</v>
      </c>
      <c r="AA178" t="s">
        <v>379</v>
      </c>
      <c r="AB178" t="s">
        <v>680</v>
      </c>
      <c r="AC178" t="s">
        <v>41</v>
      </c>
      <c r="AD178" t="s">
        <v>41</v>
      </c>
      <c r="AE178" t="s">
        <v>41</v>
      </c>
      <c r="AF178" t="s">
        <v>41</v>
      </c>
      <c r="AG178" t="s">
        <v>41</v>
      </c>
      <c r="AH178" t="s">
        <v>41</v>
      </c>
      <c r="AK178"/>
    </row>
    <row r="179" spans="1:38" x14ac:dyDescent="0.25">
      <c r="A179" t="s">
        <v>43</v>
      </c>
      <c r="B179">
        <v>45912.485173611109</v>
      </c>
      <c r="C179">
        <v>90811</v>
      </c>
      <c r="D179" t="s">
        <v>669</v>
      </c>
      <c r="E179">
        <v>4487719</v>
      </c>
      <c r="F179">
        <v>2104700</v>
      </c>
      <c r="G179" t="s">
        <v>677</v>
      </c>
      <c r="H179" t="s">
        <v>386</v>
      </c>
      <c r="I179">
        <v>33</v>
      </c>
      <c r="J179" t="b">
        <v>1</v>
      </c>
      <c r="K179">
        <v>0.375</v>
      </c>
      <c r="L179">
        <v>2106028</v>
      </c>
      <c r="M179" t="s">
        <v>678</v>
      </c>
      <c r="N179">
        <v>88</v>
      </c>
      <c r="O179">
        <v>0</v>
      </c>
      <c r="P179" t="s">
        <v>681</v>
      </c>
      <c r="Q179">
        <v>0</v>
      </c>
      <c r="R179">
        <v>0</v>
      </c>
      <c r="S179" t="s">
        <v>40</v>
      </c>
      <c r="T179">
        <v>261</v>
      </c>
      <c r="W179"/>
      <c r="Y179" t="s">
        <v>377</v>
      </c>
      <c r="Z179" t="s">
        <v>378</v>
      </c>
      <c r="AA179" t="s">
        <v>379</v>
      </c>
      <c r="AB179" t="s">
        <v>680</v>
      </c>
      <c r="AC179" t="s">
        <v>41</v>
      </c>
      <c r="AD179" t="s">
        <v>41</v>
      </c>
      <c r="AE179" t="s">
        <v>41</v>
      </c>
      <c r="AF179" t="s">
        <v>41</v>
      </c>
      <c r="AG179" t="s">
        <v>41</v>
      </c>
      <c r="AH179" t="s">
        <v>41</v>
      </c>
      <c r="AK179"/>
    </row>
    <row r="180" spans="1:38" x14ac:dyDescent="0.25">
      <c r="A180" t="s">
        <v>42</v>
      </c>
      <c r="B180">
        <v>45912.855462962965</v>
      </c>
      <c r="C180">
        <v>92241</v>
      </c>
      <c r="D180" t="s">
        <v>563</v>
      </c>
      <c r="E180">
        <v>4494588</v>
      </c>
      <c r="F180">
        <v>113699</v>
      </c>
      <c r="G180" t="s">
        <v>598</v>
      </c>
      <c r="H180" t="s">
        <v>594</v>
      </c>
      <c r="I180">
        <v>7.5</v>
      </c>
      <c r="J180" t="b">
        <v>1</v>
      </c>
      <c r="K180">
        <v>0.625</v>
      </c>
      <c r="L180">
        <v>113700</v>
      </c>
      <c r="M180" t="s">
        <v>599</v>
      </c>
      <c r="N180">
        <v>12</v>
      </c>
      <c r="O180">
        <v>12</v>
      </c>
      <c r="P180"/>
      <c r="Q180">
        <v>134971</v>
      </c>
      <c r="R180">
        <v>2</v>
      </c>
      <c r="S180" t="s">
        <v>40</v>
      </c>
      <c r="T180">
        <v>261</v>
      </c>
      <c r="U180">
        <v>147664</v>
      </c>
      <c r="V180">
        <v>48</v>
      </c>
      <c r="W180" t="s">
        <v>40</v>
      </c>
      <c r="X180">
        <v>261</v>
      </c>
      <c r="Y180" t="s">
        <v>377</v>
      </c>
      <c r="Z180" t="s">
        <v>378</v>
      </c>
      <c r="AA180" t="s">
        <v>379</v>
      </c>
      <c r="AB180" t="s">
        <v>400</v>
      </c>
      <c r="AC180" t="s">
        <v>379</v>
      </c>
      <c r="AD180" t="s">
        <v>384</v>
      </c>
      <c r="AE180" t="s">
        <v>41</v>
      </c>
      <c r="AF180" t="s">
        <v>41</v>
      </c>
      <c r="AG180" t="s">
        <v>41</v>
      </c>
      <c r="AH180" t="s">
        <v>41</v>
      </c>
      <c r="AK180"/>
    </row>
    <row r="181" spans="1:38" x14ac:dyDescent="0.25">
      <c r="A181" t="s">
        <v>45</v>
      </c>
      <c r="B181">
        <v>45912.9531712963</v>
      </c>
      <c r="C181">
        <v>91583</v>
      </c>
      <c r="D181" t="s">
        <v>682</v>
      </c>
      <c r="E181">
        <v>4496425</v>
      </c>
      <c r="F181">
        <v>126606</v>
      </c>
      <c r="G181" t="s">
        <v>683</v>
      </c>
      <c r="H181" t="s">
        <v>582</v>
      </c>
      <c r="I181">
        <v>3</v>
      </c>
      <c r="J181" t="b">
        <v>1</v>
      </c>
      <c r="K181">
        <v>1.7045454545454544E-2</v>
      </c>
      <c r="L181">
        <v>126607</v>
      </c>
      <c r="M181" t="s">
        <v>684</v>
      </c>
      <c r="N181">
        <v>176</v>
      </c>
      <c r="O181">
        <v>176</v>
      </c>
      <c r="P181"/>
      <c r="Q181">
        <v>134976</v>
      </c>
      <c r="R181">
        <v>1</v>
      </c>
      <c r="S181" t="s">
        <v>40</v>
      </c>
      <c r="T181">
        <v>261</v>
      </c>
      <c r="W181"/>
      <c r="Y181" t="s">
        <v>377</v>
      </c>
      <c r="Z181" t="s">
        <v>378</v>
      </c>
      <c r="AA181" t="s">
        <v>379</v>
      </c>
      <c r="AB181" t="s">
        <v>685</v>
      </c>
      <c r="AC181" t="s">
        <v>41</v>
      </c>
      <c r="AD181" t="s">
        <v>41</v>
      </c>
      <c r="AE181" t="s">
        <v>41</v>
      </c>
      <c r="AF181" t="s">
        <v>41</v>
      </c>
      <c r="AG181" t="s">
        <v>41</v>
      </c>
      <c r="AH181" t="s">
        <v>41</v>
      </c>
      <c r="AK181"/>
    </row>
    <row r="182" spans="1:38" x14ac:dyDescent="0.25">
      <c r="A182" t="s">
        <v>43</v>
      </c>
      <c r="B182">
        <v>45913.129259259258</v>
      </c>
      <c r="C182">
        <v>92146</v>
      </c>
      <c r="D182" t="s">
        <v>682</v>
      </c>
      <c r="E182">
        <v>4496743</v>
      </c>
      <c r="F182">
        <v>2104881</v>
      </c>
      <c r="G182" t="s">
        <v>600</v>
      </c>
      <c r="H182" t="s">
        <v>686</v>
      </c>
      <c r="I182">
        <v>10</v>
      </c>
      <c r="J182" t="b">
        <v>1</v>
      </c>
      <c r="K182">
        <v>2</v>
      </c>
      <c r="L182">
        <v>2106201</v>
      </c>
      <c r="M182" t="s">
        <v>602</v>
      </c>
      <c r="N182">
        <v>5</v>
      </c>
      <c r="O182">
        <v>5</v>
      </c>
      <c r="P182"/>
      <c r="Q182">
        <v>134905</v>
      </c>
      <c r="R182">
        <v>1</v>
      </c>
      <c r="S182" t="s">
        <v>40</v>
      </c>
      <c r="T182">
        <v>261</v>
      </c>
      <c r="U182">
        <v>147664</v>
      </c>
      <c r="V182">
        <v>24</v>
      </c>
      <c r="W182" t="s">
        <v>40</v>
      </c>
      <c r="X182">
        <v>261</v>
      </c>
      <c r="Y182" t="s">
        <v>377</v>
      </c>
      <c r="Z182" t="s">
        <v>378</v>
      </c>
      <c r="AA182" t="s">
        <v>379</v>
      </c>
      <c r="AB182" t="s">
        <v>559</v>
      </c>
      <c r="AC182" t="s">
        <v>41</v>
      </c>
      <c r="AD182" t="s">
        <v>41</v>
      </c>
      <c r="AE182" t="s">
        <v>41</v>
      </c>
      <c r="AF182" t="s">
        <v>41</v>
      </c>
      <c r="AG182" t="s">
        <v>41</v>
      </c>
      <c r="AH182" t="s">
        <v>41</v>
      </c>
      <c r="AK182"/>
    </row>
    <row r="183" spans="1:38" x14ac:dyDescent="0.25">
      <c r="A183" t="s">
        <v>43</v>
      </c>
      <c r="B183">
        <v>45913.131203703706</v>
      </c>
      <c r="C183">
        <v>92146</v>
      </c>
      <c r="D183" t="s">
        <v>682</v>
      </c>
      <c r="E183">
        <v>4496742</v>
      </c>
      <c r="F183">
        <v>2104881</v>
      </c>
      <c r="G183" t="s">
        <v>600</v>
      </c>
      <c r="H183" t="s">
        <v>686</v>
      </c>
      <c r="I183">
        <v>10</v>
      </c>
      <c r="J183" t="b">
        <v>1</v>
      </c>
      <c r="K183">
        <v>2.5</v>
      </c>
      <c r="L183">
        <v>2106201</v>
      </c>
      <c r="M183" t="s">
        <v>602</v>
      </c>
      <c r="N183">
        <v>4</v>
      </c>
      <c r="O183">
        <v>4</v>
      </c>
      <c r="P183"/>
      <c r="Q183">
        <v>134905</v>
      </c>
      <c r="R183">
        <v>1</v>
      </c>
      <c r="S183" t="s">
        <v>40</v>
      </c>
      <c r="T183">
        <v>261</v>
      </c>
      <c r="U183">
        <v>147664</v>
      </c>
      <c r="V183">
        <v>24</v>
      </c>
      <c r="W183" t="s">
        <v>40</v>
      </c>
      <c r="X183">
        <v>261</v>
      </c>
      <c r="Y183" t="s">
        <v>377</v>
      </c>
      <c r="Z183" t="s">
        <v>378</v>
      </c>
      <c r="AA183" t="s">
        <v>379</v>
      </c>
      <c r="AB183" t="s">
        <v>384</v>
      </c>
      <c r="AC183" t="s">
        <v>41</v>
      </c>
      <c r="AD183" t="s">
        <v>41</v>
      </c>
      <c r="AE183" t="s">
        <v>41</v>
      </c>
      <c r="AF183" t="s">
        <v>41</v>
      </c>
      <c r="AG183" t="s">
        <v>41</v>
      </c>
      <c r="AH183" t="s">
        <v>41</v>
      </c>
      <c r="AK183"/>
    </row>
    <row r="184" spans="1:38" x14ac:dyDescent="0.25">
      <c r="A184" t="s">
        <v>37</v>
      </c>
      <c r="B184">
        <v>45913.167557870373</v>
      </c>
      <c r="C184">
        <v>90812</v>
      </c>
      <c r="D184" t="s">
        <v>682</v>
      </c>
      <c r="E184">
        <v>4487719</v>
      </c>
      <c r="F184">
        <v>2104700</v>
      </c>
      <c r="G184" t="s">
        <v>677</v>
      </c>
      <c r="H184" t="s">
        <v>386</v>
      </c>
      <c r="I184">
        <v>33</v>
      </c>
      <c r="J184" t="b">
        <v>1</v>
      </c>
      <c r="K184">
        <v>0.35869565217391303</v>
      </c>
      <c r="L184">
        <v>2106028</v>
      </c>
      <c r="M184" t="s">
        <v>678</v>
      </c>
      <c r="N184">
        <v>92</v>
      </c>
      <c r="O184">
        <v>92</v>
      </c>
      <c r="P184"/>
      <c r="Q184">
        <v>134977</v>
      </c>
      <c r="R184">
        <v>1</v>
      </c>
      <c r="S184" t="s">
        <v>40</v>
      </c>
      <c r="T184">
        <v>261</v>
      </c>
      <c r="W184"/>
      <c r="Y184" t="s">
        <v>377</v>
      </c>
      <c r="Z184" t="s">
        <v>378</v>
      </c>
      <c r="AA184" t="s">
        <v>379</v>
      </c>
      <c r="AB184" t="s">
        <v>671</v>
      </c>
      <c r="AC184" t="s">
        <v>41</v>
      </c>
      <c r="AD184" t="s">
        <v>41</v>
      </c>
      <c r="AE184" t="s">
        <v>41</v>
      </c>
      <c r="AF184" t="s">
        <v>41</v>
      </c>
      <c r="AG184" t="s">
        <v>41</v>
      </c>
      <c r="AH184" t="s">
        <v>41</v>
      </c>
      <c r="AK184"/>
    </row>
    <row r="185" spans="1:38" x14ac:dyDescent="0.25">
      <c r="A185" t="s">
        <v>39</v>
      </c>
      <c r="B185">
        <v>45913.171238425923</v>
      </c>
      <c r="C185">
        <v>92288</v>
      </c>
      <c r="D185" t="s">
        <v>682</v>
      </c>
      <c r="E185">
        <v>4474942</v>
      </c>
      <c r="F185">
        <v>113677</v>
      </c>
      <c r="G185" t="s">
        <v>687</v>
      </c>
      <c r="H185" t="s">
        <v>688</v>
      </c>
      <c r="I185">
        <v>14</v>
      </c>
      <c r="J185" t="b">
        <v>0</v>
      </c>
      <c r="K185">
        <v>1.75</v>
      </c>
      <c r="L185">
        <v>113679</v>
      </c>
      <c r="M185" t="s">
        <v>689</v>
      </c>
      <c r="N185">
        <v>8</v>
      </c>
      <c r="O185">
        <v>8</v>
      </c>
      <c r="P185"/>
      <c r="Q185">
        <v>134905</v>
      </c>
      <c r="R185">
        <v>2</v>
      </c>
      <c r="S185" t="s">
        <v>40</v>
      </c>
      <c r="T185">
        <v>261</v>
      </c>
      <c r="U185">
        <v>147664</v>
      </c>
      <c r="V185">
        <v>48</v>
      </c>
      <c r="W185" t="s">
        <v>40</v>
      </c>
      <c r="X185">
        <v>261</v>
      </c>
      <c r="Y185" t="s">
        <v>377</v>
      </c>
      <c r="Z185" t="s">
        <v>378</v>
      </c>
      <c r="AA185" t="s">
        <v>379</v>
      </c>
      <c r="AB185" t="s">
        <v>400</v>
      </c>
      <c r="AC185" t="s">
        <v>41</v>
      </c>
      <c r="AD185" t="s">
        <v>41</v>
      </c>
      <c r="AE185" t="s">
        <v>41</v>
      </c>
      <c r="AF185" t="s">
        <v>41</v>
      </c>
      <c r="AG185" t="s">
        <v>41</v>
      </c>
      <c r="AH185" t="s">
        <v>41</v>
      </c>
      <c r="AK185"/>
    </row>
    <row r="186" spans="1:38" x14ac:dyDescent="0.25">
      <c r="A186" t="s">
        <v>38</v>
      </c>
      <c r="B186">
        <v>45913.179131944446</v>
      </c>
      <c r="C186">
        <v>92328</v>
      </c>
      <c r="D186" t="s">
        <v>682</v>
      </c>
      <c r="E186">
        <v>4492685</v>
      </c>
      <c r="F186">
        <v>2304758</v>
      </c>
      <c r="G186" t="s">
        <v>402</v>
      </c>
      <c r="H186" t="s">
        <v>690</v>
      </c>
      <c r="I186">
        <v>14</v>
      </c>
      <c r="J186" t="b">
        <v>1</v>
      </c>
      <c r="K186">
        <v>1.75</v>
      </c>
      <c r="L186">
        <v>2304759</v>
      </c>
      <c r="M186" t="s">
        <v>404</v>
      </c>
      <c r="N186">
        <v>8</v>
      </c>
      <c r="O186">
        <v>8</v>
      </c>
      <c r="P186"/>
      <c r="Q186">
        <v>149831</v>
      </c>
      <c r="R186">
        <v>1</v>
      </c>
      <c r="S186" t="s">
        <v>40</v>
      </c>
      <c r="T186">
        <v>261</v>
      </c>
      <c r="U186">
        <v>147664</v>
      </c>
      <c r="V186">
        <v>24</v>
      </c>
      <c r="W186" t="s">
        <v>40</v>
      </c>
      <c r="X186">
        <v>261</v>
      </c>
      <c r="Y186" t="s">
        <v>377</v>
      </c>
      <c r="Z186" t="s">
        <v>378</v>
      </c>
      <c r="AA186" t="s">
        <v>384</v>
      </c>
      <c r="AB186" t="s">
        <v>384</v>
      </c>
      <c r="AC186" t="s">
        <v>41</v>
      </c>
      <c r="AD186" t="s">
        <v>41</v>
      </c>
      <c r="AE186" t="s">
        <v>41</v>
      </c>
      <c r="AF186" t="s">
        <v>41</v>
      </c>
      <c r="AG186" t="s">
        <v>41</v>
      </c>
      <c r="AH186" t="s">
        <v>41</v>
      </c>
      <c r="AK186"/>
    </row>
    <row r="187" spans="1:38" x14ac:dyDescent="0.25">
      <c r="A187" t="s">
        <v>42</v>
      </c>
      <c r="B187">
        <v>45913.411076388889</v>
      </c>
      <c r="C187">
        <v>90969</v>
      </c>
      <c r="D187" t="s">
        <v>669</v>
      </c>
      <c r="E187">
        <v>4494110</v>
      </c>
      <c r="F187">
        <v>2116517</v>
      </c>
      <c r="G187" t="s">
        <v>659</v>
      </c>
      <c r="H187" t="s">
        <v>618</v>
      </c>
      <c r="I187">
        <v>2</v>
      </c>
      <c r="J187" t="b">
        <v>1</v>
      </c>
      <c r="K187">
        <v>4.9751243781094526E-3</v>
      </c>
      <c r="L187">
        <v>2117670</v>
      </c>
      <c r="M187" t="s">
        <v>660</v>
      </c>
      <c r="N187">
        <v>402</v>
      </c>
      <c r="O187">
        <v>402</v>
      </c>
      <c r="P187"/>
      <c r="Q187">
        <v>143275</v>
      </c>
      <c r="R187">
        <v>1</v>
      </c>
      <c r="S187" t="s">
        <v>40</v>
      </c>
      <c r="T187">
        <v>261</v>
      </c>
      <c r="U187">
        <v>147664</v>
      </c>
      <c r="V187">
        <v>24</v>
      </c>
      <c r="W187" t="s">
        <v>40</v>
      </c>
      <c r="X187">
        <v>261</v>
      </c>
      <c r="Y187" t="s">
        <v>377</v>
      </c>
      <c r="Z187" t="s">
        <v>378</v>
      </c>
      <c r="AA187" t="s">
        <v>379</v>
      </c>
      <c r="AB187" t="s">
        <v>691</v>
      </c>
      <c r="AC187" t="s">
        <v>41</v>
      </c>
      <c r="AD187" t="s">
        <v>41</v>
      </c>
      <c r="AE187" t="s">
        <v>41</v>
      </c>
      <c r="AF187" t="s">
        <v>41</v>
      </c>
      <c r="AG187" t="s">
        <v>41</v>
      </c>
      <c r="AH187" t="s">
        <v>41</v>
      </c>
      <c r="AK187"/>
    </row>
    <row r="188" spans="1:38" x14ac:dyDescent="0.25">
      <c r="A188" t="s">
        <v>43</v>
      </c>
      <c r="B188">
        <v>45913.652881944443</v>
      </c>
      <c r="C188">
        <v>91584</v>
      </c>
      <c r="D188" t="s">
        <v>669</v>
      </c>
      <c r="E188">
        <v>4495398</v>
      </c>
      <c r="F188">
        <v>2105588</v>
      </c>
      <c r="G188" t="s">
        <v>692</v>
      </c>
      <c r="H188" t="s">
        <v>582</v>
      </c>
      <c r="I188">
        <v>4</v>
      </c>
      <c r="J188" t="b">
        <v>1</v>
      </c>
      <c r="K188">
        <v>1.1428571428571429E-2</v>
      </c>
      <c r="L188">
        <v>2106853</v>
      </c>
      <c r="M188" t="s">
        <v>693</v>
      </c>
      <c r="N188">
        <v>350</v>
      </c>
      <c r="O188">
        <v>350</v>
      </c>
      <c r="P188"/>
      <c r="Q188">
        <v>143275</v>
      </c>
      <c r="R188">
        <v>1</v>
      </c>
      <c r="S188" t="s">
        <v>40</v>
      </c>
      <c r="T188">
        <v>261</v>
      </c>
      <c r="U188">
        <v>147664</v>
      </c>
      <c r="V188">
        <v>24</v>
      </c>
      <c r="W188" t="s">
        <v>40</v>
      </c>
      <c r="X188">
        <v>261</v>
      </c>
      <c r="Y188" t="s">
        <v>377</v>
      </c>
      <c r="Z188" t="s">
        <v>378</v>
      </c>
      <c r="AA188" t="s">
        <v>379</v>
      </c>
      <c r="AB188" t="s">
        <v>694</v>
      </c>
      <c r="AC188" t="s">
        <v>41</v>
      </c>
      <c r="AD188" t="s">
        <v>41</v>
      </c>
      <c r="AE188" t="s">
        <v>41</v>
      </c>
      <c r="AF188" t="s">
        <v>41</v>
      </c>
      <c r="AG188" t="s">
        <v>41</v>
      </c>
      <c r="AH188" t="s">
        <v>41</v>
      </c>
      <c r="AK188"/>
    </row>
    <row r="189" spans="1:38" x14ac:dyDescent="0.25">
      <c r="A189" t="s">
        <v>37</v>
      </c>
      <c r="B189">
        <v>45913.79415509259</v>
      </c>
      <c r="C189">
        <v>92242</v>
      </c>
      <c r="D189" t="s">
        <v>682</v>
      </c>
      <c r="E189">
        <v>4494589</v>
      </c>
      <c r="F189">
        <v>113699</v>
      </c>
      <c r="G189" t="s">
        <v>598</v>
      </c>
      <c r="H189" t="s">
        <v>464</v>
      </c>
      <c r="I189">
        <v>7.5</v>
      </c>
      <c r="J189" t="b">
        <v>1</v>
      </c>
      <c r="K189">
        <v>0.625</v>
      </c>
      <c r="L189">
        <v>113700</v>
      </c>
      <c r="M189" t="s">
        <v>599</v>
      </c>
      <c r="N189">
        <v>12</v>
      </c>
      <c r="O189">
        <v>12</v>
      </c>
      <c r="P189"/>
      <c r="Q189">
        <v>134971</v>
      </c>
      <c r="R189">
        <v>2</v>
      </c>
      <c r="S189" t="s">
        <v>40</v>
      </c>
      <c r="T189">
        <v>261</v>
      </c>
      <c r="U189">
        <v>147664</v>
      </c>
      <c r="V189">
        <v>48</v>
      </c>
      <c r="W189" t="s">
        <v>40</v>
      </c>
      <c r="X189">
        <v>261</v>
      </c>
      <c r="Y189" t="s">
        <v>377</v>
      </c>
      <c r="Z189" t="s">
        <v>378</v>
      </c>
      <c r="AA189" t="s">
        <v>379</v>
      </c>
      <c r="AB189" t="s">
        <v>400</v>
      </c>
      <c r="AC189" t="s">
        <v>379</v>
      </c>
      <c r="AD189" t="s">
        <v>384</v>
      </c>
      <c r="AE189" t="s">
        <v>41</v>
      </c>
      <c r="AF189" t="s">
        <v>41</v>
      </c>
      <c r="AG189" t="s">
        <v>41</v>
      </c>
      <c r="AH189" t="s">
        <v>41</v>
      </c>
      <c r="AK189"/>
    </row>
    <row r="190" spans="1:38" x14ac:dyDescent="0.25">
      <c r="A190" t="s">
        <v>39</v>
      </c>
      <c r="B190">
        <v>45913.797303240739</v>
      </c>
      <c r="C190">
        <v>92147</v>
      </c>
      <c r="D190" t="s">
        <v>682</v>
      </c>
      <c r="E190">
        <v>4496463</v>
      </c>
      <c r="F190">
        <v>2104879</v>
      </c>
      <c r="G190" t="s">
        <v>556</v>
      </c>
      <c r="H190" t="s">
        <v>695</v>
      </c>
      <c r="I190">
        <v>10</v>
      </c>
      <c r="J190" t="b">
        <v>1</v>
      </c>
      <c r="K190">
        <v>2</v>
      </c>
      <c r="L190">
        <v>2106199</v>
      </c>
      <c r="M190" t="s">
        <v>558</v>
      </c>
      <c r="N190">
        <v>5</v>
      </c>
      <c r="O190">
        <v>9</v>
      </c>
      <c r="P190"/>
      <c r="Q190">
        <v>134971</v>
      </c>
      <c r="R190">
        <v>1</v>
      </c>
      <c r="S190" t="s">
        <v>40</v>
      </c>
      <c r="T190">
        <v>261</v>
      </c>
      <c r="U190">
        <v>147664</v>
      </c>
      <c r="V190">
        <v>24</v>
      </c>
      <c r="W190" t="s">
        <v>40</v>
      </c>
      <c r="X190">
        <v>261</v>
      </c>
      <c r="Y190" t="s">
        <v>377</v>
      </c>
      <c r="Z190" t="s">
        <v>378</v>
      </c>
      <c r="AA190" t="s">
        <v>379</v>
      </c>
      <c r="AB190" t="s">
        <v>559</v>
      </c>
      <c r="AC190" t="s">
        <v>41</v>
      </c>
      <c r="AD190" t="s">
        <v>41</v>
      </c>
      <c r="AE190" t="s">
        <v>41</v>
      </c>
      <c r="AF190" t="s">
        <v>41</v>
      </c>
      <c r="AG190" t="s">
        <v>41</v>
      </c>
      <c r="AH190" t="s">
        <v>41</v>
      </c>
      <c r="AK190"/>
    </row>
    <row r="191" spans="1:38" x14ac:dyDescent="0.25">
      <c r="A191" t="s">
        <v>39</v>
      </c>
      <c r="B191">
        <v>45913.799884259257</v>
      </c>
      <c r="C191">
        <v>92147</v>
      </c>
      <c r="D191" t="s">
        <v>682</v>
      </c>
      <c r="E191">
        <v>4496462</v>
      </c>
      <c r="F191">
        <v>2104879</v>
      </c>
      <c r="G191" t="s">
        <v>556</v>
      </c>
      <c r="H191" t="s">
        <v>695</v>
      </c>
      <c r="I191">
        <v>10</v>
      </c>
      <c r="J191" t="b">
        <v>1</v>
      </c>
      <c r="K191">
        <v>2.5</v>
      </c>
      <c r="L191">
        <v>2106199</v>
      </c>
      <c r="M191" t="s">
        <v>558</v>
      </c>
      <c r="N191">
        <v>4</v>
      </c>
      <c r="O191">
        <v>4</v>
      </c>
      <c r="P191"/>
      <c r="Q191">
        <v>134971</v>
      </c>
      <c r="R191">
        <v>1</v>
      </c>
      <c r="S191" t="s">
        <v>40</v>
      </c>
      <c r="T191">
        <v>261</v>
      </c>
      <c r="U191">
        <v>147664</v>
      </c>
      <c r="V191">
        <v>24</v>
      </c>
      <c r="W191" t="s">
        <v>40</v>
      </c>
      <c r="X191">
        <v>261</v>
      </c>
      <c r="Y191" t="s">
        <v>377</v>
      </c>
      <c r="Z191" t="s">
        <v>378</v>
      </c>
      <c r="AA191" t="s">
        <v>379</v>
      </c>
      <c r="AB191" t="s">
        <v>384</v>
      </c>
      <c r="AC191" t="s">
        <v>41</v>
      </c>
      <c r="AD191" t="s">
        <v>41</v>
      </c>
      <c r="AE191" t="s">
        <v>41</v>
      </c>
      <c r="AF191" t="s">
        <v>41</v>
      </c>
      <c r="AG191" t="s">
        <v>41</v>
      </c>
      <c r="AH191" t="s">
        <v>41</v>
      </c>
      <c r="AK191"/>
    </row>
    <row r="192" spans="1:38" x14ac:dyDescent="0.25">
      <c r="A192" t="s">
        <v>45</v>
      </c>
      <c r="B192">
        <v>45913.908877314818</v>
      </c>
      <c r="C192">
        <v>90971</v>
      </c>
      <c r="D192" t="s">
        <v>682</v>
      </c>
      <c r="E192">
        <v>4494844</v>
      </c>
      <c r="F192">
        <v>2310071</v>
      </c>
      <c r="G192" t="s">
        <v>696</v>
      </c>
      <c r="H192" t="s">
        <v>582</v>
      </c>
      <c r="I192">
        <v>3</v>
      </c>
      <c r="J192" t="b">
        <v>1</v>
      </c>
      <c r="K192">
        <v>1.4423076923076924E-2</v>
      </c>
      <c r="L192">
        <v>2310072</v>
      </c>
      <c r="M192" t="s">
        <v>697</v>
      </c>
      <c r="N192">
        <v>208</v>
      </c>
      <c r="O192">
        <v>208</v>
      </c>
      <c r="P192"/>
      <c r="Q192">
        <v>134974</v>
      </c>
      <c r="R192">
        <v>1</v>
      </c>
      <c r="S192" t="s">
        <v>40</v>
      </c>
      <c r="T192">
        <v>261</v>
      </c>
      <c r="W192"/>
      <c r="Y192" t="s">
        <v>377</v>
      </c>
      <c r="Z192" t="s">
        <v>378</v>
      </c>
      <c r="AA192" t="s">
        <v>379</v>
      </c>
      <c r="AB192" t="s">
        <v>698</v>
      </c>
      <c r="AC192" t="s">
        <v>41</v>
      </c>
      <c r="AD192" t="s">
        <v>41</v>
      </c>
      <c r="AE192" t="s">
        <v>41</v>
      </c>
      <c r="AF192" t="s">
        <v>41</v>
      </c>
      <c r="AG192" t="s">
        <v>41</v>
      </c>
      <c r="AH192" t="s">
        <v>41</v>
      </c>
      <c r="AK192"/>
    </row>
    <row r="193" spans="1:37" x14ac:dyDescent="0.25">
      <c r="A193" t="s">
        <v>42</v>
      </c>
      <c r="B193">
        <v>45913.942280092589</v>
      </c>
      <c r="C193">
        <v>92243</v>
      </c>
      <c r="D193" t="s">
        <v>682</v>
      </c>
      <c r="E193">
        <v>4494590</v>
      </c>
      <c r="F193">
        <v>113699</v>
      </c>
      <c r="G193" t="s">
        <v>598</v>
      </c>
      <c r="H193" t="s">
        <v>699</v>
      </c>
      <c r="I193">
        <v>7.5</v>
      </c>
      <c r="J193" t="b">
        <v>1</v>
      </c>
      <c r="K193">
        <v>0.625</v>
      </c>
      <c r="L193">
        <v>113700</v>
      </c>
      <c r="M193" t="s">
        <v>599</v>
      </c>
      <c r="N193">
        <v>12</v>
      </c>
      <c r="O193">
        <v>12</v>
      </c>
      <c r="P193"/>
      <c r="Q193">
        <v>134971</v>
      </c>
      <c r="R193">
        <v>2</v>
      </c>
      <c r="S193" t="s">
        <v>40</v>
      </c>
      <c r="T193">
        <v>261</v>
      </c>
      <c r="U193">
        <v>147664</v>
      </c>
      <c r="V193">
        <v>48</v>
      </c>
      <c r="W193" t="s">
        <v>40</v>
      </c>
      <c r="X193">
        <v>261</v>
      </c>
      <c r="Y193" t="s">
        <v>377</v>
      </c>
      <c r="Z193" t="s">
        <v>378</v>
      </c>
      <c r="AA193" t="s">
        <v>379</v>
      </c>
      <c r="AB193" t="s">
        <v>400</v>
      </c>
      <c r="AC193" t="s">
        <v>379</v>
      </c>
      <c r="AD193" t="s">
        <v>384</v>
      </c>
      <c r="AE193" t="s">
        <v>41</v>
      </c>
      <c r="AF193" t="s">
        <v>41</v>
      </c>
      <c r="AG193" t="s">
        <v>41</v>
      </c>
      <c r="AH193" t="s">
        <v>41</v>
      </c>
      <c r="AK193"/>
    </row>
    <row r="194" spans="1:37" x14ac:dyDescent="0.25">
      <c r="A194" t="s">
        <v>44</v>
      </c>
      <c r="B194">
        <v>45914.069120370368</v>
      </c>
      <c r="C194">
        <v>92329</v>
      </c>
      <c r="D194" t="s">
        <v>682</v>
      </c>
      <c r="E194">
        <v>4492686</v>
      </c>
      <c r="F194">
        <v>2304758</v>
      </c>
      <c r="G194" t="s">
        <v>402</v>
      </c>
      <c r="H194" t="s">
        <v>700</v>
      </c>
      <c r="I194">
        <v>14</v>
      </c>
      <c r="J194" t="b">
        <v>1</v>
      </c>
      <c r="K194">
        <v>1.75</v>
      </c>
      <c r="L194">
        <v>2304759</v>
      </c>
      <c r="M194" t="s">
        <v>404</v>
      </c>
      <c r="N194">
        <v>8</v>
      </c>
      <c r="O194">
        <v>8</v>
      </c>
      <c r="P194"/>
      <c r="Q194">
        <v>149831</v>
      </c>
      <c r="R194">
        <v>1</v>
      </c>
      <c r="S194" t="s">
        <v>40</v>
      </c>
      <c r="T194">
        <v>261</v>
      </c>
      <c r="U194">
        <v>147664</v>
      </c>
      <c r="V194">
        <v>24</v>
      </c>
      <c r="W194" t="s">
        <v>40</v>
      </c>
      <c r="X194">
        <v>261</v>
      </c>
      <c r="Y194" t="s">
        <v>377</v>
      </c>
      <c r="Z194" t="s">
        <v>378</v>
      </c>
      <c r="AA194" t="s">
        <v>384</v>
      </c>
      <c r="AB194" t="s">
        <v>384</v>
      </c>
      <c r="AC194" t="s">
        <v>41</v>
      </c>
      <c r="AD194" t="s">
        <v>41</v>
      </c>
      <c r="AE194" t="s">
        <v>41</v>
      </c>
      <c r="AF194" t="s">
        <v>41</v>
      </c>
      <c r="AG194" t="s">
        <v>41</v>
      </c>
      <c r="AH194" t="s">
        <v>41</v>
      </c>
      <c r="AK194"/>
    </row>
    <row r="195" spans="1:37" x14ac:dyDescent="0.25">
      <c r="A195" t="s">
        <v>37</v>
      </c>
      <c r="B195">
        <v>45914.105520833335</v>
      </c>
      <c r="C195">
        <v>91586</v>
      </c>
      <c r="D195" t="s">
        <v>682</v>
      </c>
      <c r="E195">
        <v>4493586</v>
      </c>
      <c r="F195">
        <v>0</v>
      </c>
      <c r="H195" t="s">
        <v>582</v>
      </c>
      <c r="I195">
        <v>3</v>
      </c>
      <c r="J195" t="b">
        <v>0</v>
      </c>
      <c r="K195">
        <v>1.4150943396226415E-2</v>
      </c>
      <c r="L195">
        <v>2106850</v>
      </c>
      <c r="M195" t="s">
        <v>701</v>
      </c>
      <c r="N195">
        <v>212</v>
      </c>
      <c r="O195">
        <v>212</v>
      </c>
      <c r="P195"/>
      <c r="Q195">
        <v>134971</v>
      </c>
      <c r="R195">
        <v>1</v>
      </c>
      <c r="S195" t="s">
        <v>40</v>
      </c>
      <c r="T195">
        <v>261</v>
      </c>
      <c r="U195">
        <v>147664</v>
      </c>
      <c r="V195">
        <v>24</v>
      </c>
      <c r="W195" t="s">
        <v>40</v>
      </c>
      <c r="X195">
        <v>261</v>
      </c>
      <c r="Y195" t="s">
        <v>377</v>
      </c>
      <c r="Z195" t="s">
        <v>378</v>
      </c>
      <c r="AA195" t="s">
        <v>379</v>
      </c>
      <c r="AB195" t="s">
        <v>548</v>
      </c>
      <c r="AC195" t="s">
        <v>41</v>
      </c>
      <c r="AD195" t="s">
        <v>41</v>
      </c>
      <c r="AE195" t="s">
        <v>41</v>
      </c>
      <c r="AF195" t="s">
        <v>41</v>
      </c>
      <c r="AG195" t="s">
        <v>41</v>
      </c>
      <c r="AH195" t="s">
        <v>41</v>
      </c>
      <c r="AK195"/>
    </row>
    <row r="196" spans="1:37" x14ac:dyDescent="0.25">
      <c r="A196" t="s">
        <v>37</v>
      </c>
      <c r="B196">
        <v>45914.106412037036</v>
      </c>
      <c r="C196">
        <v>91586</v>
      </c>
      <c r="D196" t="s">
        <v>682</v>
      </c>
      <c r="E196">
        <v>4493586</v>
      </c>
      <c r="F196">
        <v>0</v>
      </c>
      <c r="H196" t="s">
        <v>582</v>
      </c>
      <c r="I196">
        <v>3</v>
      </c>
      <c r="J196" t="b">
        <v>0</v>
      </c>
      <c r="K196">
        <v>1.4150943396226415E-2</v>
      </c>
      <c r="L196">
        <v>2106850</v>
      </c>
      <c r="M196" t="s">
        <v>701</v>
      </c>
      <c r="N196">
        <v>212</v>
      </c>
      <c r="O196">
        <v>212</v>
      </c>
      <c r="P196"/>
      <c r="Q196">
        <v>134971</v>
      </c>
      <c r="R196">
        <v>1</v>
      </c>
      <c r="S196" t="s">
        <v>40</v>
      </c>
      <c r="T196">
        <v>261</v>
      </c>
      <c r="U196">
        <v>147664</v>
      </c>
      <c r="V196">
        <v>24</v>
      </c>
      <c r="W196" t="s">
        <v>40</v>
      </c>
      <c r="X196">
        <v>261</v>
      </c>
      <c r="Y196" t="s">
        <v>377</v>
      </c>
      <c r="Z196" t="s">
        <v>378</v>
      </c>
      <c r="AA196" t="s">
        <v>379</v>
      </c>
      <c r="AB196" t="s">
        <v>548</v>
      </c>
      <c r="AC196" t="s">
        <v>41</v>
      </c>
      <c r="AD196" t="s">
        <v>41</v>
      </c>
      <c r="AE196" t="s">
        <v>41</v>
      </c>
      <c r="AF196" t="s">
        <v>41</v>
      </c>
      <c r="AG196" t="s">
        <v>41</v>
      </c>
      <c r="AH196" t="s">
        <v>41</v>
      </c>
      <c r="AK196"/>
    </row>
    <row r="197" spans="1:37" x14ac:dyDescent="0.25">
      <c r="A197" t="s">
        <v>37</v>
      </c>
      <c r="B197">
        <v>45914.107106481482</v>
      </c>
      <c r="C197">
        <v>91586</v>
      </c>
      <c r="D197" t="s">
        <v>682</v>
      </c>
      <c r="E197">
        <v>4493986</v>
      </c>
      <c r="F197">
        <v>2105586</v>
      </c>
      <c r="G197" t="s">
        <v>702</v>
      </c>
      <c r="H197" t="s">
        <v>582</v>
      </c>
      <c r="I197">
        <v>3</v>
      </c>
      <c r="J197" t="b">
        <v>1</v>
      </c>
      <c r="K197">
        <v>1.4150943396226415E-2</v>
      </c>
      <c r="L197">
        <v>2106850</v>
      </c>
      <c r="M197" t="s">
        <v>701</v>
      </c>
      <c r="N197">
        <v>212</v>
      </c>
      <c r="O197">
        <v>212</v>
      </c>
      <c r="P197"/>
      <c r="Q197">
        <v>134971</v>
      </c>
      <c r="R197">
        <v>1</v>
      </c>
      <c r="S197" t="s">
        <v>40</v>
      </c>
      <c r="T197">
        <v>261</v>
      </c>
      <c r="U197">
        <v>147664</v>
      </c>
      <c r="V197">
        <v>24</v>
      </c>
      <c r="W197" t="s">
        <v>40</v>
      </c>
      <c r="X197">
        <v>261</v>
      </c>
      <c r="Y197" t="s">
        <v>377</v>
      </c>
      <c r="Z197" t="s">
        <v>378</v>
      </c>
      <c r="AA197" t="s">
        <v>379</v>
      </c>
      <c r="AB197" t="s">
        <v>548</v>
      </c>
      <c r="AC197" t="s">
        <v>41</v>
      </c>
      <c r="AD197" t="s">
        <v>41</v>
      </c>
      <c r="AE197" t="s">
        <v>41</v>
      </c>
      <c r="AF197" t="s">
        <v>41</v>
      </c>
      <c r="AG197" t="s">
        <v>41</v>
      </c>
      <c r="AH197" t="s">
        <v>41</v>
      </c>
      <c r="AK197"/>
    </row>
    <row r="198" spans="1:37" x14ac:dyDescent="0.25">
      <c r="A198" t="s">
        <v>39</v>
      </c>
      <c r="B198">
        <v>45914.389386574076</v>
      </c>
      <c r="C198">
        <v>92244</v>
      </c>
      <c r="D198" t="s">
        <v>560</v>
      </c>
      <c r="E198">
        <v>4494591</v>
      </c>
      <c r="F198">
        <v>113699</v>
      </c>
      <c r="G198" t="s">
        <v>598</v>
      </c>
      <c r="H198" t="s">
        <v>426</v>
      </c>
      <c r="I198">
        <v>7.5</v>
      </c>
      <c r="J198" t="b">
        <v>1</v>
      </c>
      <c r="K198">
        <v>0.625</v>
      </c>
      <c r="L198">
        <v>113700</v>
      </c>
      <c r="M198" t="s">
        <v>599</v>
      </c>
      <c r="N198">
        <v>12</v>
      </c>
      <c r="O198">
        <v>12</v>
      </c>
      <c r="P198"/>
      <c r="Q198">
        <v>134907</v>
      </c>
      <c r="R198">
        <v>2</v>
      </c>
      <c r="S198" t="s">
        <v>40</v>
      </c>
      <c r="T198">
        <v>261</v>
      </c>
      <c r="U198">
        <v>147664</v>
      </c>
      <c r="V198">
        <v>48</v>
      </c>
      <c r="W198" t="s">
        <v>40</v>
      </c>
      <c r="X198">
        <v>261</v>
      </c>
      <c r="Y198" t="s">
        <v>377</v>
      </c>
      <c r="Z198" t="s">
        <v>378</v>
      </c>
      <c r="AA198" t="s">
        <v>384</v>
      </c>
      <c r="AB198" t="s">
        <v>703</v>
      </c>
      <c r="AC198" t="s">
        <v>41</v>
      </c>
      <c r="AD198" t="s">
        <v>41</v>
      </c>
      <c r="AE198" t="s">
        <v>41</v>
      </c>
      <c r="AF198" t="s">
        <v>41</v>
      </c>
      <c r="AG198" t="s">
        <v>41</v>
      </c>
      <c r="AH198" t="s">
        <v>41</v>
      </c>
      <c r="AK198"/>
    </row>
    <row r="199" spans="1:37" x14ac:dyDescent="0.25">
      <c r="A199" t="s">
        <v>42</v>
      </c>
      <c r="B199">
        <v>45914.474791666667</v>
      </c>
      <c r="C199">
        <v>92149</v>
      </c>
      <c r="D199" t="s">
        <v>560</v>
      </c>
      <c r="E199">
        <v>4496464</v>
      </c>
      <c r="F199">
        <v>2104879</v>
      </c>
      <c r="G199" t="s">
        <v>556</v>
      </c>
      <c r="H199" t="s">
        <v>704</v>
      </c>
      <c r="I199">
        <v>10</v>
      </c>
      <c r="J199" t="b">
        <v>1</v>
      </c>
      <c r="K199">
        <v>2.5</v>
      </c>
      <c r="L199">
        <v>2106199</v>
      </c>
      <c r="M199" t="s">
        <v>558</v>
      </c>
      <c r="N199">
        <v>4</v>
      </c>
      <c r="O199">
        <v>4</v>
      </c>
      <c r="P199"/>
      <c r="Q199">
        <v>134907</v>
      </c>
      <c r="R199">
        <v>1</v>
      </c>
      <c r="S199" t="s">
        <v>40</v>
      </c>
      <c r="T199">
        <v>261</v>
      </c>
      <c r="U199">
        <v>147664</v>
      </c>
      <c r="V199">
        <v>24</v>
      </c>
      <c r="W199" t="s">
        <v>40</v>
      </c>
      <c r="X199">
        <v>261</v>
      </c>
      <c r="Y199" t="s">
        <v>377</v>
      </c>
      <c r="Z199" t="s">
        <v>378</v>
      </c>
      <c r="AA199" t="s">
        <v>379</v>
      </c>
      <c r="AB199" t="s">
        <v>384</v>
      </c>
      <c r="AC199" t="s">
        <v>41</v>
      </c>
      <c r="AD199" t="s">
        <v>41</v>
      </c>
      <c r="AE199" t="s">
        <v>41</v>
      </c>
      <c r="AF199" t="s">
        <v>41</v>
      </c>
      <c r="AG199" t="s">
        <v>41</v>
      </c>
      <c r="AH199" t="s">
        <v>41</v>
      </c>
      <c r="AK199"/>
    </row>
    <row r="200" spans="1:37" x14ac:dyDescent="0.25">
      <c r="A200" t="s">
        <v>42</v>
      </c>
      <c r="B200">
        <v>45914.476284722223</v>
      </c>
      <c r="C200">
        <v>92149</v>
      </c>
      <c r="D200" t="s">
        <v>560</v>
      </c>
      <c r="E200">
        <v>4496465</v>
      </c>
      <c r="F200">
        <v>2104879</v>
      </c>
      <c r="G200" t="s">
        <v>556</v>
      </c>
      <c r="H200" t="s">
        <v>704</v>
      </c>
      <c r="I200">
        <v>10</v>
      </c>
      <c r="J200" t="b">
        <v>1</v>
      </c>
      <c r="K200">
        <v>2</v>
      </c>
      <c r="L200">
        <v>2106199</v>
      </c>
      <c r="M200" t="s">
        <v>558</v>
      </c>
      <c r="N200">
        <v>5</v>
      </c>
      <c r="O200">
        <v>5</v>
      </c>
      <c r="P200"/>
      <c r="Q200">
        <v>134907</v>
      </c>
      <c r="R200">
        <v>1</v>
      </c>
      <c r="S200" t="s">
        <v>40</v>
      </c>
      <c r="T200">
        <v>261</v>
      </c>
      <c r="U200">
        <v>147664</v>
      </c>
      <c r="V200">
        <v>24</v>
      </c>
      <c r="W200" t="s">
        <v>40</v>
      </c>
      <c r="X200">
        <v>261</v>
      </c>
      <c r="Y200" t="s">
        <v>377</v>
      </c>
      <c r="Z200" t="s">
        <v>378</v>
      </c>
      <c r="AA200" t="s">
        <v>379</v>
      </c>
      <c r="AB200" t="s">
        <v>559</v>
      </c>
      <c r="AC200" t="s">
        <v>41</v>
      </c>
      <c r="AD200" t="s">
        <v>41</v>
      </c>
      <c r="AE200" t="s">
        <v>41</v>
      </c>
      <c r="AF200" t="s">
        <v>41</v>
      </c>
      <c r="AG200" t="s">
        <v>41</v>
      </c>
      <c r="AH200" t="s">
        <v>41</v>
      </c>
      <c r="AK200"/>
    </row>
    <row r="201" spans="1:37" x14ac:dyDescent="0.25">
      <c r="A201" t="s">
        <v>38</v>
      </c>
      <c r="B201">
        <v>45914.624166666668</v>
      </c>
      <c r="C201">
        <v>92290</v>
      </c>
      <c r="D201" t="s">
        <v>560</v>
      </c>
      <c r="E201">
        <v>4474943</v>
      </c>
      <c r="F201">
        <v>113677</v>
      </c>
      <c r="G201" t="s">
        <v>687</v>
      </c>
      <c r="H201" t="s">
        <v>428</v>
      </c>
      <c r="I201">
        <v>14</v>
      </c>
      <c r="J201" t="b">
        <v>1</v>
      </c>
      <c r="K201">
        <v>1.75</v>
      </c>
      <c r="L201">
        <v>113679</v>
      </c>
      <c r="M201" t="s">
        <v>689</v>
      </c>
      <c r="N201">
        <v>8</v>
      </c>
      <c r="O201">
        <v>8</v>
      </c>
      <c r="P201"/>
      <c r="Q201">
        <v>134905</v>
      </c>
      <c r="R201">
        <v>2</v>
      </c>
      <c r="S201" t="s">
        <v>40</v>
      </c>
      <c r="T201">
        <v>261</v>
      </c>
      <c r="U201">
        <v>147664</v>
      </c>
      <c r="V201">
        <v>48</v>
      </c>
      <c r="W201" t="s">
        <v>40</v>
      </c>
      <c r="X201">
        <v>261</v>
      </c>
      <c r="Y201" t="s">
        <v>377</v>
      </c>
      <c r="Z201" t="s">
        <v>378</v>
      </c>
      <c r="AA201" t="s">
        <v>384</v>
      </c>
      <c r="AB201" t="s">
        <v>384</v>
      </c>
      <c r="AC201" t="s">
        <v>41</v>
      </c>
      <c r="AD201" t="s">
        <v>41</v>
      </c>
      <c r="AE201" t="s">
        <v>41</v>
      </c>
      <c r="AF201" t="s">
        <v>41</v>
      </c>
      <c r="AG201" t="s">
        <v>41</v>
      </c>
      <c r="AH201" t="s">
        <v>41</v>
      </c>
      <c r="AK201"/>
    </row>
    <row r="202" spans="1:37" x14ac:dyDescent="0.25">
      <c r="A202" t="s">
        <v>45</v>
      </c>
      <c r="B202">
        <v>45914.652581018519</v>
      </c>
      <c r="C202">
        <v>90972</v>
      </c>
      <c r="D202" t="s">
        <v>560</v>
      </c>
      <c r="E202">
        <v>4493821</v>
      </c>
      <c r="F202">
        <v>2310068</v>
      </c>
      <c r="G202" t="s">
        <v>705</v>
      </c>
      <c r="H202" t="s">
        <v>582</v>
      </c>
      <c r="I202">
        <v>3</v>
      </c>
      <c r="J202" t="b">
        <v>1</v>
      </c>
      <c r="K202">
        <v>1.0344827586206896E-2</v>
      </c>
      <c r="L202">
        <v>2310069</v>
      </c>
      <c r="M202" t="s">
        <v>706</v>
      </c>
      <c r="N202">
        <v>290</v>
      </c>
      <c r="O202">
        <v>536</v>
      </c>
      <c r="P202"/>
      <c r="Q202">
        <v>134907</v>
      </c>
      <c r="R202">
        <v>1</v>
      </c>
      <c r="S202" t="s">
        <v>40</v>
      </c>
      <c r="T202">
        <v>261</v>
      </c>
      <c r="U202">
        <v>147664</v>
      </c>
      <c r="V202">
        <v>24</v>
      </c>
      <c r="W202" t="s">
        <v>40</v>
      </c>
      <c r="X202">
        <v>261</v>
      </c>
      <c r="Y202" t="s">
        <v>377</v>
      </c>
      <c r="Z202" t="s">
        <v>378</v>
      </c>
      <c r="AA202" t="s">
        <v>379</v>
      </c>
      <c r="AB202" t="s">
        <v>475</v>
      </c>
      <c r="AC202" t="s">
        <v>41</v>
      </c>
      <c r="AD202" t="s">
        <v>41</v>
      </c>
      <c r="AE202" t="s">
        <v>41</v>
      </c>
      <c r="AF202" t="s">
        <v>41</v>
      </c>
      <c r="AG202" t="s">
        <v>41</v>
      </c>
      <c r="AH202" t="s">
        <v>41</v>
      </c>
      <c r="AK202"/>
    </row>
    <row r="203" spans="1:37" x14ac:dyDescent="0.25">
      <c r="A203" t="s">
        <v>37</v>
      </c>
      <c r="B203">
        <v>45914.655370370368</v>
      </c>
      <c r="C203">
        <v>91587</v>
      </c>
      <c r="D203" t="s">
        <v>560</v>
      </c>
      <c r="E203">
        <v>4488803</v>
      </c>
      <c r="F203">
        <v>2309451</v>
      </c>
      <c r="G203" t="s">
        <v>707</v>
      </c>
      <c r="H203" t="s">
        <v>582</v>
      </c>
      <c r="I203">
        <v>3</v>
      </c>
      <c r="J203" t="b">
        <v>1</v>
      </c>
      <c r="K203">
        <v>1.0344827586206896E-2</v>
      </c>
      <c r="L203">
        <v>2309452</v>
      </c>
      <c r="M203" t="s">
        <v>708</v>
      </c>
      <c r="N203">
        <v>290</v>
      </c>
      <c r="O203">
        <v>300</v>
      </c>
      <c r="P203"/>
      <c r="Q203">
        <v>134907</v>
      </c>
      <c r="R203">
        <v>1</v>
      </c>
      <c r="S203" t="s">
        <v>40</v>
      </c>
      <c r="T203">
        <v>261</v>
      </c>
      <c r="U203">
        <v>147664</v>
      </c>
      <c r="V203">
        <v>24</v>
      </c>
      <c r="W203" t="s">
        <v>40</v>
      </c>
      <c r="X203">
        <v>261</v>
      </c>
      <c r="Y203" t="s">
        <v>377</v>
      </c>
      <c r="Z203" t="s">
        <v>378</v>
      </c>
      <c r="AA203" t="s">
        <v>379</v>
      </c>
      <c r="AB203" t="s">
        <v>475</v>
      </c>
      <c r="AC203" t="s">
        <v>41</v>
      </c>
      <c r="AD203" t="s">
        <v>41</v>
      </c>
      <c r="AE203" t="s">
        <v>41</v>
      </c>
      <c r="AF203" t="s">
        <v>41</v>
      </c>
      <c r="AG203" t="s">
        <v>41</v>
      </c>
      <c r="AH203" t="s">
        <v>41</v>
      </c>
      <c r="AK203"/>
    </row>
    <row r="204" spans="1:37" x14ac:dyDescent="0.25">
      <c r="A204" t="s">
        <v>39</v>
      </c>
      <c r="B204">
        <v>45915.061365740738</v>
      </c>
      <c r="C204">
        <v>92245</v>
      </c>
      <c r="D204" t="s">
        <v>682</v>
      </c>
      <c r="E204">
        <v>4494592</v>
      </c>
      <c r="F204">
        <v>113699</v>
      </c>
      <c r="G204" t="s">
        <v>598</v>
      </c>
      <c r="H204" t="s">
        <v>455</v>
      </c>
      <c r="I204">
        <v>7.5</v>
      </c>
      <c r="J204" t="b">
        <v>1</v>
      </c>
      <c r="K204">
        <v>0.625</v>
      </c>
      <c r="L204">
        <v>113700</v>
      </c>
      <c r="M204" t="s">
        <v>599</v>
      </c>
      <c r="N204">
        <v>12</v>
      </c>
      <c r="O204">
        <v>12</v>
      </c>
      <c r="P204" t="s">
        <v>709</v>
      </c>
      <c r="Q204">
        <v>0</v>
      </c>
      <c r="R204">
        <v>0</v>
      </c>
      <c r="S204" t="s">
        <v>40</v>
      </c>
      <c r="T204">
        <v>261</v>
      </c>
      <c r="W204"/>
      <c r="Y204" t="s">
        <v>377</v>
      </c>
      <c r="Z204" t="s">
        <v>378</v>
      </c>
      <c r="AA204" t="s">
        <v>379</v>
      </c>
      <c r="AB204" t="s">
        <v>409</v>
      </c>
      <c r="AC204" t="s">
        <v>41</v>
      </c>
      <c r="AD204" t="s">
        <v>41</v>
      </c>
      <c r="AE204" t="s">
        <v>41</v>
      </c>
      <c r="AF204" t="s">
        <v>41</v>
      </c>
      <c r="AG204" t="s">
        <v>41</v>
      </c>
      <c r="AH204" t="s">
        <v>41</v>
      </c>
      <c r="AK204"/>
    </row>
    <row r="205" spans="1:37" x14ac:dyDescent="0.25">
      <c r="A205" t="s">
        <v>44</v>
      </c>
      <c r="B205">
        <v>45915.204513888886</v>
      </c>
      <c r="C205">
        <v>92331</v>
      </c>
      <c r="D205" t="s">
        <v>682</v>
      </c>
      <c r="E205">
        <v>4492687</v>
      </c>
      <c r="F205">
        <v>2304758</v>
      </c>
      <c r="G205" t="s">
        <v>402</v>
      </c>
      <c r="H205" t="s">
        <v>710</v>
      </c>
      <c r="I205">
        <v>14</v>
      </c>
      <c r="J205" t="b">
        <v>1</v>
      </c>
      <c r="K205">
        <v>1.75</v>
      </c>
      <c r="L205">
        <v>2304759</v>
      </c>
      <c r="M205" t="s">
        <v>404</v>
      </c>
      <c r="N205">
        <v>8</v>
      </c>
      <c r="O205">
        <v>8</v>
      </c>
      <c r="P205"/>
      <c r="Q205">
        <v>155687</v>
      </c>
      <c r="R205">
        <v>1</v>
      </c>
      <c r="S205" t="s">
        <v>40</v>
      </c>
      <c r="T205">
        <v>261</v>
      </c>
      <c r="U205">
        <v>147664</v>
      </c>
      <c r="V205">
        <v>24</v>
      </c>
      <c r="W205" t="s">
        <v>40</v>
      </c>
      <c r="X205">
        <v>261</v>
      </c>
      <c r="Y205" t="s">
        <v>377</v>
      </c>
      <c r="Z205" t="s">
        <v>378</v>
      </c>
      <c r="AA205" t="s">
        <v>384</v>
      </c>
      <c r="AB205" t="s">
        <v>384</v>
      </c>
      <c r="AC205" t="s">
        <v>41</v>
      </c>
      <c r="AD205" t="s">
        <v>41</v>
      </c>
      <c r="AE205" t="s">
        <v>41</v>
      </c>
      <c r="AF205" t="s">
        <v>41</v>
      </c>
      <c r="AG205" t="s">
        <v>41</v>
      </c>
      <c r="AH205" t="s">
        <v>41</v>
      </c>
      <c r="AK205"/>
    </row>
    <row r="206" spans="1:37" x14ac:dyDescent="0.25">
      <c r="A206" t="s">
        <v>37</v>
      </c>
      <c r="B206">
        <v>45915.229780092595</v>
      </c>
      <c r="C206">
        <v>91589</v>
      </c>
      <c r="D206" t="s">
        <v>682</v>
      </c>
      <c r="E206">
        <v>4492538</v>
      </c>
      <c r="F206">
        <v>2309451</v>
      </c>
      <c r="G206" t="s">
        <v>707</v>
      </c>
      <c r="H206" t="s">
        <v>618</v>
      </c>
      <c r="I206">
        <v>3</v>
      </c>
      <c r="J206" t="b">
        <v>1</v>
      </c>
      <c r="K206">
        <v>1.3043478260869565E-2</v>
      </c>
      <c r="L206">
        <v>2309452</v>
      </c>
      <c r="M206" t="s">
        <v>708</v>
      </c>
      <c r="N206">
        <v>230</v>
      </c>
      <c r="O206">
        <v>230</v>
      </c>
      <c r="P206"/>
      <c r="Q206">
        <v>143277</v>
      </c>
      <c r="R206">
        <v>1</v>
      </c>
      <c r="S206" t="s">
        <v>40</v>
      </c>
      <c r="T206">
        <v>261</v>
      </c>
      <c r="U206">
        <v>147664</v>
      </c>
      <c r="V206">
        <v>24</v>
      </c>
      <c r="W206" t="s">
        <v>40</v>
      </c>
      <c r="X206">
        <v>261</v>
      </c>
      <c r="Y206" t="s">
        <v>377</v>
      </c>
      <c r="Z206" t="s">
        <v>378</v>
      </c>
      <c r="AA206" t="s">
        <v>379</v>
      </c>
      <c r="AB206" t="s">
        <v>711</v>
      </c>
      <c r="AC206" t="s">
        <v>41</v>
      </c>
      <c r="AD206" t="s">
        <v>41</v>
      </c>
      <c r="AE206" t="s">
        <v>41</v>
      </c>
      <c r="AF206" t="s">
        <v>41</v>
      </c>
      <c r="AG206" t="s">
        <v>41</v>
      </c>
      <c r="AH206" t="s">
        <v>41</v>
      </c>
      <c r="AK206"/>
    </row>
    <row r="207" spans="1:37" x14ac:dyDescent="0.25">
      <c r="A207" t="s">
        <v>45</v>
      </c>
      <c r="B207">
        <v>45915.322256944448</v>
      </c>
      <c r="C207">
        <v>90974</v>
      </c>
      <c r="D207" t="s">
        <v>373</v>
      </c>
      <c r="E207">
        <v>4493822</v>
      </c>
      <c r="F207">
        <v>2310068</v>
      </c>
      <c r="G207" t="s">
        <v>705</v>
      </c>
      <c r="H207" t="s">
        <v>582</v>
      </c>
      <c r="I207">
        <v>2.5</v>
      </c>
      <c r="J207" t="b">
        <v>1</v>
      </c>
      <c r="K207">
        <v>1.6891891891891893E-2</v>
      </c>
      <c r="L207">
        <v>2310069</v>
      </c>
      <c r="M207" t="s">
        <v>706</v>
      </c>
      <c r="N207">
        <v>148</v>
      </c>
      <c r="O207">
        <v>148</v>
      </c>
      <c r="P207"/>
      <c r="Q207">
        <v>134974</v>
      </c>
      <c r="R207">
        <v>1</v>
      </c>
      <c r="S207" t="s">
        <v>40</v>
      </c>
      <c r="T207">
        <v>261</v>
      </c>
      <c r="W207"/>
      <c r="Y207" t="s">
        <v>377</v>
      </c>
      <c r="Z207" t="s">
        <v>378</v>
      </c>
      <c r="AA207" t="s">
        <v>379</v>
      </c>
      <c r="AB207" t="s">
        <v>712</v>
      </c>
      <c r="AC207" t="s">
        <v>41</v>
      </c>
      <c r="AD207" t="s">
        <v>41</v>
      </c>
      <c r="AE207" t="s">
        <v>41</v>
      </c>
      <c r="AF207" t="s">
        <v>41</v>
      </c>
      <c r="AG207" t="s">
        <v>41</v>
      </c>
      <c r="AH207" t="s">
        <v>41</v>
      </c>
      <c r="AK207"/>
    </row>
    <row r="208" spans="1:37" x14ac:dyDescent="0.25">
      <c r="A208" t="s">
        <v>45</v>
      </c>
      <c r="B208">
        <v>45915.324803240743</v>
      </c>
      <c r="C208">
        <v>90973</v>
      </c>
      <c r="D208" t="s">
        <v>373</v>
      </c>
      <c r="E208">
        <v>4493821</v>
      </c>
      <c r="F208">
        <v>2310068</v>
      </c>
      <c r="G208" t="s">
        <v>705</v>
      </c>
      <c r="H208" t="s">
        <v>582</v>
      </c>
      <c r="I208">
        <v>2.5</v>
      </c>
      <c r="J208" t="b">
        <v>1</v>
      </c>
      <c r="K208">
        <v>2.403846153846154E-2</v>
      </c>
      <c r="L208">
        <v>2310069</v>
      </c>
      <c r="M208" t="s">
        <v>706</v>
      </c>
      <c r="N208">
        <v>104</v>
      </c>
      <c r="O208">
        <v>107</v>
      </c>
      <c r="P208"/>
      <c r="Q208">
        <v>134974</v>
      </c>
      <c r="R208">
        <v>1</v>
      </c>
      <c r="S208" t="s">
        <v>40</v>
      </c>
      <c r="T208">
        <v>261</v>
      </c>
      <c r="W208"/>
      <c r="Y208" t="s">
        <v>377</v>
      </c>
      <c r="Z208" t="s">
        <v>378</v>
      </c>
      <c r="AA208" t="s">
        <v>379</v>
      </c>
      <c r="AB208" t="s">
        <v>415</v>
      </c>
      <c r="AC208" t="s">
        <v>41</v>
      </c>
      <c r="AD208" t="s">
        <v>41</v>
      </c>
      <c r="AE208" t="s">
        <v>41</v>
      </c>
      <c r="AF208" t="s">
        <v>41</v>
      </c>
      <c r="AG208" t="s">
        <v>41</v>
      </c>
      <c r="AH208" t="s">
        <v>41</v>
      </c>
      <c r="AK208"/>
    </row>
    <row r="209" spans="1:38" x14ac:dyDescent="0.25">
      <c r="A209" t="s">
        <v>39</v>
      </c>
      <c r="B209">
        <v>45915.556516203702</v>
      </c>
      <c r="C209">
        <v>92246</v>
      </c>
      <c r="D209" t="s">
        <v>373</v>
      </c>
      <c r="E209">
        <v>4494593</v>
      </c>
      <c r="F209">
        <v>113699</v>
      </c>
      <c r="G209" t="s">
        <v>598</v>
      </c>
      <c r="H209" t="s">
        <v>688</v>
      </c>
      <c r="I209">
        <v>7.5</v>
      </c>
      <c r="J209" t="b">
        <v>1</v>
      </c>
      <c r="K209">
        <v>0.625</v>
      </c>
      <c r="L209">
        <v>113700</v>
      </c>
      <c r="M209" t="s">
        <v>599</v>
      </c>
      <c r="N209">
        <v>12</v>
      </c>
      <c r="O209">
        <v>12</v>
      </c>
      <c r="P209" t="s">
        <v>423</v>
      </c>
      <c r="Q209">
        <v>0</v>
      </c>
      <c r="R209">
        <v>0</v>
      </c>
      <c r="S209" t="s">
        <v>40</v>
      </c>
      <c r="T209">
        <v>261</v>
      </c>
      <c r="W209"/>
      <c r="Y209" t="s">
        <v>377</v>
      </c>
      <c r="Z209" t="s">
        <v>378</v>
      </c>
      <c r="AA209" t="s">
        <v>379</v>
      </c>
      <c r="AB209" t="s">
        <v>409</v>
      </c>
      <c r="AC209" t="s">
        <v>41</v>
      </c>
      <c r="AD209" t="s">
        <v>41</v>
      </c>
      <c r="AE209" t="s">
        <v>41</v>
      </c>
      <c r="AF209" t="s">
        <v>41</v>
      </c>
      <c r="AG209" t="s">
        <v>41</v>
      </c>
      <c r="AH209" t="s">
        <v>41</v>
      </c>
      <c r="AK209"/>
    </row>
    <row r="210" spans="1:38" x14ac:dyDescent="0.25">
      <c r="A210" t="s">
        <v>43</v>
      </c>
      <c r="B210">
        <v>45915.577534722222</v>
      </c>
      <c r="C210">
        <v>92150</v>
      </c>
      <c r="D210" t="s">
        <v>373</v>
      </c>
      <c r="E210">
        <v>4497015</v>
      </c>
      <c r="F210">
        <v>2104881</v>
      </c>
      <c r="G210" t="s">
        <v>600</v>
      </c>
      <c r="H210" t="s">
        <v>713</v>
      </c>
      <c r="I210">
        <v>10</v>
      </c>
      <c r="J210" t="b">
        <v>1</v>
      </c>
      <c r="K210">
        <v>2.5</v>
      </c>
      <c r="L210">
        <v>2106201</v>
      </c>
      <c r="M210" t="s">
        <v>602</v>
      </c>
      <c r="N210">
        <v>4</v>
      </c>
      <c r="O210">
        <v>4</v>
      </c>
      <c r="P210"/>
      <c r="Q210">
        <v>134905</v>
      </c>
      <c r="R210">
        <v>1</v>
      </c>
      <c r="S210" t="s">
        <v>40</v>
      </c>
      <c r="T210">
        <v>261</v>
      </c>
      <c r="U210">
        <v>147664</v>
      </c>
      <c r="V210">
        <v>24</v>
      </c>
      <c r="W210" t="s">
        <v>40</v>
      </c>
      <c r="X210">
        <v>261</v>
      </c>
      <c r="Y210" t="s">
        <v>377</v>
      </c>
      <c r="Z210" t="s">
        <v>378</v>
      </c>
      <c r="AA210" t="s">
        <v>379</v>
      </c>
      <c r="AB210" t="s">
        <v>384</v>
      </c>
      <c r="AC210" t="s">
        <v>41</v>
      </c>
      <c r="AD210" t="s">
        <v>41</v>
      </c>
      <c r="AE210" t="s">
        <v>41</v>
      </c>
      <c r="AF210" t="s">
        <v>41</v>
      </c>
      <c r="AG210" t="s">
        <v>41</v>
      </c>
      <c r="AH210" t="s">
        <v>41</v>
      </c>
      <c r="AK210"/>
    </row>
    <row r="211" spans="1:38" x14ac:dyDescent="0.25">
      <c r="A211" t="s">
        <v>43</v>
      </c>
      <c r="B211">
        <v>45915.579745370371</v>
      </c>
      <c r="C211">
        <v>92150</v>
      </c>
      <c r="D211" t="s">
        <v>373</v>
      </c>
      <c r="E211">
        <v>4497016</v>
      </c>
      <c r="F211">
        <v>2104881</v>
      </c>
      <c r="G211" t="s">
        <v>600</v>
      </c>
      <c r="H211" t="s">
        <v>713</v>
      </c>
      <c r="I211">
        <v>10</v>
      </c>
      <c r="J211" t="b">
        <v>1</v>
      </c>
      <c r="K211">
        <v>2</v>
      </c>
      <c r="L211">
        <v>2106201</v>
      </c>
      <c r="M211" t="s">
        <v>602</v>
      </c>
      <c r="N211">
        <v>5</v>
      </c>
      <c r="O211">
        <v>5</v>
      </c>
      <c r="P211"/>
      <c r="Q211">
        <v>134905</v>
      </c>
      <c r="R211">
        <v>1</v>
      </c>
      <c r="S211" t="s">
        <v>40</v>
      </c>
      <c r="T211">
        <v>261</v>
      </c>
      <c r="U211">
        <v>147664</v>
      </c>
      <c r="V211">
        <v>24</v>
      </c>
      <c r="W211" t="s">
        <v>40</v>
      </c>
      <c r="X211">
        <v>261</v>
      </c>
      <c r="Y211" t="s">
        <v>377</v>
      </c>
      <c r="Z211" t="s">
        <v>378</v>
      </c>
      <c r="AA211" t="s">
        <v>379</v>
      </c>
      <c r="AB211" t="s">
        <v>559</v>
      </c>
      <c r="AC211" t="s">
        <v>41</v>
      </c>
      <c r="AD211" t="s">
        <v>41</v>
      </c>
      <c r="AE211" t="s">
        <v>41</v>
      </c>
      <c r="AF211" t="s">
        <v>41</v>
      </c>
      <c r="AG211" t="s">
        <v>41</v>
      </c>
      <c r="AH211" t="s">
        <v>41</v>
      </c>
      <c r="AK211"/>
    </row>
    <row r="212" spans="1:38" x14ac:dyDescent="0.25">
      <c r="A212" t="s">
        <v>47</v>
      </c>
      <c r="B212">
        <v>45915.682962962965</v>
      </c>
      <c r="C212">
        <v>90975</v>
      </c>
      <c r="D212" t="s">
        <v>373</v>
      </c>
      <c r="E212">
        <v>4493822</v>
      </c>
      <c r="F212">
        <v>2310068</v>
      </c>
      <c r="G212" t="s">
        <v>705</v>
      </c>
      <c r="H212" t="s">
        <v>582</v>
      </c>
      <c r="I212">
        <v>2.5</v>
      </c>
      <c r="J212" t="b">
        <v>1</v>
      </c>
      <c r="K212">
        <v>1.179245283018868E-2</v>
      </c>
      <c r="L212">
        <v>2310069</v>
      </c>
      <c r="M212" t="s">
        <v>706</v>
      </c>
      <c r="N212">
        <v>212</v>
      </c>
      <c r="O212">
        <v>0</v>
      </c>
      <c r="P212"/>
      <c r="Q212">
        <v>134974</v>
      </c>
      <c r="R212">
        <v>1</v>
      </c>
      <c r="S212" t="s">
        <v>40</v>
      </c>
      <c r="T212">
        <v>261</v>
      </c>
      <c r="W212"/>
      <c r="Y212" t="s">
        <v>377</v>
      </c>
      <c r="Z212" t="s">
        <v>378</v>
      </c>
      <c r="AA212" t="s">
        <v>379</v>
      </c>
      <c r="AB212" t="s">
        <v>548</v>
      </c>
      <c r="AC212" t="s">
        <v>41</v>
      </c>
      <c r="AD212" t="s">
        <v>41</v>
      </c>
      <c r="AE212" t="s">
        <v>41</v>
      </c>
      <c r="AF212" t="s">
        <v>41</v>
      </c>
      <c r="AG212" t="s">
        <v>41</v>
      </c>
      <c r="AH212" t="s">
        <v>41</v>
      </c>
      <c r="AK212"/>
    </row>
    <row r="213" spans="1:38" x14ac:dyDescent="0.25">
      <c r="A213" t="s">
        <v>39</v>
      </c>
      <c r="B213">
        <v>45915.739027777781</v>
      </c>
      <c r="C213">
        <v>91591</v>
      </c>
      <c r="D213" t="s">
        <v>373</v>
      </c>
      <c r="E213">
        <v>4494703</v>
      </c>
      <c r="F213">
        <v>2303675</v>
      </c>
      <c r="G213" t="s">
        <v>714</v>
      </c>
      <c r="H213" t="s">
        <v>436</v>
      </c>
      <c r="I213">
        <v>2.5</v>
      </c>
      <c r="J213" t="b">
        <v>1</v>
      </c>
      <c r="K213">
        <v>9.46969696969697E-3</v>
      </c>
      <c r="L213">
        <v>2303676</v>
      </c>
      <c r="M213" t="s">
        <v>715</v>
      </c>
      <c r="N213">
        <v>264</v>
      </c>
      <c r="O213">
        <v>250</v>
      </c>
      <c r="P213"/>
      <c r="Q213">
        <v>134976</v>
      </c>
      <c r="R213">
        <v>1</v>
      </c>
      <c r="S213" t="s">
        <v>40</v>
      </c>
      <c r="T213">
        <v>261</v>
      </c>
      <c r="V213">
        <v>0</v>
      </c>
      <c r="W213"/>
      <c r="Y213" t="s">
        <v>377</v>
      </c>
      <c r="Z213" t="s">
        <v>378</v>
      </c>
      <c r="AA213" t="s">
        <v>379</v>
      </c>
      <c r="AB213" t="s">
        <v>552</v>
      </c>
      <c r="AC213" t="s">
        <v>379</v>
      </c>
      <c r="AD213" t="s">
        <v>586</v>
      </c>
      <c r="AE213" t="s">
        <v>41</v>
      </c>
      <c r="AF213" t="s">
        <v>41</v>
      </c>
      <c r="AG213" t="s">
        <v>41</v>
      </c>
      <c r="AH213" t="s">
        <v>41</v>
      </c>
      <c r="AI213">
        <v>134974</v>
      </c>
      <c r="AJ213">
        <v>1</v>
      </c>
      <c r="AK213" t="s">
        <v>40</v>
      </c>
      <c r="AL213">
        <v>261</v>
      </c>
    </row>
    <row r="214" spans="1:38" x14ac:dyDescent="0.25">
      <c r="A214" t="s">
        <v>37</v>
      </c>
      <c r="B214">
        <v>45916.025821759256</v>
      </c>
      <c r="C214">
        <v>90976</v>
      </c>
      <c r="D214" t="s">
        <v>590</v>
      </c>
      <c r="E214">
        <v>4486604</v>
      </c>
      <c r="F214">
        <v>2116462</v>
      </c>
      <c r="G214" t="s">
        <v>716</v>
      </c>
      <c r="H214" t="s">
        <v>582</v>
      </c>
      <c r="I214">
        <v>2.5</v>
      </c>
      <c r="J214" t="b">
        <v>1</v>
      </c>
      <c r="K214">
        <v>1.2254901960784314E-2</v>
      </c>
      <c r="L214">
        <v>2117619</v>
      </c>
      <c r="M214" t="s">
        <v>717</v>
      </c>
      <c r="N214">
        <v>204</v>
      </c>
      <c r="O214">
        <v>170</v>
      </c>
      <c r="P214"/>
      <c r="Q214">
        <v>134974</v>
      </c>
      <c r="R214">
        <v>1</v>
      </c>
      <c r="S214" t="s">
        <v>40</v>
      </c>
      <c r="T214">
        <v>261</v>
      </c>
      <c r="W214"/>
      <c r="Y214" t="s">
        <v>377</v>
      </c>
      <c r="Z214" t="s">
        <v>378</v>
      </c>
      <c r="AA214" t="s">
        <v>379</v>
      </c>
      <c r="AB214" t="s">
        <v>718</v>
      </c>
      <c r="AC214" t="s">
        <v>41</v>
      </c>
      <c r="AD214" t="s">
        <v>41</v>
      </c>
      <c r="AE214" t="s">
        <v>41</v>
      </c>
      <c r="AF214" t="s">
        <v>41</v>
      </c>
      <c r="AG214" t="s">
        <v>41</v>
      </c>
      <c r="AH214" t="s">
        <v>41</v>
      </c>
      <c r="AK214"/>
    </row>
    <row r="215" spans="1:38" x14ac:dyDescent="0.25">
      <c r="A215" t="s">
        <v>42</v>
      </c>
      <c r="B215">
        <v>45916.027245370373</v>
      </c>
      <c r="C215">
        <v>92247</v>
      </c>
      <c r="D215" t="s">
        <v>590</v>
      </c>
      <c r="E215">
        <v>4494594</v>
      </c>
      <c r="F215">
        <v>113699</v>
      </c>
      <c r="G215" t="s">
        <v>598</v>
      </c>
      <c r="H215" t="s">
        <v>428</v>
      </c>
      <c r="I215">
        <v>7.5</v>
      </c>
      <c r="J215" t="b">
        <v>1</v>
      </c>
      <c r="K215">
        <v>0.625</v>
      </c>
      <c r="L215">
        <v>113700</v>
      </c>
      <c r="M215" t="s">
        <v>599</v>
      </c>
      <c r="N215">
        <v>12</v>
      </c>
      <c r="O215">
        <v>12</v>
      </c>
      <c r="P215"/>
      <c r="Q215">
        <v>134907</v>
      </c>
      <c r="R215">
        <v>2</v>
      </c>
      <c r="S215" t="s">
        <v>40</v>
      </c>
      <c r="T215">
        <v>261</v>
      </c>
      <c r="U215">
        <v>147664</v>
      </c>
      <c r="V215">
        <v>48</v>
      </c>
      <c r="W215" t="s">
        <v>40</v>
      </c>
      <c r="X215">
        <v>261</v>
      </c>
      <c r="Y215" t="s">
        <v>377</v>
      </c>
      <c r="Z215" t="s">
        <v>378</v>
      </c>
      <c r="AA215" t="s">
        <v>379</v>
      </c>
      <c r="AB215" t="s">
        <v>400</v>
      </c>
      <c r="AC215" t="s">
        <v>379</v>
      </c>
      <c r="AD215" t="s">
        <v>384</v>
      </c>
      <c r="AE215" t="s">
        <v>41</v>
      </c>
      <c r="AF215" t="s">
        <v>41</v>
      </c>
      <c r="AG215" t="s">
        <v>41</v>
      </c>
      <c r="AH215" t="s">
        <v>41</v>
      </c>
      <c r="AK215"/>
    </row>
    <row r="216" spans="1:38" x14ac:dyDescent="0.25">
      <c r="A216" t="s">
        <v>44</v>
      </c>
      <c r="B216">
        <v>45916.086539351854</v>
      </c>
      <c r="C216">
        <v>92332</v>
      </c>
      <c r="D216" t="s">
        <v>590</v>
      </c>
      <c r="E216">
        <v>4492688</v>
      </c>
      <c r="F216">
        <v>2304758</v>
      </c>
      <c r="G216" t="s">
        <v>402</v>
      </c>
      <c r="H216" t="s">
        <v>719</v>
      </c>
      <c r="I216">
        <v>14</v>
      </c>
      <c r="J216" t="b">
        <v>1</v>
      </c>
      <c r="K216">
        <v>1.75</v>
      </c>
      <c r="L216">
        <v>2304759</v>
      </c>
      <c r="M216" t="s">
        <v>404</v>
      </c>
      <c r="N216">
        <v>8</v>
      </c>
      <c r="O216">
        <v>8</v>
      </c>
      <c r="P216"/>
      <c r="Q216">
        <v>155687</v>
      </c>
      <c r="R216">
        <v>2</v>
      </c>
      <c r="S216" t="s">
        <v>40</v>
      </c>
      <c r="T216">
        <v>261</v>
      </c>
      <c r="U216">
        <v>147664</v>
      </c>
      <c r="V216">
        <v>48</v>
      </c>
      <c r="W216" t="s">
        <v>40</v>
      </c>
      <c r="X216">
        <v>261</v>
      </c>
      <c r="Y216" t="s">
        <v>377</v>
      </c>
      <c r="Z216" t="s">
        <v>378</v>
      </c>
      <c r="AA216" t="s">
        <v>384</v>
      </c>
      <c r="AB216" t="s">
        <v>384</v>
      </c>
      <c r="AC216" t="s">
        <v>41</v>
      </c>
      <c r="AD216" t="s">
        <v>41</v>
      </c>
      <c r="AE216" t="s">
        <v>41</v>
      </c>
      <c r="AF216" t="s">
        <v>41</v>
      </c>
      <c r="AG216" t="s">
        <v>41</v>
      </c>
      <c r="AH216" t="s">
        <v>41</v>
      </c>
      <c r="AK216"/>
    </row>
    <row r="217" spans="1:38" x14ac:dyDescent="0.25">
      <c r="A217" t="s">
        <v>43</v>
      </c>
      <c r="B217">
        <v>45916.63484953704</v>
      </c>
      <c r="C217">
        <v>92151</v>
      </c>
      <c r="D217" t="s">
        <v>373</v>
      </c>
      <c r="E217">
        <v>4497017</v>
      </c>
      <c r="F217">
        <v>2104881</v>
      </c>
      <c r="G217" t="s">
        <v>600</v>
      </c>
      <c r="H217" t="s">
        <v>720</v>
      </c>
      <c r="I217">
        <v>5</v>
      </c>
      <c r="J217" t="b">
        <v>1</v>
      </c>
      <c r="K217">
        <v>1.25</v>
      </c>
      <c r="L217">
        <v>2106201</v>
      </c>
      <c r="M217" t="s">
        <v>602</v>
      </c>
      <c r="N217">
        <v>4</v>
      </c>
      <c r="O217">
        <v>4</v>
      </c>
      <c r="P217"/>
      <c r="Q217">
        <v>134905</v>
      </c>
      <c r="R217">
        <v>1</v>
      </c>
      <c r="S217" t="s">
        <v>40</v>
      </c>
      <c r="T217">
        <v>261</v>
      </c>
      <c r="U217">
        <v>147664</v>
      </c>
      <c r="V217">
        <v>24</v>
      </c>
      <c r="W217" t="s">
        <v>40</v>
      </c>
      <c r="X217">
        <v>261</v>
      </c>
      <c r="Y217" t="s">
        <v>377</v>
      </c>
      <c r="Z217" t="s">
        <v>378</v>
      </c>
      <c r="AA217" t="s">
        <v>379</v>
      </c>
      <c r="AB217" t="s">
        <v>384</v>
      </c>
      <c r="AC217" t="s">
        <v>41</v>
      </c>
      <c r="AD217" t="s">
        <v>41</v>
      </c>
      <c r="AE217" t="s">
        <v>41</v>
      </c>
      <c r="AF217" t="s">
        <v>41</v>
      </c>
      <c r="AG217" t="s">
        <v>41</v>
      </c>
      <c r="AH217" t="s">
        <v>41</v>
      </c>
      <c r="AK217"/>
    </row>
    <row r="218" spans="1:38" x14ac:dyDescent="0.25">
      <c r="A218" t="s">
        <v>43</v>
      </c>
      <c r="B218">
        <v>45916.635682870372</v>
      </c>
      <c r="C218">
        <v>92151</v>
      </c>
      <c r="D218" t="s">
        <v>373</v>
      </c>
      <c r="E218">
        <v>4497018</v>
      </c>
      <c r="F218">
        <v>2104881</v>
      </c>
      <c r="G218" t="s">
        <v>600</v>
      </c>
      <c r="H218" t="s">
        <v>720</v>
      </c>
      <c r="I218">
        <v>5</v>
      </c>
      <c r="J218" t="b">
        <v>1</v>
      </c>
      <c r="K218">
        <v>1</v>
      </c>
      <c r="L218">
        <v>2106201</v>
      </c>
      <c r="M218" t="s">
        <v>602</v>
      </c>
      <c r="N218">
        <v>5</v>
      </c>
      <c r="O218">
        <v>5</v>
      </c>
      <c r="P218"/>
      <c r="Q218">
        <v>134905</v>
      </c>
      <c r="R218">
        <v>1</v>
      </c>
      <c r="S218" t="s">
        <v>40</v>
      </c>
      <c r="T218">
        <v>261</v>
      </c>
      <c r="U218">
        <v>147664</v>
      </c>
      <c r="V218">
        <v>24</v>
      </c>
      <c r="W218" t="s">
        <v>40</v>
      </c>
      <c r="X218">
        <v>261</v>
      </c>
      <c r="Y218" t="s">
        <v>377</v>
      </c>
      <c r="Z218" t="s">
        <v>378</v>
      </c>
      <c r="AA218" t="s">
        <v>379</v>
      </c>
      <c r="AB218" t="s">
        <v>559</v>
      </c>
      <c r="AC218" t="s">
        <v>41</v>
      </c>
      <c r="AD218" t="s">
        <v>41</v>
      </c>
      <c r="AE218" t="s">
        <v>41</v>
      </c>
      <c r="AF218" t="s">
        <v>41</v>
      </c>
      <c r="AG218" t="s">
        <v>41</v>
      </c>
      <c r="AH218" t="s">
        <v>41</v>
      </c>
      <c r="AK218"/>
    </row>
    <row r="219" spans="1:38" x14ac:dyDescent="0.25">
      <c r="A219" t="s">
        <v>38</v>
      </c>
      <c r="B219">
        <v>45916.708032407405</v>
      </c>
      <c r="C219">
        <v>92293</v>
      </c>
      <c r="D219" t="s">
        <v>373</v>
      </c>
      <c r="E219">
        <v>4496402</v>
      </c>
      <c r="F219">
        <v>115749</v>
      </c>
      <c r="G219" t="s">
        <v>721</v>
      </c>
      <c r="H219" t="s">
        <v>582</v>
      </c>
      <c r="I219">
        <v>14</v>
      </c>
      <c r="J219" t="b">
        <v>1</v>
      </c>
      <c r="K219">
        <v>3.5</v>
      </c>
      <c r="L219">
        <v>115750</v>
      </c>
      <c r="M219" t="s">
        <v>722</v>
      </c>
      <c r="N219">
        <v>4</v>
      </c>
      <c r="O219">
        <v>4</v>
      </c>
      <c r="P219"/>
      <c r="Q219">
        <v>155687</v>
      </c>
      <c r="R219">
        <v>1</v>
      </c>
      <c r="S219" t="s">
        <v>40</v>
      </c>
      <c r="T219">
        <v>261</v>
      </c>
      <c r="U219">
        <v>147664</v>
      </c>
      <c r="V219">
        <v>24</v>
      </c>
      <c r="W219" t="s">
        <v>40</v>
      </c>
      <c r="X219">
        <v>261</v>
      </c>
      <c r="Y219" t="s">
        <v>377</v>
      </c>
      <c r="Z219" t="s">
        <v>378</v>
      </c>
      <c r="AA219" t="s">
        <v>379</v>
      </c>
      <c r="AB219" t="s">
        <v>384</v>
      </c>
      <c r="AC219" t="s">
        <v>41</v>
      </c>
      <c r="AD219" t="s">
        <v>41</v>
      </c>
      <c r="AE219" t="s">
        <v>41</v>
      </c>
      <c r="AF219" t="s">
        <v>41</v>
      </c>
      <c r="AG219" t="s">
        <v>41</v>
      </c>
      <c r="AH219" t="s">
        <v>41</v>
      </c>
      <c r="AK219"/>
    </row>
    <row r="220" spans="1:38" x14ac:dyDescent="0.25">
      <c r="A220" t="s">
        <v>37</v>
      </c>
      <c r="B220">
        <v>45916.725763888891</v>
      </c>
      <c r="C220">
        <v>91593</v>
      </c>
      <c r="D220" t="s">
        <v>373</v>
      </c>
      <c r="E220">
        <v>4487826</v>
      </c>
      <c r="F220">
        <v>124116</v>
      </c>
      <c r="G220" t="s">
        <v>723</v>
      </c>
      <c r="H220" t="s">
        <v>436</v>
      </c>
      <c r="I220">
        <v>5</v>
      </c>
      <c r="J220" t="b">
        <v>1</v>
      </c>
      <c r="K220">
        <v>1.3888888888888888E-2</v>
      </c>
      <c r="L220">
        <v>124117</v>
      </c>
      <c r="M220" t="s">
        <v>724</v>
      </c>
      <c r="N220">
        <v>360</v>
      </c>
      <c r="O220">
        <v>360</v>
      </c>
      <c r="P220" t="s">
        <v>423</v>
      </c>
      <c r="Q220">
        <v>0</v>
      </c>
      <c r="R220">
        <v>0</v>
      </c>
      <c r="S220" t="s">
        <v>40</v>
      </c>
      <c r="T220">
        <v>261</v>
      </c>
      <c r="W220"/>
      <c r="Y220" t="s">
        <v>377</v>
      </c>
      <c r="Z220" t="s">
        <v>378</v>
      </c>
      <c r="AA220" t="s">
        <v>379</v>
      </c>
      <c r="AB220" t="s">
        <v>725</v>
      </c>
      <c r="AC220" t="s">
        <v>41</v>
      </c>
      <c r="AD220" t="s">
        <v>41</v>
      </c>
      <c r="AE220" t="s">
        <v>41</v>
      </c>
      <c r="AF220" t="s">
        <v>41</v>
      </c>
      <c r="AG220" t="s">
        <v>41</v>
      </c>
      <c r="AH220" t="s">
        <v>41</v>
      </c>
      <c r="AK220"/>
    </row>
    <row r="221" spans="1:38" x14ac:dyDescent="0.25">
      <c r="A221" t="s">
        <v>47</v>
      </c>
      <c r="B221">
        <v>45916.729687500003</v>
      </c>
      <c r="C221">
        <v>90978</v>
      </c>
      <c r="D221" t="s">
        <v>373</v>
      </c>
      <c r="E221">
        <v>4493171</v>
      </c>
      <c r="F221">
        <v>2105506</v>
      </c>
      <c r="G221" t="s">
        <v>726</v>
      </c>
      <c r="H221" t="s">
        <v>582</v>
      </c>
      <c r="I221">
        <v>1.5</v>
      </c>
      <c r="J221" t="b">
        <v>0</v>
      </c>
      <c r="K221">
        <v>9.6774193548387101E-3</v>
      </c>
      <c r="L221">
        <v>2106762</v>
      </c>
      <c r="M221" t="s">
        <v>727</v>
      </c>
      <c r="N221">
        <v>155</v>
      </c>
      <c r="O221">
        <v>155</v>
      </c>
      <c r="P221" t="s">
        <v>423</v>
      </c>
      <c r="Q221">
        <v>0</v>
      </c>
      <c r="R221">
        <v>0</v>
      </c>
      <c r="S221" t="s">
        <v>40</v>
      </c>
      <c r="T221">
        <v>261</v>
      </c>
      <c r="W221"/>
      <c r="Y221" t="s">
        <v>377</v>
      </c>
      <c r="Z221" t="s">
        <v>378</v>
      </c>
      <c r="AA221" t="s">
        <v>379</v>
      </c>
      <c r="AB221" t="s">
        <v>728</v>
      </c>
      <c r="AC221" t="s">
        <v>41</v>
      </c>
      <c r="AD221" t="s">
        <v>41</v>
      </c>
      <c r="AE221" t="s">
        <v>41</v>
      </c>
      <c r="AF221" t="s">
        <v>41</v>
      </c>
      <c r="AG221" t="s">
        <v>41</v>
      </c>
      <c r="AH221" t="s">
        <v>41</v>
      </c>
      <c r="AK221"/>
    </row>
    <row r="222" spans="1:38" x14ac:dyDescent="0.25">
      <c r="A222" t="s">
        <v>47</v>
      </c>
      <c r="B222">
        <v>45916.731400462966</v>
      </c>
      <c r="C222">
        <v>90978</v>
      </c>
      <c r="D222" t="s">
        <v>373</v>
      </c>
      <c r="E222">
        <v>4493171</v>
      </c>
      <c r="F222">
        <v>2105506</v>
      </c>
      <c r="G222" t="s">
        <v>726</v>
      </c>
      <c r="H222" t="s">
        <v>582</v>
      </c>
      <c r="I222">
        <v>1.5</v>
      </c>
      <c r="J222" t="b">
        <v>1</v>
      </c>
      <c r="K222">
        <v>9.6774193548387101E-3</v>
      </c>
      <c r="L222">
        <v>2106762</v>
      </c>
      <c r="M222" t="s">
        <v>727</v>
      </c>
      <c r="N222">
        <v>155</v>
      </c>
      <c r="O222">
        <v>155</v>
      </c>
      <c r="P222"/>
      <c r="Q222">
        <v>0</v>
      </c>
      <c r="R222">
        <v>0</v>
      </c>
      <c r="S222" t="s">
        <v>40</v>
      </c>
      <c r="T222">
        <v>261</v>
      </c>
      <c r="W222"/>
      <c r="Y222" t="s">
        <v>377</v>
      </c>
      <c r="Z222" t="s">
        <v>378</v>
      </c>
      <c r="AA222" t="s">
        <v>379</v>
      </c>
      <c r="AB222" t="s">
        <v>728</v>
      </c>
      <c r="AC222" t="s">
        <v>41</v>
      </c>
      <c r="AD222" t="s">
        <v>41</v>
      </c>
      <c r="AE222" t="s">
        <v>41</v>
      </c>
      <c r="AF222" t="s">
        <v>41</v>
      </c>
      <c r="AG222" t="s">
        <v>41</v>
      </c>
      <c r="AH222" t="s">
        <v>41</v>
      </c>
      <c r="AK222"/>
    </row>
    <row r="223" spans="1:38" x14ac:dyDescent="0.25">
      <c r="A223" t="s">
        <v>44</v>
      </c>
      <c r="B223">
        <v>45916.959444444445</v>
      </c>
      <c r="C223">
        <v>92291</v>
      </c>
      <c r="D223" t="s">
        <v>494</v>
      </c>
      <c r="E223">
        <v>4474944</v>
      </c>
      <c r="F223">
        <v>113677</v>
      </c>
      <c r="G223" t="s">
        <v>687</v>
      </c>
      <c r="H223" t="s">
        <v>578</v>
      </c>
      <c r="I223">
        <v>14</v>
      </c>
      <c r="J223" t="b">
        <v>1</v>
      </c>
      <c r="K223">
        <v>1.75</v>
      </c>
      <c r="L223">
        <v>113679</v>
      </c>
      <c r="M223" t="s">
        <v>689</v>
      </c>
      <c r="N223">
        <v>8</v>
      </c>
      <c r="O223">
        <v>8</v>
      </c>
      <c r="P223"/>
      <c r="Q223">
        <v>155687</v>
      </c>
      <c r="R223">
        <v>2</v>
      </c>
      <c r="S223" t="s">
        <v>40</v>
      </c>
      <c r="T223">
        <v>261</v>
      </c>
      <c r="U223">
        <v>147664</v>
      </c>
      <c r="V223">
        <v>48</v>
      </c>
      <c r="W223" t="s">
        <v>40</v>
      </c>
      <c r="X223">
        <v>261</v>
      </c>
      <c r="Y223" t="s">
        <v>377</v>
      </c>
      <c r="Z223" t="s">
        <v>378</v>
      </c>
      <c r="AA223" t="s">
        <v>384</v>
      </c>
      <c r="AB223" t="s">
        <v>384</v>
      </c>
      <c r="AC223" t="s">
        <v>41</v>
      </c>
      <c r="AD223" t="s">
        <v>41</v>
      </c>
      <c r="AE223" t="s">
        <v>41</v>
      </c>
      <c r="AF223" t="s">
        <v>41</v>
      </c>
      <c r="AG223" t="s">
        <v>41</v>
      </c>
      <c r="AH223" t="s">
        <v>41</v>
      </c>
      <c r="AK223"/>
    </row>
    <row r="224" spans="1:38" x14ac:dyDescent="0.25">
      <c r="A224" t="s">
        <v>42</v>
      </c>
      <c r="B224">
        <v>45916.9609375</v>
      </c>
      <c r="C224">
        <v>92248</v>
      </c>
      <c r="D224" t="s">
        <v>494</v>
      </c>
      <c r="E224">
        <v>4494611</v>
      </c>
      <c r="F224">
        <v>105448</v>
      </c>
      <c r="G224" t="s">
        <v>405</v>
      </c>
      <c r="H224" t="s">
        <v>587</v>
      </c>
      <c r="I224">
        <v>7.5</v>
      </c>
      <c r="J224" t="b">
        <v>1</v>
      </c>
      <c r="K224">
        <v>0.625</v>
      </c>
      <c r="L224">
        <v>2106222</v>
      </c>
      <c r="M224" t="s">
        <v>407</v>
      </c>
      <c r="N224">
        <v>12</v>
      </c>
      <c r="O224">
        <v>12</v>
      </c>
      <c r="P224"/>
      <c r="Q224">
        <v>134907</v>
      </c>
      <c r="R224">
        <v>2</v>
      </c>
      <c r="S224" t="s">
        <v>40</v>
      </c>
      <c r="T224">
        <v>261</v>
      </c>
      <c r="U224">
        <v>147664</v>
      </c>
      <c r="V224">
        <v>48</v>
      </c>
      <c r="W224" t="s">
        <v>40</v>
      </c>
      <c r="X224">
        <v>261</v>
      </c>
      <c r="Y224" t="s">
        <v>377</v>
      </c>
      <c r="Z224" t="s">
        <v>378</v>
      </c>
      <c r="AA224" t="s">
        <v>379</v>
      </c>
      <c r="AB224" t="s">
        <v>384</v>
      </c>
      <c r="AC224" t="s">
        <v>379</v>
      </c>
      <c r="AD224" t="s">
        <v>400</v>
      </c>
      <c r="AE224" t="s">
        <v>41</v>
      </c>
      <c r="AF224" t="s">
        <v>41</v>
      </c>
      <c r="AG224" t="s">
        <v>41</v>
      </c>
      <c r="AH224" t="s">
        <v>41</v>
      </c>
      <c r="AK224"/>
    </row>
    <row r="225" spans="1:37" x14ac:dyDescent="0.25">
      <c r="A225" t="s">
        <v>43</v>
      </c>
      <c r="B225">
        <v>45917.358946759261</v>
      </c>
      <c r="C225">
        <v>92152</v>
      </c>
      <c r="D225" t="s">
        <v>459</v>
      </c>
      <c r="E225">
        <v>4496467</v>
      </c>
      <c r="F225">
        <v>2104879</v>
      </c>
      <c r="G225" t="s">
        <v>556</v>
      </c>
      <c r="H225" t="s">
        <v>729</v>
      </c>
      <c r="I225">
        <v>7.5</v>
      </c>
      <c r="J225" t="b">
        <v>1</v>
      </c>
      <c r="K225">
        <v>0.83333333333333337</v>
      </c>
      <c r="L225">
        <v>2106199</v>
      </c>
      <c r="M225" t="s">
        <v>558</v>
      </c>
      <c r="N225">
        <v>9</v>
      </c>
      <c r="O225">
        <v>9</v>
      </c>
      <c r="P225"/>
      <c r="Q225">
        <v>155687</v>
      </c>
      <c r="R225">
        <v>2</v>
      </c>
      <c r="S225" t="s">
        <v>40</v>
      </c>
      <c r="T225">
        <v>261</v>
      </c>
      <c r="U225">
        <v>147664</v>
      </c>
      <c r="V225">
        <v>48</v>
      </c>
      <c r="W225" t="s">
        <v>40</v>
      </c>
      <c r="X225">
        <v>261</v>
      </c>
      <c r="Y225" t="s">
        <v>377</v>
      </c>
      <c r="Z225" t="s">
        <v>378</v>
      </c>
      <c r="AA225" t="s">
        <v>379</v>
      </c>
      <c r="AB225" t="s">
        <v>559</v>
      </c>
      <c r="AC225" t="s">
        <v>379</v>
      </c>
      <c r="AD225" t="s">
        <v>384</v>
      </c>
      <c r="AE225" t="s">
        <v>41</v>
      </c>
      <c r="AF225" t="s">
        <v>41</v>
      </c>
      <c r="AG225" t="s">
        <v>41</v>
      </c>
      <c r="AH225" t="s">
        <v>41</v>
      </c>
      <c r="AK225"/>
    </row>
    <row r="226" spans="1:37" x14ac:dyDescent="0.25">
      <c r="A226" t="s">
        <v>43</v>
      </c>
      <c r="B226">
        <v>45917.419409722221</v>
      </c>
      <c r="C226">
        <v>92152</v>
      </c>
      <c r="D226" t="s">
        <v>459</v>
      </c>
      <c r="E226">
        <v>4496467</v>
      </c>
      <c r="F226">
        <v>2104879</v>
      </c>
      <c r="G226" t="s">
        <v>556</v>
      </c>
      <c r="H226" t="s">
        <v>729</v>
      </c>
      <c r="I226">
        <v>7.5</v>
      </c>
      <c r="J226" t="b">
        <v>1</v>
      </c>
      <c r="K226">
        <v>0.83333333333333337</v>
      </c>
      <c r="L226">
        <v>2106199</v>
      </c>
      <c r="M226" t="s">
        <v>558</v>
      </c>
      <c r="N226">
        <v>9</v>
      </c>
      <c r="O226">
        <v>9</v>
      </c>
      <c r="P226"/>
      <c r="Q226">
        <v>155687</v>
      </c>
      <c r="R226">
        <v>2</v>
      </c>
      <c r="S226" t="s">
        <v>40</v>
      </c>
      <c r="T226">
        <v>261</v>
      </c>
      <c r="U226">
        <v>147664</v>
      </c>
      <c r="V226">
        <v>48</v>
      </c>
      <c r="W226" t="s">
        <v>40</v>
      </c>
      <c r="X226">
        <v>261</v>
      </c>
      <c r="Y226" t="s">
        <v>377</v>
      </c>
      <c r="Z226" t="s">
        <v>378</v>
      </c>
      <c r="AA226" t="s">
        <v>379</v>
      </c>
      <c r="AB226" t="s">
        <v>559</v>
      </c>
      <c r="AC226" t="s">
        <v>41</v>
      </c>
      <c r="AD226" t="s">
        <v>41</v>
      </c>
      <c r="AE226" t="s">
        <v>41</v>
      </c>
      <c r="AF226" t="s">
        <v>41</v>
      </c>
      <c r="AG226" t="s">
        <v>41</v>
      </c>
      <c r="AH226" t="s">
        <v>41</v>
      </c>
      <c r="AK226"/>
    </row>
    <row r="227" spans="1:37" x14ac:dyDescent="0.25">
      <c r="A227" t="s">
        <v>38</v>
      </c>
      <c r="B227">
        <v>45917.563344907408</v>
      </c>
      <c r="C227">
        <v>92333</v>
      </c>
      <c r="D227" t="s">
        <v>401</v>
      </c>
      <c r="E227">
        <v>4492689</v>
      </c>
      <c r="F227">
        <v>2304758</v>
      </c>
      <c r="G227" t="s">
        <v>402</v>
      </c>
      <c r="H227" t="s">
        <v>730</v>
      </c>
      <c r="I227">
        <v>14</v>
      </c>
      <c r="J227" t="b">
        <v>1</v>
      </c>
      <c r="K227">
        <v>1.75</v>
      </c>
      <c r="L227">
        <v>2304759</v>
      </c>
      <c r="M227" t="s">
        <v>404</v>
      </c>
      <c r="N227">
        <v>8</v>
      </c>
      <c r="O227">
        <v>8</v>
      </c>
      <c r="P227"/>
      <c r="Q227">
        <v>0</v>
      </c>
      <c r="R227">
        <v>0</v>
      </c>
      <c r="S227" t="s">
        <v>40</v>
      </c>
      <c r="T227">
        <v>261</v>
      </c>
      <c r="W227"/>
      <c r="Y227" t="s">
        <v>377</v>
      </c>
      <c r="Z227" t="s">
        <v>378</v>
      </c>
      <c r="AA227" t="s">
        <v>384</v>
      </c>
      <c r="AB227" t="s">
        <v>384</v>
      </c>
      <c r="AC227" t="s">
        <v>41</v>
      </c>
      <c r="AD227" t="s">
        <v>41</v>
      </c>
      <c r="AE227" t="s">
        <v>41</v>
      </c>
      <c r="AF227" t="s">
        <v>41</v>
      </c>
      <c r="AG227" t="s">
        <v>41</v>
      </c>
      <c r="AH227" t="s">
        <v>41</v>
      </c>
      <c r="AK227"/>
    </row>
    <row r="228" spans="1:37" x14ac:dyDescent="0.25">
      <c r="A228" t="s">
        <v>39</v>
      </c>
      <c r="B228">
        <v>45917.613495370373</v>
      </c>
      <c r="C228">
        <v>90980</v>
      </c>
      <c r="D228" t="s">
        <v>401</v>
      </c>
      <c r="E228">
        <v>4486425</v>
      </c>
      <c r="F228">
        <v>103497</v>
      </c>
      <c r="G228" t="s">
        <v>731</v>
      </c>
      <c r="H228" t="s">
        <v>582</v>
      </c>
      <c r="I228">
        <v>5</v>
      </c>
      <c r="J228" t="b">
        <v>1</v>
      </c>
      <c r="K228">
        <v>1.5479876160990712E-2</v>
      </c>
      <c r="L228">
        <v>103498</v>
      </c>
      <c r="M228" t="s">
        <v>732</v>
      </c>
      <c r="N228">
        <v>323</v>
      </c>
      <c r="O228">
        <v>323</v>
      </c>
      <c r="P228"/>
      <c r="Q228">
        <v>134974</v>
      </c>
      <c r="R228">
        <v>1</v>
      </c>
      <c r="S228" t="s">
        <v>40</v>
      </c>
      <c r="T228">
        <v>261</v>
      </c>
      <c r="W228"/>
      <c r="Y228" t="s">
        <v>377</v>
      </c>
      <c r="Z228" t="s">
        <v>378</v>
      </c>
      <c r="AA228" t="s">
        <v>379</v>
      </c>
      <c r="AB228" t="s">
        <v>733</v>
      </c>
      <c r="AC228" t="s">
        <v>41</v>
      </c>
      <c r="AD228" t="s">
        <v>41</v>
      </c>
      <c r="AE228" t="s">
        <v>41</v>
      </c>
      <c r="AF228" t="s">
        <v>41</v>
      </c>
      <c r="AG228" t="s">
        <v>41</v>
      </c>
      <c r="AH228" t="s">
        <v>41</v>
      </c>
      <c r="AK228"/>
    </row>
    <row r="229" spans="1:37" x14ac:dyDescent="0.25">
      <c r="A229" t="s">
        <v>42</v>
      </c>
      <c r="B229">
        <v>45917.686678240738</v>
      </c>
      <c r="C229">
        <v>92153</v>
      </c>
      <c r="D229" t="s">
        <v>401</v>
      </c>
      <c r="E229">
        <v>4496469</v>
      </c>
      <c r="F229">
        <v>2104879</v>
      </c>
      <c r="G229" t="s">
        <v>556</v>
      </c>
      <c r="H229" t="s">
        <v>734</v>
      </c>
      <c r="I229">
        <v>7</v>
      </c>
      <c r="J229" t="b">
        <v>1</v>
      </c>
      <c r="K229">
        <v>1.4</v>
      </c>
      <c r="L229">
        <v>2106199</v>
      </c>
      <c r="M229" t="s">
        <v>558</v>
      </c>
      <c r="N229">
        <v>5</v>
      </c>
      <c r="O229">
        <v>5</v>
      </c>
      <c r="P229"/>
      <c r="Q229">
        <v>134971</v>
      </c>
      <c r="R229">
        <v>1</v>
      </c>
      <c r="S229" t="s">
        <v>40</v>
      </c>
      <c r="T229">
        <v>261</v>
      </c>
      <c r="U229">
        <v>147664</v>
      </c>
      <c r="V229">
        <v>24</v>
      </c>
      <c r="W229" t="s">
        <v>40</v>
      </c>
      <c r="X229">
        <v>261</v>
      </c>
      <c r="Y229" t="s">
        <v>377</v>
      </c>
      <c r="Z229" t="s">
        <v>378</v>
      </c>
      <c r="AA229" t="s">
        <v>379</v>
      </c>
      <c r="AB229" t="s">
        <v>559</v>
      </c>
      <c r="AC229" t="s">
        <v>41</v>
      </c>
      <c r="AD229" t="s">
        <v>41</v>
      </c>
      <c r="AE229" t="s">
        <v>41</v>
      </c>
      <c r="AF229" t="s">
        <v>41</v>
      </c>
      <c r="AG229" t="s">
        <v>41</v>
      </c>
      <c r="AH229" t="s">
        <v>41</v>
      </c>
      <c r="AK229"/>
    </row>
    <row r="230" spans="1:37" x14ac:dyDescent="0.25">
      <c r="A230" t="s">
        <v>42</v>
      </c>
      <c r="B230">
        <v>45917.687430555554</v>
      </c>
      <c r="C230">
        <v>92153</v>
      </c>
      <c r="D230" t="s">
        <v>401</v>
      </c>
      <c r="E230">
        <v>4496468</v>
      </c>
      <c r="F230">
        <v>2104879</v>
      </c>
      <c r="G230" t="s">
        <v>556</v>
      </c>
      <c r="H230" t="s">
        <v>734</v>
      </c>
      <c r="I230">
        <v>7</v>
      </c>
      <c r="J230" t="b">
        <v>1</v>
      </c>
      <c r="K230">
        <v>1.75</v>
      </c>
      <c r="L230">
        <v>2106199</v>
      </c>
      <c r="M230" t="s">
        <v>558</v>
      </c>
      <c r="N230">
        <v>4</v>
      </c>
      <c r="O230">
        <v>4</v>
      </c>
      <c r="P230"/>
      <c r="Q230">
        <v>134971</v>
      </c>
      <c r="R230">
        <v>1</v>
      </c>
      <c r="S230" t="s">
        <v>40</v>
      </c>
      <c r="T230">
        <v>261</v>
      </c>
      <c r="U230">
        <v>147664</v>
      </c>
      <c r="V230">
        <v>24</v>
      </c>
      <c r="W230" t="s">
        <v>40</v>
      </c>
      <c r="X230">
        <v>261</v>
      </c>
      <c r="Y230" t="s">
        <v>377</v>
      </c>
      <c r="Z230" t="s">
        <v>378</v>
      </c>
      <c r="AA230" t="s">
        <v>379</v>
      </c>
      <c r="AB230" t="s">
        <v>384</v>
      </c>
      <c r="AC230" t="s">
        <v>41</v>
      </c>
      <c r="AD230" t="s">
        <v>41</v>
      </c>
      <c r="AE230" t="s">
        <v>41</v>
      </c>
      <c r="AF230" t="s">
        <v>41</v>
      </c>
      <c r="AG230" t="s">
        <v>41</v>
      </c>
      <c r="AH230" t="s">
        <v>41</v>
      </c>
      <c r="AK230"/>
    </row>
    <row r="231" spans="1:37" x14ac:dyDescent="0.25">
      <c r="A231" t="s">
        <v>37</v>
      </c>
      <c r="B231">
        <v>45917.863715277781</v>
      </c>
      <c r="C231">
        <v>91594</v>
      </c>
      <c r="D231" t="s">
        <v>563</v>
      </c>
      <c r="E231">
        <v>4495744</v>
      </c>
      <c r="F231">
        <v>124116</v>
      </c>
      <c r="G231" t="s">
        <v>723</v>
      </c>
      <c r="H231" t="s">
        <v>483</v>
      </c>
      <c r="I231">
        <v>7.5</v>
      </c>
      <c r="J231" t="b">
        <v>1</v>
      </c>
      <c r="K231">
        <v>2.1126760563380281E-2</v>
      </c>
      <c r="L231">
        <v>124117</v>
      </c>
      <c r="M231" t="s">
        <v>724</v>
      </c>
      <c r="N231">
        <v>355</v>
      </c>
      <c r="O231">
        <v>355</v>
      </c>
      <c r="P231"/>
      <c r="Q231">
        <v>0</v>
      </c>
      <c r="R231">
        <v>0</v>
      </c>
      <c r="S231" t="s">
        <v>40</v>
      </c>
      <c r="T231">
        <v>261</v>
      </c>
      <c r="W231"/>
      <c r="Y231" t="s">
        <v>377</v>
      </c>
      <c r="Z231" t="s">
        <v>378</v>
      </c>
      <c r="AA231" t="s">
        <v>379</v>
      </c>
      <c r="AB231" t="s">
        <v>453</v>
      </c>
      <c r="AC231" t="s">
        <v>41</v>
      </c>
      <c r="AD231" t="s">
        <v>41</v>
      </c>
      <c r="AE231" t="s">
        <v>41</v>
      </c>
      <c r="AF231" t="s">
        <v>41</v>
      </c>
      <c r="AG231" t="s">
        <v>41</v>
      </c>
      <c r="AH231" t="s">
        <v>41</v>
      </c>
      <c r="AK231"/>
    </row>
    <row r="232" spans="1:37" x14ac:dyDescent="0.25">
      <c r="A232" t="s">
        <v>43</v>
      </c>
      <c r="B232">
        <v>45918.043391203704</v>
      </c>
      <c r="C232">
        <v>92249</v>
      </c>
      <c r="D232" t="s">
        <v>563</v>
      </c>
      <c r="E232">
        <v>4494612</v>
      </c>
      <c r="F232">
        <v>105448</v>
      </c>
      <c r="G232" t="s">
        <v>405</v>
      </c>
      <c r="H232" t="s">
        <v>735</v>
      </c>
      <c r="I232">
        <v>7.5</v>
      </c>
      <c r="J232" t="b">
        <v>1</v>
      </c>
      <c r="K232">
        <v>0.625</v>
      </c>
      <c r="L232">
        <v>2106222</v>
      </c>
      <c r="M232" t="s">
        <v>407</v>
      </c>
      <c r="N232">
        <v>12</v>
      </c>
      <c r="O232">
        <v>12</v>
      </c>
      <c r="P232"/>
      <c r="Q232">
        <v>134971</v>
      </c>
      <c r="R232">
        <v>2</v>
      </c>
      <c r="S232" t="s">
        <v>40</v>
      </c>
      <c r="T232">
        <v>261</v>
      </c>
      <c r="U232">
        <v>147664</v>
      </c>
      <c r="V232">
        <v>48</v>
      </c>
      <c r="W232" t="s">
        <v>40</v>
      </c>
      <c r="X232">
        <v>261</v>
      </c>
      <c r="Y232" t="s">
        <v>377</v>
      </c>
      <c r="Z232" t="s">
        <v>378</v>
      </c>
      <c r="AA232" t="s">
        <v>379</v>
      </c>
      <c r="AB232" t="s">
        <v>400</v>
      </c>
      <c r="AC232" t="s">
        <v>379</v>
      </c>
      <c r="AD232" t="s">
        <v>384</v>
      </c>
      <c r="AE232" t="s">
        <v>41</v>
      </c>
      <c r="AF232" t="s">
        <v>41</v>
      </c>
      <c r="AG232" t="s">
        <v>41</v>
      </c>
      <c r="AH232" t="s">
        <v>41</v>
      </c>
      <c r="AK232"/>
    </row>
    <row r="233" spans="1:37" x14ac:dyDescent="0.25">
      <c r="A233" t="s">
        <v>37</v>
      </c>
      <c r="B233">
        <v>45918.415023148147</v>
      </c>
      <c r="C233">
        <v>92250</v>
      </c>
      <c r="D233" t="s">
        <v>459</v>
      </c>
      <c r="E233">
        <v>4496939</v>
      </c>
      <c r="F233">
        <v>113699</v>
      </c>
      <c r="G233" t="s">
        <v>598</v>
      </c>
      <c r="H233" t="s">
        <v>736</v>
      </c>
      <c r="I233">
        <v>7.5</v>
      </c>
      <c r="J233" t="b">
        <v>1</v>
      </c>
      <c r="K233">
        <v>0.625</v>
      </c>
      <c r="L233">
        <v>113700</v>
      </c>
      <c r="M233" t="s">
        <v>599</v>
      </c>
      <c r="N233">
        <v>12</v>
      </c>
      <c r="O233">
        <v>12</v>
      </c>
      <c r="P233"/>
      <c r="Q233">
        <v>134907</v>
      </c>
      <c r="R233">
        <v>1</v>
      </c>
      <c r="S233" t="s">
        <v>40</v>
      </c>
      <c r="T233">
        <v>261</v>
      </c>
      <c r="U233">
        <v>147664</v>
      </c>
      <c r="V233">
        <v>24</v>
      </c>
      <c r="W233" t="s">
        <v>40</v>
      </c>
      <c r="X233">
        <v>261</v>
      </c>
      <c r="Y233" t="s">
        <v>377</v>
      </c>
      <c r="Z233" t="s">
        <v>378</v>
      </c>
      <c r="AA233" t="s">
        <v>379</v>
      </c>
      <c r="AB233" t="s">
        <v>400</v>
      </c>
      <c r="AC233" t="s">
        <v>379</v>
      </c>
      <c r="AD233" t="s">
        <v>384</v>
      </c>
      <c r="AE233" t="s">
        <v>41</v>
      </c>
      <c r="AF233" t="s">
        <v>41</v>
      </c>
      <c r="AG233" t="s">
        <v>41</v>
      </c>
      <c r="AH233" t="s">
        <v>41</v>
      </c>
      <c r="AK233"/>
    </row>
    <row r="234" spans="1:37" x14ac:dyDescent="0.25">
      <c r="A234" t="s">
        <v>39</v>
      </c>
      <c r="B234">
        <v>45918.49417824074</v>
      </c>
      <c r="C234">
        <v>90982</v>
      </c>
      <c r="D234" t="s">
        <v>459</v>
      </c>
      <c r="E234">
        <v>4488905</v>
      </c>
      <c r="F234">
        <v>2116465</v>
      </c>
      <c r="G234" t="s">
        <v>737</v>
      </c>
      <c r="H234" t="s">
        <v>582</v>
      </c>
      <c r="I234">
        <v>3</v>
      </c>
      <c r="J234" t="b">
        <v>1</v>
      </c>
      <c r="K234">
        <v>8.6206896551724137E-3</v>
      </c>
      <c r="L234">
        <v>2117622</v>
      </c>
      <c r="M234" t="s">
        <v>738</v>
      </c>
      <c r="N234">
        <v>348</v>
      </c>
      <c r="O234">
        <v>342</v>
      </c>
      <c r="P234"/>
      <c r="Q234">
        <v>134975</v>
      </c>
      <c r="R234">
        <v>1</v>
      </c>
      <c r="S234" t="s">
        <v>40</v>
      </c>
      <c r="T234">
        <v>261</v>
      </c>
      <c r="W234"/>
      <c r="Y234" t="s">
        <v>377</v>
      </c>
      <c r="Z234" t="s">
        <v>378</v>
      </c>
      <c r="AA234" t="s">
        <v>379</v>
      </c>
      <c r="AB234" t="s">
        <v>739</v>
      </c>
      <c r="AC234" t="s">
        <v>41</v>
      </c>
      <c r="AD234" t="s">
        <v>41</v>
      </c>
      <c r="AE234" t="s">
        <v>41</v>
      </c>
      <c r="AF234" t="s">
        <v>41</v>
      </c>
      <c r="AG234" t="s">
        <v>41</v>
      </c>
      <c r="AH234" t="s">
        <v>41</v>
      </c>
      <c r="AK234"/>
    </row>
    <row r="235" spans="1:37" x14ac:dyDescent="0.25">
      <c r="A235" t="s">
        <v>38</v>
      </c>
      <c r="B235">
        <v>45918.497037037036</v>
      </c>
      <c r="C235">
        <v>92287</v>
      </c>
      <c r="D235" t="s">
        <v>459</v>
      </c>
      <c r="E235">
        <v>4496544</v>
      </c>
      <c r="F235">
        <v>2301366</v>
      </c>
      <c r="G235" t="s">
        <v>397</v>
      </c>
      <c r="H235" t="s">
        <v>740</v>
      </c>
      <c r="I235">
        <v>14</v>
      </c>
      <c r="J235" t="b">
        <v>1</v>
      </c>
      <c r="K235">
        <v>1.75</v>
      </c>
      <c r="L235">
        <v>2301367</v>
      </c>
      <c r="M235" t="s">
        <v>399</v>
      </c>
      <c r="N235">
        <v>8</v>
      </c>
      <c r="O235">
        <v>8</v>
      </c>
      <c r="P235"/>
      <c r="Q235">
        <v>155687</v>
      </c>
      <c r="R235">
        <v>2</v>
      </c>
      <c r="S235" t="s">
        <v>40</v>
      </c>
      <c r="T235">
        <v>261</v>
      </c>
      <c r="U235">
        <v>147664</v>
      </c>
      <c r="V235">
        <v>48</v>
      </c>
      <c r="W235" t="s">
        <v>40</v>
      </c>
      <c r="X235">
        <v>261</v>
      </c>
      <c r="Y235" t="s">
        <v>377</v>
      </c>
      <c r="Z235" t="s">
        <v>378</v>
      </c>
      <c r="AA235" t="s">
        <v>384</v>
      </c>
      <c r="AB235" t="s">
        <v>384</v>
      </c>
      <c r="AC235" t="s">
        <v>41</v>
      </c>
      <c r="AD235" t="s">
        <v>41</v>
      </c>
      <c r="AE235" t="s">
        <v>41</v>
      </c>
      <c r="AF235" t="s">
        <v>41</v>
      </c>
      <c r="AG235" t="s">
        <v>41</v>
      </c>
      <c r="AH235" t="s">
        <v>41</v>
      </c>
      <c r="AK235"/>
    </row>
    <row r="236" spans="1:37" x14ac:dyDescent="0.25">
      <c r="A236" t="s">
        <v>44</v>
      </c>
      <c r="B236">
        <v>45918.620439814818</v>
      </c>
      <c r="C236">
        <v>92155</v>
      </c>
      <c r="D236" t="s">
        <v>459</v>
      </c>
      <c r="E236">
        <v>4495233</v>
      </c>
      <c r="F236">
        <v>107142</v>
      </c>
      <c r="G236" t="s">
        <v>741</v>
      </c>
      <c r="H236" t="s">
        <v>742</v>
      </c>
      <c r="I236">
        <v>10</v>
      </c>
      <c r="J236" t="b">
        <v>1</v>
      </c>
      <c r="K236">
        <v>1.25</v>
      </c>
      <c r="L236">
        <v>107143</v>
      </c>
      <c r="M236" t="s">
        <v>743</v>
      </c>
      <c r="N236">
        <v>8</v>
      </c>
      <c r="O236">
        <v>8</v>
      </c>
      <c r="P236"/>
      <c r="Q236">
        <v>134905</v>
      </c>
      <c r="R236">
        <v>2</v>
      </c>
      <c r="S236" t="s">
        <v>40</v>
      </c>
      <c r="T236">
        <v>261</v>
      </c>
      <c r="U236">
        <v>147664</v>
      </c>
      <c r="V236">
        <v>48</v>
      </c>
      <c r="W236" t="s">
        <v>40</v>
      </c>
      <c r="X236">
        <v>261</v>
      </c>
      <c r="Y236" t="s">
        <v>377</v>
      </c>
      <c r="Z236" t="s">
        <v>378</v>
      </c>
      <c r="AA236" t="s">
        <v>384</v>
      </c>
      <c r="AB236" t="s">
        <v>384</v>
      </c>
      <c r="AC236" t="s">
        <v>41</v>
      </c>
      <c r="AD236" t="s">
        <v>41</v>
      </c>
      <c r="AE236" t="s">
        <v>41</v>
      </c>
      <c r="AF236" t="s">
        <v>41</v>
      </c>
      <c r="AG236" t="s">
        <v>41</v>
      </c>
      <c r="AH236" t="s">
        <v>41</v>
      </c>
      <c r="AK236"/>
    </row>
    <row r="237" spans="1:37" x14ac:dyDescent="0.25">
      <c r="A237" t="s">
        <v>43</v>
      </c>
      <c r="B237">
        <v>45918.634375000001</v>
      </c>
      <c r="C237">
        <v>91595</v>
      </c>
      <c r="D237" t="s">
        <v>459</v>
      </c>
      <c r="E237">
        <v>4495463</v>
      </c>
      <c r="F237">
        <v>2305829</v>
      </c>
      <c r="G237" t="s">
        <v>623</v>
      </c>
      <c r="H237" t="s">
        <v>618</v>
      </c>
      <c r="I237">
        <v>3</v>
      </c>
      <c r="J237" t="b">
        <v>1</v>
      </c>
      <c r="K237">
        <v>8.0000000000000002E-3</v>
      </c>
      <c r="L237">
        <v>2305870</v>
      </c>
      <c r="M237" t="s">
        <v>624</v>
      </c>
      <c r="N237">
        <v>375</v>
      </c>
      <c r="O237">
        <v>406</v>
      </c>
      <c r="P237"/>
      <c r="Q237">
        <v>134905</v>
      </c>
      <c r="R237">
        <v>1</v>
      </c>
      <c r="S237" t="s">
        <v>40</v>
      </c>
      <c r="T237">
        <v>261</v>
      </c>
      <c r="U237">
        <v>147664</v>
      </c>
      <c r="V237">
        <v>24</v>
      </c>
      <c r="W237" t="s">
        <v>40</v>
      </c>
      <c r="X237">
        <v>261</v>
      </c>
      <c r="Y237" t="s">
        <v>377</v>
      </c>
      <c r="Z237" t="s">
        <v>378</v>
      </c>
      <c r="AA237" t="s">
        <v>379</v>
      </c>
      <c r="AB237" t="s">
        <v>744</v>
      </c>
      <c r="AC237" t="s">
        <v>41</v>
      </c>
      <c r="AD237" t="s">
        <v>41</v>
      </c>
      <c r="AE237" t="s">
        <v>41</v>
      </c>
      <c r="AF237" t="s">
        <v>41</v>
      </c>
      <c r="AG237" t="s">
        <v>41</v>
      </c>
      <c r="AH237" t="s">
        <v>41</v>
      </c>
      <c r="AK237"/>
    </row>
    <row r="238" spans="1:37" x14ac:dyDescent="0.25">
      <c r="A238" t="s">
        <v>42</v>
      </c>
      <c r="B238">
        <v>45918.76866898148</v>
      </c>
      <c r="C238">
        <v>92292</v>
      </c>
      <c r="D238" t="s">
        <v>745</v>
      </c>
      <c r="E238">
        <v>4474945</v>
      </c>
      <c r="F238">
        <v>113677</v>
      </c>
      <c r="G238" t="s">
        <v>687</v>
      </c>
      <c r="H238" t="s">
        <v>522</v>
      </c>
      <c r="I238">
        <v>14</v>
      </c>
      <c r="J238" t="b">
        <v>1</v>
      </c>
      <c r="K238">
        <v>1.75</v>
      </c>
      <c r="L238">
        <v>113679</v>
      </c>
      <c r="M238" t="s">
        <v>689</v>
      </c>
      <c r="N238">
        <v>8</v>
      </c>
      <c r="O238">
        <v>8</v>
      </c>
      <c r="P238"/>
      <c r="Q238">
        <v>134905</v>
      </c>
      <c r="R238">
        <v>2</v>
      </c>
      <c r="S238" t="s">
        <v>40</v>
      </c>
      <c r="T238">
        <v>261</v>
      </c>
      <c r="U238">
        <v>147664</v>
      </c>
      <c r="V238">
        <v>48</v>
      </c>
      <c r="W238" t="s">
        <v>40</v>
      </c>
      <c r="X238">
        <v>261</v>
      </c>
      <c r="Y238" t="s">
        <v>377</v>
      </c>
      <c r="Z238" t="s">
        <v>378</v>
      </c>
      <c r="AA238" t="s">
        <v>384</v>
      </c>
      <c r="AB238" t="s">
        <v>384</v>
      </c>
      <c r="AC238" t="s">
        <v>41</v>
      </c>
      <c r="AD238" t="s">
        <v>41</v>
      </c>
      <c r="AE238" t="s">
        <v>41</v>
      </c>
      <c r="AF238" t="s">
        <v>41</v>
      </c>
      <c r="AG238" t="s">
        <v>41</v>
      </c>
      <c r="AH238" t="s">
        <v>41</v>
      </c>
      <c r="AK238"/>
    </row>
    <row r="239" spans="1:37" x14ac:dyDescent="0.25">
      <c r="A239" t="s">
        <v>37</v>
      </c>
      <c r="B239">
        <v>45918.896145833336</v>
      </c>
      <c r="C239">
        <v>92252</v>
      </c>
      <c r="D239" t="s">
        <v>745</v>
      </c>
      <c r="E239">
        <v>4496940</v>
      </c>
      <c r="F239">
        <v>113699</v>
      </c>
      <c r="G239" t="s">
        <v>598</v>
      </c>
      <c r="H239" t="s">
        <v>746</v>
      </c>
      <c r="I239">
        <v>7.5</v>
      </c>
      <c r="J239" t="b">
        <v>1</v>
      </c>
      <c r="K239">
        <v>0.625</v>
      </c>
      <c r="L239">
        <v>113700</v>
      </c>
      <c r="M239" t="s">
        <v>599</v>
      </c>
      <c r="N239">
        <v>12</v>
      </c>
      <c r="O239">
        <v>12</v>
      </c>
      <c r="P239"/>
      <c r="Q239">
        <v>134971</v>
      </c>
      <c r="R239">
        <v>2</v>
      </c>
      <c r="S239" t="s">
        <v>40</v>
      </c>
      <c r="T239">
        <v>261</v>
      </c>
      <c r="U239">
        <v>147664</v>
      </c>
      <c r="V239">
        <v>48</v>
      </c>
      <c r="W239" t="s">
        <v>40</v>
      </c>
      <c r="X239">
        <v>261</v>
      </c>
      <c r="Y239" t="s">
        <v>377</v>
      </c>
      <c r="Z239" t="s">
        <v>378</v>
      </c>
      <c r="AA239" t="s">
        <v>379</v>
      </c>
      <c r="AB239" t="s">
        <v>400</v>
      </c>
      <c r="AC239" t="s">
        <v>379</v>
      </c>
      <c r="AD239" t="s">
        <v>384</v>
      </c>
      <c r="AE239" t="s">
        <v>41</v>
      </c>
      <c r="AF239" t="s">
        <v>41</v>
      </c>
      <c r="AG239" t="s">
        <v>41</v>
      </c>
      <c r="AH239" t="s">
        <v>41</v>
      </c>
      <c r="AK239"/>
    </row>
    <row r="240" spans="1:37" x14ac:dyDescent="0.25">
      <c r="A240" t="s">
        <v>45</v>
      </c>
      <c r="B240">
        <v>45918.904189814813</v>
      </c>
      <c r="C240">
        <v>90984</v>
      </c>
      <c r="D240" t="s">
        <v>745</v>
      </c>
      <c r="E240">
        <v>4484185</v>
      </c>
      <c r="F240">
        <v>2106739</v>
      </c>
      <c r="G240" t="s">
        <v>747</v>
      </c>
      <c r="H240" t="s">
        <v>582</v>
      </c>
      <c r="I240">
        <v>1.5</v>
      </c>
      <c r="J240" t="b">
        <v>1</v>
      </c>
      <c r="K240">
        <v>0.01</v>
      </c>
      <c r="L240">
        <v>2106739</v>
      </c>
      <c r="M240" t="s">
        <v>747</v>
      </c>
      <c r="N240">
        <v>150</v>
      </c>
      <c r="O240">
        <v>150</v>
      </c>
      <c r="P240" t="s">
        <v>748</v>
      </c>
      <c r="Q240">
        <v>134976</v>
      </c>
      <c r="R240">
        <v>1</v>
      </c>
      <c r="S240" t="s">
        <v>40</v>
      </c>
      <c r="T240">
        <v>261</v>
      </c>
      <c r="W240"/>
      <c r="Y240" t="s">
        <v>377</v>
      </c>
      <c r="Z240" t="s">
        <v>378</v>
      </c>
      <c r="AA240" t="s">
        <v>379</v>
      </c>
      <c r="AB240" t="s">
        <v>749</v>
      </c>
      <c r="AC240" t="s">
        <v>41</v>
      </c>
      <c r="AD240" t="s">
        <v>41</v>
      </c>
      <c r="AE240" t="s">
        <v>41</v>
      </c>
      <c r="AF240" t="s">
        <v>41</v>
      </c>
      <c r="AG240" t="s">
        <v>41</v>
      </c>
      <c r="AH240" t="s">
        <v>41</v>
      </c>
      <c r="AK240"/>
    </row>
    <row r="241" spans="1:38" x14ac:dyDescent="0.25">
      <c r="A241" t="s">
        <v>47</v>
      </c>
      <c r="B241">
        <v>45919.068136574075</v>
      </c>
      <c r="C241">
        <v>91598</v>
      </c>
      <c r="D241" t="s">
        <v>745</v>
      </c>
      <c r="E241">
        <v>4495463</v>
      </c>
      <c r="F241">
        <v>2305829</v>
      </c>
      <c r="G241" t="s">
        <v>623</v>
      </c>
      <c r="H241" t="s">
        <v>618</v>
      </c>
      <c r="I241">
        <v>2.5</v>
      </c>
      <c r="J241" t="b">
        <v>1</v>
      </c>
      <c r="K241">
        <v>7.3529411764705885E-2</v>
      </c>
      <c r="L241">
        <v>2305870</v>
      </c>
      <c r="M241" t="s">
        <v>624</v>
      </c>
      <c r="N241">
        <v>34</v>
      </c>
      <c r="O241">
        <v>34</v>
      </c>
      <c r="P241"/>
      <c r="Q241">
        <v>134974</v>
      </c>
      <c r="R241">
        <v>1</v>
      </c>
      <c r="S241" t="s">
        <v>40</v>
      </c>
      <c r="T241">
        <v>261</v>
      </c>
      <c r="W241"/>
      <c r="Y241" t="s">
        <v>377</v>
      </c>
      <c r="Z241" t="s">
        <v>378</v>
      </c>
      <c r="AA241" t="s">
        <v>379</v>
      </c>
      <c r="AB241" t="s">
        <v>750</v>
      </c>
      <c r="AC241" t="s">
        <v>41</v>
      </c>
      <c r="AD241" t="s">
        <v>41</v>
      </c>
      <c r="AE241" t="s">
        <v>41</v>
      </c>
      <c r="AF241" t="s">
        <v>41</v>
      </c>
      <c r="AG241" t="s">
        <v>41</v>
      </c>
      <c r="AH241" t="s">
        <v>41</v>
      </c>
      <c r="AK241"/>
    </row>
    <row r="242" spans="1:38" x14ac:dyDescent="0.25">
      <c r="A242" t="s">
        <v>45</v>
      </c>
      <c r="B242">
        <v>45919.226122685184</v>
      </c>
      <c r="C242">
        <v>90984</v>
      </c>
      <c r="D242" t="s">
        <v>457</v>
      </c>
      <c r="E242">
        <v>4484184</v>
      </c>
      <c r="F242">
        <v>2105483</v>
      </c>
      <c r="G242" t="s">
        <v>751</v>
      </c>
      <c r="H242" t="s">
        <v>582</v>
      </c>
      <c r="I242">
        <v>1.5</v>
      </c>
      <c r="J242" t="b">
        <v>1</v>
      </c>
      <c r="K242">
        <v>0.01</v>
      </c>
      <c r="L242">
        <v>2106739</v>
      </c>
      <c r="M242" t="s">
        <v>747</v>
      </c>
      <c r="N242">
        <v>150</v>
      </c>
      <c r="O242">
        <v>150</v>
      </c>
      <c r="P242" t="s">
        <v>681</v>
      </c>
      <c r="Q242">
        <v>0</v>
      </c>
      <c r="R242">
        <v>0</v>
      </c>
      <c r="S242" t="s">
        <v>40</v>
      </c>
      <c r="T242">
        <v>261</v>
      </c>
      <c r="W242"/>
      <c r="Y242" t="s">
        <v>377</v>
      </c>
      <c r="Z242" t="s">
        <v>378</v>
      </c>
      <c r="AA242" t="s">
        <v>379</v>
      </c>
      <c r="AB242" t="s">
        <v>749</v>
      </c>
      <c r="AC242" t="s">
        <v>41</v>
      </c>
      <c r="AD242" t="s">
        <v>41</v>
      </c>
      <c r="AE242" t="s">
        <v>41</v>
      </c>
      <c r="AF242" t="s">
        <v>41</v>
      </c>
      <c r="AG242" t="s">
        <v>41</v>
      </c>
      <c r="AH242" t="s">
        <v>41</v>
      </c>
      <c r="AK242"/>
    </row>
    <row r="243" spans="1:38" x14ac:dyDescent="0.25">
      <c r="A243" t="s">
        <v>43</v>
      </c>
      <c r="B243">
        <v>45919.342847222222</v>
      </c>
      <c r="C243">
        <v>92157</v>
      </c>
      <c r="D243" t="s">
        <v>373</v>
      </c>
      <c r="E243">
        <v>4497019</v>
      </c>
      <c r="F243">
        <v>2104881</v>
      </c>
      <c r="G243" t="s">
        <v>600</v>
      </c>
      <c r="H243" t="s">
        <v>752</v>
      </c>
      <c r="I243">
        <v>5</v>
      </c>
      <c r="J243" t="b">
        <v>1</v>
      </c>
      <c r="K243">
        <v>1.25</v>
      </c>
      <c r="L243">
        <v>2106201</v>
      </c>
      <c r="M243" t="s">
        <v>602</v>
      </c>
      <c r="N243">
        <v>4</v>
      </c>
      <c r="O243">
        <v>4</v>
      </c>
      <c r="P243"/>
      <c r="Q243">
        <v>134905</v>
      </c>
      <c r="R243">
        <v>1</v>
      </c>
      <c r="S243" t="s">
        <v>40</v>
      </c>
      <c r="T243">
        <v>261</v>
      </c>
      <c r="U243">
        <v>147664</v>
      </c>
      <c r="V243">
        <v>24</v>
      </c>
      <c r="W243" t="s">
        <v>40</v>
      </c>
      <c r="X243">
        <v>261</v>
      </c>
      <c r="Y243" t="s">
        <v>377</v>
      </c>
      <c r="Z243" t="s">
        <v>378</v>
      </c>
      <c r="AA243" t="s">
        <v>379</v>
      </c>
      <c r="AB243" t="s">
        <v>384</v>
      </c>
      <c r="AC243" t="s">
        <v>41</v>
      </c>
      <c r="AD243" t="s">
        <v>41</v>
      </c>
      <c r="AE243" t="s">
        <v>41</v>
      </c>
      <c r="AF243" t="s">
        <v>41</v>
      </c>
      <c r="AG243" t="s">
        <v>41</v>
      </c>
      <c r="AH243" t="s">
        <v>41</v>
      </c>
      <c r="AK243"/>
    </row>
    <row r="244" spans="1:38" x14ac:dyDescent="0.25">
      <c r="A244" t="s">
        <v>43</v>
      </c>
      <c r="B244">
        <v>45919.343773148146</v>
      </c>
      <c r="C244">
        <v>92157</v>
      </c>
      <c r="D244" t="s">
        <v>373</v>
      </c>
      <c r="E244">
        <v>4497020</v>
      </c>
      <c r="F244">
        <v>2104881</v>
      </c>
      <c r="G244" t="s">
        <v>600</v>
      </c>
      <c r="H244" t="s">
        <v>752</v>
      </c>
      <c r="I244">
        <v>5</v>
      </c>
      <c r="J244" t="b">
        <v>1</v>
      </c>
      <c r="K244">
        <v>1</v>
      </c>
      <c r="L244">
        <v>2106201</v>
      </c>
      <c r="M244" t="s">
        <v>602</v>
      </c>
      <c r="N244">
        <v>5</v>
      </c>
      <c r="O244">
        <v>5</v>
      </c>
      <c r="P244"/>
      <c r="Q244">
        <v>134905</v>
      </c>
      <c r="R244">
        <v>1</v>
      </c>
      <c r="S244" t="s">
        <v>40</v>
      </c>
      <c r="T244">
        <v>261</v>
      </c>
      <c r="U244">
        <v>147664</v>
      </c>
      <c r="V244">
        <v>24</v>
      </c>
      <c r="W244" t="s">
        <v>40</v>
      </c>
      <c r="X244">
        <v>261</v>
      </c>
      <c r="Y244" t="s">
        <v>377</v>
      </c>
      <c r="Z244" t="s">
        <v>378</v>
      </c>
      <c r="AA244" t="s">
        <v>379</v>
      </c>
      <c r="AB244" t="s">
        <v>559</v>
      </c>
      <c r="AC244" t="s">
        <v>41</v>
      </c>
      <c r="AD244" t="s">
        <v>41</v>
      </c>
      <c r="AE244" t="s">
        <v>41</v>
      </c>
      <c r="AF244" t="s">
        <v>41</v>
      </c>
      <c r="AG244" t="s">
        <v>41</v>
      </c>
      <c r="AH244" t="s">
        <v>41</v>
      </c>
      <c r="AK244"/>
    </row>
    <row r="245" spans="1:38" x14ac:dyDescent="0.25">
      <c r="A245" t="s">
        <v>39</v>
      </c>
      <c r="B245">
        <v>45919.364305555559</v>
      </c>
      <c r="C245">
        <v>92253</v>
      </c>
      <c r="D245" t="s">
        <v>373</v>
      </c>
      <c r="E245">
        <v>4496941</v>
      </c>
      <c r="F245">
        <v>113699</v>
      </c>
      <c r="G245" t="s">
        <v>598</v>
      </c>
      <c r="H245" t="s">
        <v>626</v>
      </c>
      <c r="I245">
        <v>7.5</v>
      </c>
      <c r="J245" t="b">
        <v>1</v>
      </c>
      <c r="K245">
        <v>0.9375</v>
      </c>
      <c r="L245">
        <v>113700</v>
      </c>
      <c r="M245" t="s">
        <v>599</v>
      </c>
      <c r="N245">
        <v>8</v>
      </c>
      <c r="O245">
        <v>8</v>
      </c>
      <c r="P245"/>
      <c r="Q245">
        <v>134971</v>
      </c>
      <c r="R245">
        <v>1</v>
      </c>
      <c r="S245" t="s">
        <v>40</v>
      </c>
      <c r="T245">
        <v>261</v>
      </c>
      <c r="U245">
        <v>147664</v>
      </c>
      <c r="V245">
        <v>24</v>
      </c>
      <c r="W245" t="s">
        <v>40</v>
      </c>
      <c r="X245">
        <v>261</v>
      </c>
      <c r="Y245" t="s">
        <v>377</v>
      </c>
      <c r="Z245" t="s">
        <v>378</v>
      </c>
      <c r="AA245" t="s">
        <v>379</v>
      </c>
      <c r="AB245" t="s">
        <v>400</v>
      </c>
      <c r="AC245" t="s">
        <v>41</v>
      </c>
      <c r="AD245" t="s">
        <v>41</v>
      </c>
      <c r="AE245" t="s">
        <v>41</v>
      </c>
      <c r="AF245" t="s">
        <v>41</v>
      </c>
      <c r="AG245" t="s">
        <v>41</v>
      </c>
      <c r="AH245" t="s">
        <v>41</v>
      </c>
      <c r="AK245"/>
    </row>
    <row r="246" spans="1:38" x14ac:dyDescent="0.25">
      <c r="A246" t="s">
        <v>38</v>
      </c>
      <c r="B246">
        <v>45919.481550925928</v>
      </c>
      <c r="C246">
        <v>92334</v>
      </c>
      <c r="D246" t="s">
        <v>373</v>
      </c>
      <c r="E246">
        <v>4495266</v>
      </c>
      <c r="F246">
        <v>2304758</v>
      </c>
      <c r="G246" t="s">
        <v>402</v>
      </c>
      <c r="H246" t="s">
        <v>753</v>
      </c>
      <c r="I246">
        <v>14</v>
      </c>
      <c r="J246" t="b">
        <v>1</v>
      </c>
      <c r="K246">
        <v>1.75</v>
      </c>
      <c r="L246">
        <v>2304759</v>
      </c>
      <c r="M246" t="s">
        <v>404</v>
      </c>
      <c r="N246">
        <v>8</v>
      </c>
      <c r="O246">
        <v>6</v>
      </c>
      <c r="P246"/>
      <c r="Q246">
        <v>155687</v>
      </c>
      <c r="R246">
        <v>1</v>
      </c>
      <c r="S246" t="s">
        <v>40</v>
      </c>
      <c r="T246">
        <v>261</v>
      </c>
      <c r="U246">
        <v>147664</v>
      </c>
      <c r="V246">
        <v>48</v>
      </c>
      <c r="W246" t="s">
        <v>40</v>
      </c>
      <c r="X246">
        <v>261</v>
      </c>
      <c r="Y246" t="s">
        <v>377</v>
      </c>
      <c r="Z246" t="s">
        <v>378</v>
      </c>
      <c r="AA246" t="s">
        <v>384</v>
      </c>
      <c r="AB246" t="s">
        <v>384</v>
      </c>
      <c r="AC246" t="s">
        <v>41</v>
      </c>
      <c r="AD246" t="s">
        <v>41</v>
      </c>
      <c r="AE246" t="s">
        <v>41</v>
      </c>
      <c r="AF246" t="s">
        <v>41</v>
      </c>
      <c r="AG246" t="s">
        <v>41</v>
      </c>
      <c r="AH246" t="s">
        <v>41</v>
      </c>
      <c r="AI246">
        <v>155687</v>
      </c>
      <c r="AJ246">
        <v>1</v>
      </c>
      <c r="AK246" t="s">
        <v>40</v>
      </c>
      <c r="AL246">
        <v>261</v>
      </c>
    </row>
    <row r="247" spans="1:38" x14ac:dyDescent="0.25">
      <c r="A247" t="s">
        <v>48</v>
      </c>
      <c r="B247">
        <v>45919.560300925928</v>
      </c>
      <c r="C247">
        <v>90985</v>
      </c>
      <c r="D247" t="s">
        <v>373</v>
      </c>
      <c r="E247">
        <v>4492046</v>
      </c>
      <c r="F247">
        <v>2116534</v>
      </c>
      <c r="G247" t="s">
        <v>754</v>
      </c>
      <c r="H247" t="s">
        <v>582</v>
      </c>
      <c r="I247">
        <v>3</v>
      </c>
      <c r="J247" t="b">
        <v>1</v>
      </c>
      <c r="K247">
        <v>1.0273972602739725E-2</v>
      </c>
      <c r="L247">
        <v>2117686</v>
      </c>
      <c r="M247" t="s">
        <v>755</v>
      </c>
      <c r="N247">
        <v>292</v>
      </c>
      <c r="O247">
        <v>300</v>
      </c>
      <c r="P247"/>
      <c r="Q247">
        <v>134976</v>
      </c>
      <c r="R247">
        <v>1</v>
      </c>
      <c r="S247" t="s">
        <v>40</v>
      </c>
      <c r="T247">
        <v>261</v>
      </c>
      <c r="V247">
        <v>0</v>
      </c>
      <c r="W247"/>
      <c r="Y247" t="s">
        <v>377</v>
      </c>
      <c r="Z247" t="s">
        <v>378</v>
      </c>
      <c r="AA247" t="s">
        <v>379</v>
      </c>
      <c r="AB247" t="s">
        <v>756</v>
      </c>
      <c r="AC247" t="s">
        <v>379</v>
      </c>
      <c r="AD247" t="s">
        <v>757</v>
      </c>
      <c r="AE247" t="s">
        <v>41</v>
      </c>
      <c r="AF247" t="s">
        <v>41</v>
      </c>
      <c r="AG247" t="s">
        <v>41</v>
      </c>
      <c r="AH247" t="s">
        <v>41</v>
      </c>
      <c r="AI247">
        <v>134975</v>
      </c>
      <c r="AJ247">
        <v>1</v>
      </c>
      <c r="AK247" t="s">
        <v>40</v>
      </c>
      <c r="AL247">
        <v>261</v>
      </c>
    </row>
    <row r="248" spans="1:38" x14ac:dyDescent="0.25">
      <c r="A248" t="s">
        <v>44</v>
      </c>
      <c r="B248">
        <v>45919.573159722226</v>
      </c>
      <c r="C248">
        <v>92295</v>
      </c>
      <c r="D248" t="s">
        <v>373</v>
      </c>
      <c r="E248">
        <v>4497324</v>
      </c>
      <c r="F248">
        <v>156292</v>
      </c>
      <c r="G248" t="s">
        <v>46</v>
      </c>
      <c r="H248" t="s">
        <v>758</v>
      </c>
      <c r="I248">
        <v>7</v>
      </c>
      <c r="J248" t="b">
        <v>1</v>
      </c>
      <c r="K248">
        <v>1.75</v>
      </c>
      <c r="L248">
        <v>156291</v>
      </c>
      <c r="M248" t="s">
        <v>433</v>
      </c>
      <c r="N248">
        <v>4</v>
      </c>
      <c r="O248">
        <v>4</v>
      </c>
      <c r="P248"/>
      <c r="Q248">
        <v>134905</v>
      </c>
      <c r="R248">
        <v>1</v>
      </c>
      <c r="S248" t="s">
        <v>40</v>
      </c>
      <c r="T248">
        <v>261</v>
      </c>
      <c r="U248">
        <v>147664</v>
      </c>
      <c r="V248">
        <v>24</v>
      </c>
      <c r="W248" t="s">
        <v>40</v>
      </c>
      <c r="X248">
        <v>261</v>
      </c>
      <c r="Y248" t="s">
        <v>377</v>
      </c>
      <c r="Z248" t="s">
        <v>378</v>
      </c>
      <c r="AA248" t="s">
        <v>379</v>
      </c>
      <c r="AB248" t="s">
        <v>384</v>
      </c>
      <c r="AC248" t="s">
        <v>41</v>
      </c>
      <c r="AD248" t="s">
        <v>41</v>
      </c>
      <c r="AE248" t="s">
        <v>41</v>
      </c>
      <c r="AF248" t="s">
        <v>41</v>
      </c>
      <c r="AG248" t="s">
        <v>41</v>
      </c>
      <c r="AH248" t="s">
        <v>41</v>
      </c>
      <c r="AK248"/>
    </row>
    <row r="249" spans="1:38" x14ac:dyDescent="0.25">
      <c r="A249" t="s">
        <v>44</v>
      </c>
      <c r="B249">
        <v>45919.573796296296</v>
      </c>
      <c r="C249">
        <v>92295</v>
      </c>
      <c r="D249" t="s">
        <v>373</v>
      </c>
      <c r="E249">
        <v>4497325</v>
      </c>
      <c r="F249">
        <v>156292</v>
      </c>
      <c r="G249" t="s">
        <v>46</v>
      </c>
      <c r="H249" t="s">
        <v>758</v>
      </c>
      <c r="I249">
        <v>7</v>
      </c>
      <c r="J249" t="b">
        <v>1</v>
      </c>
      <c r="K249">
        <v>1.75</v>
      </c>
      <c r="L249">
        <v>156291</v>
      </c>
      <c r="M249" t="s">
        <v>433</v>
      </c>
      <c r="N249">
        <v>4</v>
      </c>
      <c r="O249">
        <v>4</v>
      </c>
      <c r="P249"/>
      <c r="Q249">
        <v>134905</v>
      </c>
      <c r="R249">
        <v>1</v>
      </c>
      <c r="S249" t="s">
        <v>40</v>
      </c>
      <c r="T249">
        <v>261</v>
      </c>
      <c r="U249">
        <v>147664</v>
      </c>
      <c r="V249">
        <v>24</v>
      </c>
      <c r="W249" t="s">
        <v>40</v>
      </c>
      <c r="X249">
        <v>261</v>
      </c>
      <c r="Y249" t="s">
        <v>377</v>
      </c>
      <c r="Z249" t="s">
        <v>378</v>
      </c>
      <c r="AA249" t="s">
        <v>379</v>
      </c>
      <c r="AB249" t="s">
        <v>384</v>
      </c>
      <c r="AC249" t="s">
        <v>41</v>
      </c>
      <c r="AD249" t="s">
        <v>41</v>
      </c>
      <c r="AE249" t="s">
        <v>41</v>
      </c>
      <c r="AF249" t="s">
        <v>41</v>
      </c>
      <c r="AG249" t="s">
        <v>41</v>
      </c>
      <c r="AH249" t="s">
        <v>41</v>
      </c>
      <c r="AK249"/>
    </row>
    <row r="250" spans="1:38" x14ac:dyDescent="0.25">
      <c r="A250" t="s">
        <v>37</v>
      </c>
      <c r="B250">
        <v>45919.716886574075</v>
      </c>
      <c r="C250">
        <v>91597</v>
      </c>
      <c r="D250" t="s">
        <v>373</v>
      </c>
      <c r="E250">
        <v>4492959</v>
      </c>
      <c r="F250">
        <v>141267</v>
      </c>
      <c r="G250" t="s">
        <v>759</v>
      </c>
      <c r="H250" t="s">
        <v>663</v>
      </c>
      <c r="I250">
        <v>10</v>
      </c>
      <c r="J250" t="b">
        <v>1</v>
      </c>
      <c r="K250">
        <v>4.0816326530612242E-2</v>
      </c>
      <c r="L250">
        <v>141268</v>
      </c>
      <c r="M250" t="s">
        <v>760</v>
      </c>
      <c r="N250">
        <v>245</v>
      </c>
      <c r="O250">
        <v>245</v>
      </c>
      <c r="P250"/>
      <c r="Q250">
        <v>134975</v>
      </c>
      <c r="R250">
        <v>1</v>
      </c>
      <c r="S250" t="s">
        <v>40</v>
      </c>
      <c r="T250">
        <v>261</v>
      </c>
      <c r="V250">
        <v>0</v>
      </c>
      <c r="W250"/>
      <c r="Y250" t="s">
        <v>377</v>
      </c>
      <c r="Z250" t="s">
        <v>378</v>
      </c>
      <c r="AA250" t="s">
        <v>379</v>
      </c>
      <c r="AB250" t="s">
        <v>761</v>
      </c>
      <c r="AC250" t="s">
        <v>379</v>
      </c>
      <c r="AD250" t="s">
        <v>762</v>
      </c>
      <c r="AE250" t="s">
        <v>41</v>
      </c>
      <c r="AF250" t="s">
        <v>41</v>
      </c>
      <c r="AG250" t="s">
        <v>41</v>
      </c>
      <c r="AH250" t="s">
        <v>41</v>
      </c>
      <c r="AI250">
        <v>134975</v>
      </c>
      <c r="AJ250">
        <v>1</v>
      </c>
      <c r="AK250" t="s">
        <v>40</v>
      </c>
      <c r="AL250">
        <v>261</v>
      </c>
    </row>
    <row r="251" spans="1:38" x14ac:dyDescent="0.25">
      <c r="A251" t="s">
        <v>42</v>
      </c>
      <c r="B251">
        <v>45920.055474537039</v>
      </c>
      <c r="C251">
        <v>92254</v>
      </c>
      <c r="D251" t="s">
        <v>531</v>
      </c>
      <c r="E251">
        <v>4493645</v>
      </c>
      <c r="F251">
        <v>2123979</v>
      </c>
      <c r="G251" t="s">
        <v>425</v>
      </c>
      <c r="H251" t="s">
        <v>578</v>
      </c>
      <c r="I251">
        <v>7.5</v>
      </c>
      <c r="J251" t="b">
        <v>1</v>
      </c>
      <c r="K251">
        <v>1.875</v>
      </c>
      <c r="L251">
        <v>120995</v>
      </c>
      <c r="M251" t="s">
        <v>427</v>
      </c>
      <c r="N251">
        <v>4</v>
      </c>
      <c r="O251">
        <v>8</v>
      </c>
      <c r="P251"/>
      <c r="Q251">
        <v>134907</v>
      </c>
      <c r="R251">
        <v>1</v>
      </c>
      <c r="S251" t="s">
        <v>40</v>
      </c>
      <c r="T251">
        <v>261</v>
      </c>
      <c r="U251">
        <v>147664</v>
      </c>
      <c r="V251">
        <v>24</v>
      </c>
      <c r="W251" t="s">
        <v>40</v>
      </c>
      <c r="X251">
        <v>261</v>
      </c>
      <c r="Y251" t="s">
        <v>377</v>
      </c>
      <c r="Z251" t="s">
        <v>378</v>
      </c>
      <c r="AA251" t="s">
        <v>379</v>
      </c>
      <c r="AB251" t="s">
        <v>384</v>
      </c>
      <c r="AC251" t="s">
        <v>41</v>
      </c>
      <c r="AD251" t="s">
        <v>41</v>
      </c>
      <c r="AE251" t="s">
        <v>41</v>
      </c>
      <c r="AF251" t="s">
        <v>41</v>
      </c>
      <c r="AG251" t="s">
        <v>41</v>
      </c>
      <c r="AH251" t="s">
        <v>41</v>
      </c>
      <c r="AK251"/>
    </row>
    <row r="252" spans="1:38" x14ac:dyDescent="0.25">
      <c r="A252" t="s">
        <v>42</v>
      </c>
      <c r="B252">
        <v>45920.057430555556</v>
      </c>
      <c r="C252">
        <v>92254</v>
      </c>
      <c r="D252" t="s">
        <v>531</v>
      </c>
      <c r="E252">
        <v>4493644</v>
      </c>
      <c r="F252">
        <v>2123979</v>
      </c>
      <c r="G252" t="s">
        <v>425</v>
      </c>
      <c r="H252" t="s">
        <v>578</v>
      </c>
      <c r="I252">
        <v>7.5</v>
      </c>
      <c r="J252" t="b">
        <v>1</v>
      </c>
      <c r="K252">
        <v>1.875</v>
      </c>
      <c r="L252">
        <v>120995</v>
      </c>
      <c r="M252" t="s">
        <v>427</v>
      </c>
      <c r="N252">
        <v>4</v>
      </c>
      <c r="O252">
        <v>4</v>
      </c>
      <c r="P252"/>
      <c r="Q252">
        <v>134907</v>
      </c>
      <c r="R252">
        <v>1</v>
      </c>
      <c r="S252" t="s">
        <v>40</v>
      </c>
      <c r="T252">
        <v>261</v>
      </c>
      <c r="U252">
        <v>147664</v>
      </c>
      <c r="V252">
        <v>24</v>
      </c>
      <c r="W252" t="s">
        <v>40</v>
      </c>
      <c r="X252">
        <v>261</v>
      </c>
      <c r="Y252" t="s">
        <v>377</v>
      </c>
      <c r="Z252" t="s">
        <v>378</v>
      </c>
      <c r="AA252" t="s">
        <v>379</v>
      </c>
      <c r="AB252" t="s">
        <v>384</v>
      </c>
      <c r="AC252" t="s">
        <v>41</v>
      </c>
      <c r="AD252" t="s">
        <v>41</v>
      </c>
      <c r="AE252" t="s">
        <v>41</v>
      </c>
      <c r="AF252" t="s">
        <v>41</v>
      </c>
      <c r="AG252" t="s">
        <v>41</v>
      </c>
      <c r="AH252" t="s">
        <v>41</v>
      </c>
      <c r="AK252"/>
    </row>
    <row r="253" spans="1:38" x14ac:dyDescent="0.25">
      <c r="A253" t="s">
        <v>42</v>
      </c>
      <c r="B253">
        <v>45920.060636574075</v>
      </c>
      <c r="C253">
        <v>92254</v>
      </c>
      <c r="D253" t="s">
        <v>531</v>
      </c>
      <c r="E253">
        <v>4493645</v>
      </c>
      <c r="F253">
        <v>2123979</v>
      </c>
      <c r="G253" t="s">
        <v>425</v>
      </c>
      <c r="H253" t="s">
        <v>578</v>
      </c>
      <c r="I253">
        <v>7.5</v>
      </c>
      <c r="J253" t="b">
        <v>1</v>
      </c>
      <c r="K253">
        <v>0.9375</v>
      </c>
      <c r="L253">
        <v>120995</v>
      </c>
      <c r="M253" t="s">
        <v>427</v>
      </c>
      <c r="N253">
        <v>8</v>
      </c>
      <c r="O253">
        <v>8</v>
      </c>
      <c r="P253"/>
      <c r="Q253">
        <v>134907</v>
      </c>
      <c r="R253">
        <v>1</v>
      </c>
      <c r="S253" t="s">
        <v>40</v>
      </c>
      <c r="T253">
        <v>261</v>
      </c>
      <c r="U253">
        <v>147664</v>
      </c>
      <c r="V253">
        <v>24</v>
      </c>
      <c r="W253" t="s">
        <v>40</v>
      </c>
      <c r="X253">
        <v>261</v>
      </c>
      <c r="Y253" t="s">
        <v>377</v>
      </c>
      <c r="Z253" t="s">
        <v>378</v>
      </c>
      <c r="AA253" t="s">
        <v>379</v>
      </c>
      <c r="AB253" t="s">
        <v>400</v>
      </c>
      <c r="AC253" t="s">
        <v>41</v>
      </c>
      <c r="AD253" t="s">
        <v>41</v>
      </c>
      <c r="AE253" t="s">
        <v>41</v>
      </c>
      <c r="AF253" t="s">
        <v>41</v>
      </c>
      <c r="AG253" t="s">
        <v>41</v>
      </c>
      <c r="AH253" t="s">
        <v>41</v>
      </c>
      <c r="AK253"/>
    </row>
    <row r="254" spans="1:38" x14ac:dyDescent="0.25">
      <c r="A254" t="s">
        <v>39</v>
      </c>
      <c r="B254">
        <v>45920.063946759263</v>
      </c>
      <c r="C254">
        <v>91599</v>
      </c>
      <c r="D254" t="s">
        <v>531</v>
      </c>
      <c r="E254">
        <v>4492959</v>
      </c>
      <c r="F254">
        <v>141267</v>
      </c>
      <c r="G254" t="s">
        <v>759</v>
      </c>
      <c r="H254" t="s">
        <v>663</v>
      </c>
      <c r="I254">
        <v>10</v>
      </c>
      <c r="J254" t="b">
        <v>1</v>
      </c>
      <c r="K254">
        <v>5.5555555555555552E-2</v>
      </c>
      <c r="L254">
        <v>141268</v>
      </c>
      <c r="M254" t="s">
        <v>760</v>
      </c>
      <c r="N254">
        <v>180</v>
      </c>
      <c r="O254">
        <v>167</v>
      </c>
      <c r="P254"/>
      <c r="Q254">
        <v>134974</v>
      </c>
      <c r="R254">
        <v>1</v>
      </c>
      <c r="S254" t="s">
        <v>40</v>
      </c>
      <c r="T254">
        <v>261</v>
      </c>
      <c r="V254">
        <v>0</v>
      </c>
      <c r="W254"/>
      <c r="Y254" t="s">
        <v>377</v>
      </c>
      <c r="Z254" t="s">
        <v>378</v>
      </c>
      <c r="AA254" t="s">
        <v>379</v>
      </c>
      <c r="AB254" t="s">
        <v>763</v>
      </c>
      <c r="AC254" t="s">
        <v>379</v>
      </c>
      <c r="AD254" t="s">
        <v>764</v>
      </c>
      <c r="AE254" t="s">
        <v>41</v>
      </c>
      <c r="AF254" t="s">
        <v>41</v>
      </c>
      <c r="AG254" t="s">
        <v>41</v>
      </c>
      <c r="AH254" t="s">
        <v>41</v>
      </c>
      <c r="AI254">
        <v>134974</v>
      </c>
      <c r="AJ254">
        <v>1</v>
      </c>
      <c r="AK254" t="s">
        <v>40</v>
      </c>
      <c r="AL254">
        <v>261</v>
      </c>
    </row>
    <row r="255" spans="1:38" x14ac:dyDescent="0.25">
      <c r="A255" t="s">
        <v>39</v>
      </c>
      <c r="B255">
        <v>45920.089375000003</v>
      </c>
      <c r="C255">
        <v>91599</v>
      </c>
      <c r="D255" t="s">
        <v>531</v>
      </c>
      <c r="E255">
        <v>4492959</v>
      </c>
      <c r="F255">
        <v>141267</v>
      </c>
      <c r="G255" t="s">
        <v>759</v>
      </c>
      <c r="H255" t="s">
        <v>663</v>
      </c>
      <c r="I255">
        <v>10</v>
      </c>
      <c r="J255" t="b">
        <v>0</v>
      </c>
      <c r="K255">
        <v>5.5555555555555552E-2</v>
      </c>
      <c r="L255">
        <v>141268</v>
      </c>
      <c r="M255" t="s">
        <v>760</v>
      </c>
      <c r="N255">
        <v>180</v>
      </c>
      <c r="O255">
        <v>167</v>
      </c>
      <c r="P255"/>
      <c r="Q255">
        <v>134974</v>
      </c>
      <c r="R255">
        <v>2</v>
      </c>
      <c r="S255" t="s">
        <v>40</v>
      </c>
      <c r="T255">
        <v>261</v>
      </c>
      <c r="W255"/>
      <c r="Y255" t="s">
        <v>377</v>
      </c>
      <c r="Z255" t="s">
        <v>378</v>
      </c>
      <c r="AA255" t="s">
        <v>379</v>
      </c>
      <c r="AB255" t="s">
        <v>763</v>
      </c>
      <c r="AC255" t="s">
        <v>379</v>
      </c>
      <c r="AD255" t="s">
        <v>764</v>
      </c>
      <c r="AE255" t="s">
        <v>41</v>
      </c>
      <c r="AF255" t="s">
        <v>41</v>
      </c>
      <c r="AG255" t="s">
        <v>41</v>
      </c>
      <c r="AH255" t="s">
        <v>41</v>
      </c>
      <c r="AK255"/>
    </row>
    <row r="256" spans="1:38" x14ac:dyDescent="0.25">
      <c r="A256" t="s">
        <v>43</v>
      </c>
      <c r="B256">
        <v>45920.105833333335</v>
      </c>
      <c r="C256">
        <v>92158</v>
      </c>
      <c r="D256" t="s">
        <v>531</v>
      </c>
      <c r="E256">
        <v>4497062</v>
      </c>
      <c r="F256">
        <v>2104881</v>
      </c>
      <c r="G256" t="s">
        <v>600</v>
      </c>
      <c r="H256" t="s">
        <v>765</v>
      </c>
      <c r="I256">
        <v>10</v>
      </c>
      <c r="J256" t="b">
        <v>1</v>
      </c>
      <c r="K256">
        <v>2</v>
      </c>
      <c r="L256">
        <v>2106201</v>
      </c>
      <c r="M256" t="s">
        <v>602</v>
      </c>
      <c r="N256">
        <v>5</v>
      </c>
      <c r="O256">
        <v>9</v>
      </c>
      <c r="P256"/>
      <c r="Q256">
        <v>2301936</v>
      </c>
      <c r="R256">
        <v>1</v>
      </c>
      <c r="S256" t="s">
        <v>40</v>
      </c>
      <c r="T256">
        <v>261</v>
      </c>
      <c r="U256">
        <v>147664</v>
      </c>
      <c r="V256">
        <v>24</v>
      </c>
      <c r="W256" t="s">
        <v>40</v>
      </c>
      <c r="X256">
        <v>261</v>
      </c>
      <c r="Y256" t="s">
        <v>377</v>
      </c>
      <c r="Z256" t="s">
        <v>378</v>
      </c>
      <c r="AA256" t="s">
        <v>379</v>
      </c>
      <c r="AB256" t="s">
        <v>559</v>
      </c>
      <c r="AC256" t="s">
        <v>41</v>
      </c>
      <c r="AD256" t="s">
        <v>41</v>
      </c>
      <c r="AE256" t="s">
        <v>41</v>
      </c>
      <c r="AF256" t="s">
        <v>41</v>
      </c>
      <c r="AG256" t="s">
        <v>41</v>
      </c>
      <c r="AH256" t="s">
        <v>41</v>
      </c>
      <c r="AK256"/>
    </row>
    <row r="257" spans="1:38" x14ac:dyDescent="0.25">
      <c r="A257" t="s">
        <v>43</v>
      </c>
      <c r="B257">
        <v>45920.107997685183</v>
      </c>
      <c r="C257">
        <v>92158</v>
      </c>
      <c r="D257" t="s">
        <v>531</v>
      </c>
      <c r="E257">
        <v>4497061</v>
      </c>
      <c r="F257">
        <v>2104881</v>
      </c>
      <c r="G257" t="s">
        <v>600</v>
      </c>
      <c r="H257" t="s">
        <v>765</v>
      </c>
      <c r="I257">
        <v>10</v>
      </c>
      <c r="J257" t="b">
        <v>1</v>
      </c>
      <c r="K257">
        <v>2.5</v>
      </c>
      <c r="L257">
        <v>2106201</v>
      </c>
      <c r="M257" t="s">
        <v>602</v>
      </c>
      <c r="N257">
        <v>4</v>
      </c>
      <c r="O257">
        <v>4</v>
      </c>
      <c r="P257"/>
      <c r="Q257">
        <v>2301936</v>
      </c>
      <c r="R257">
        <v>1</v>
      </c>
      <c r="S257" t="s">
        <v>40</v>
      </c>
      <c r="T257">
        <v>261</v>
      </c>
      <c r="U257">
        <v>147664</v>
      </c>
      <c r="V257">
        <v>24</v>
      </c>
      <c r="W257" t="s">
        <v>40</v>
      </c>
      <c r="X257">
        <v>261</v>
      </c>
      <c r="Y257" t="s">
        <v>377</v>
      </c>
      <c r="Z257" t="s">
        <v>378</v>
      </c>
      <c r="AA257" t="s">
        <v>379</v>
      </c>
      <c r="AB257" t="s">
        <v>384</v>
      </c>
      <c r="AC257" t="s">
        <v>41</v>
      </c>
      <c r="AD257" t="s">
        <v>41</v>
      </c>
      <c r="AE257" t="s">
        <v>41</v>
      </c>
      <c r="AF257" t="s">
        <v>41</v>
      </c>
      <c r="AG257" t="s">
        <v>41</v>
      </c>
      <c r="AH257" t="s">
        <v>41</v>
      </c>
      <c r="AK257"/>
    </row>
    <row r="258" spans="1:38" x14ac:dyDescent="0.25">
      <c r="A258" t="s">
        <v>38</v>
      </c>
      <c r="B258">
        <v>45920.304097222222</v>
      </c>
      <c r="C258">
        <v>92335</v>
      </c>
      <c r="D258" t="s">
        <v>373</v>
      </c>
      <c r="E258">
        <v>4495267</v>
      </c>
      <c r="F258">
        <v>2304758</v>
      </c>
      <c r="G258" t="s">
        <v>402</v>
      </c>
      <c r="H258" t="s">
        <v>766</v>
      </c>
      <c r="I258">
        <v>14</v>
      </c>
      <c r="J258" t="b">
        <v>1</v>
      </c>
      <c r="K258">
        <v>1.75</v>
      </c>
      <c r="L258">
        <v>2304759</v>
      </c>
      <c r="M258" t="s">
        <v>404</v>
      </c>
      <c r="N258">
        <v>8</v>
      </c>
      <c r="O258">
        <v>8</v>
      </c>
      <c r="P258"/>
      <c r="Q258">
        <v>155687</v>
      </c>
      <c r="R258">
        <v>1</v>
      </c>
      <c r="S258" t="s">
        <v>40</v>
      </c>
      <c r="T258">
        <v>261</v>
      </c>
      <c r="U258">
        <v>147664</v>
      </c>
      <c r="V258">
        <v>48</v>
      </c>
      <c r="W258" t="s">
        <v>40</v>
      </c>
      <c r="X258">
        <v>261</v>
      </c>
      <c r="Y258" t="s">
        <v>377</v>
      </c>
      <c r="Z258" t="s">
        <v>378</v>
      </c>
      <c r="AA258" t="s">
        <v>384</v>
      </c>
      <c r="AB258" t="s">
        <v>384</v>
      </c>
      <c r="AC258" t="s">
        <v>41</v>
      </c>
      <c r="AD258" t="s">
        <v>41</v>
      </c>
      <c r="AE258" t="s">
        <v>41</v>
      </c>
      <c r="AF258" t="s">
        <v>41</v>
      </c>
      <c r="AG258" t="s">
        <v>41</v>
      </c>
      <c r="AH258" t="s">
        <v>41</v>
      </c>
      <c r="AI258">
        <v>155687</v>
      </c>
      <c r="AJ258">
        <v>1</v>
      </c>
      <c r="AK258" t="s">
        <v>40</v>
      </c>
      <c r="AL258">
        <v>261</v>
      </c>
    </row>
    <row r="259" spans="1:38" x14ac:dyDescent="0.25">
      <c r="A259" t="s">
        <v>47</v>
      </c>
      <c r="B259">
        <v>45920.366469907407</v>
      </c>
      <c r="C259">
        <v>90986</v>
      </c>
      <c r="D259" t="s">
        <v>373</v>
      </c>
      <c r="E259">
        <v>4492047</v>
      </c>
      <c r="F259">
        <v>2116534</v>
      </c>
      <c r="G259" t="s">
        <v>754</v>
      </c>
      <c r="H259" t="s">
        <v>618</v>
      </c>
      <c r="I259">
        <v>1.5</v>
      </c>
      <c r="J259" t="b">
        <v>1</v>
      </c>
      <c r="K259">
        <v>5.905511811023622E-3</v>
      </c>
      <c r="L259">
        <v>2117686</v>
      </c>
      <c r="M259" t="s">
        <v>755</v>
      </c>
      <c r="N259">
        <v>254</v>
      </c>
      <c r="O259">
        <v>256</v>
      </c>
      <c r="P259"/>
      <c r="Q259">
        <v>134975</v>
      </c>
      <c r="R259">
        <v>1</v>
      </c>
      <c r="S259" t="s">
        <v>40</v>
      </c>
      <c r="T259">
        <v>261</v>
      </c>
      <c r="W259"/>
      <c r="Y259" t="s">
        <v>377</v>
      </c>
      <c r="Z259" t="s">
        <v>378</v>
      </c>
      <c r="AA259" t="s">
        <v>379</v>
      </c>
      <c r="AB259" t="s">
        <v>767</v>
      </c>
      <c r="AC259" t="s">
        <v>41</v>
      </c>
      <c r="AD259" t="s">
        <v>41</v>
      </c>
      <c r="AE259" t="s">
        <v>41</v>
      </c>
      <c r="AF259" t="s">
        <v>41</v>
      </c>
      <c r="AG259" t="s">
        <v>41</v>
      </c>
      <c r="AH259" t="s">
        <v>41</v>
      </c>
      <c r="AK259"/>
    </row>
    <row r="260" spans="1:38" x14ac:dyDescent="0.25">
      <c r="A260" t="s">
        <v>37</v>
      </c>
      <c r="B260">
        <v>45920.465914351851</v>
      </c>
      <c r="C260">
        <v>91601</v>
      </c>
      <c r="D260" t="s">
        <v>373</v>
      </c>
      <c r="E260">
        <v>4492960</v>
      </c>
      <c r="F260">
        <v>141267</v>
      </c>
      <c r="G260" t="s">
        <v>759</v>
      </c>
      <c r="H260" t="s">
        <v>742</v>
      </c>
      <c r="I260">
        <v>10</v>
      </c>
      <c r="J260" t="b">
        <v>1</v>
      </c>
      <c r="K260">
        <v>4.5662100456621002E-2</v>
      </c>
      <c r="L260">
        <v>141268</v>
      </c>
      <c r="M260" t="s">
        <v>760</v>
      </c>
      <c r="N260">
        <v>219</v>
      </c>
      <c r="O260">
        <v>219</v>
      </c>
      <c r="P260"/>
      <c r="Q260">
        <v>134975</v>
      </c>
      <c r="R260">
        <v>1</v>
      </c>
      <c r="S260" t="s">
        <v>40</v>
      </c>
      <c r="T260">
        <v>261</v>
      </c>
      <c r="V260">
        <v>0</v>
      </c>
      <c r="W260"/>
      <c r="Y260" t="s">
        <v>377</v>
      </c>
      <c r="Z260" t="s">
        <v>378</v>
      </c>
      <c r="AA260" t="s">
        <v>379</v>
      </c>
      <c r="AB260" t="s">
        <v>516</v>
      </c>
      <c r="AC260" t="s">
        <v>379</v>
      </c>
      <c r="AD260" t="s">
        <v>768</v>
      </c>
      <c r="AE260" t="s">
        <v>41</v>
      </c>
      <c r="AF260" t="s">
        <v>41</v>
      </c>
      <c r="AG260" t="s">
        <v>41</v>
      </c>
      <c r="AH260" t="s">
        <v>41</v>
      </c>
      <c r="AI260">
        <v>134975</v>
      </c>
      <c r="AJ260">
        <v>1</v>
      </c>
      <c r="AK260" t="s">
        <v>40</v>
      </c>
      <c r="AL260">
        <v>261</v>
      </c>
    </row>
    <row r="261" spans="1:38" x14ac:dyDescent="0.25">
      <c r="A261" t="s">
        <v>39</v>
      </c>
      <c r="B261">
        <v>45920.631990740738</v>
      </c>
      <c r="C261">
        <v>92255</v>
      </c>
      <c r="D261" t="s">
        <v>373</v>
      </c>
      <c r="E261">
        <v>4493646</v>
      </c>
      <c r="F261">
        <v>2123979</v>
      </c>
      <c r="G261" t="s">
        <v>425</v>
      </c>
      <c r="H261" t="s">
        <v>522</v>
      </c>
      <c r="I261">
        <v>7.5</v>
      </c>
      <c r="J261" t="b">
        <v>1</v>
      </c>
      <c r="K261">
        <v>1.875</v>
      </c>
      <c r="L261">
        <v>120995</v>
      </c>
      <c r="M261" t="s">
        <v>427</v>
      </c>
      <c r="N261">
        <v>4</v>
      </c>
      <c r="O261">
        <v>4</v>
      </c>
      <c r="P261"/>
      <c r="Q261">
        <v>134971</v>
      </c>
      <c r="R261">
        <v>1</v>
      </c>
      <c r="S261" t="s">
        <v>40</v>
      </c>
      <c r="T261">
        <v>261</v>
      </c>
      <c r="U261">
        <v>147664</v>
      </c>
      <c r="V261">
        <v>24</v>
      </c>
      <c r="W261" t="s">
        <v>40</v>
      </c>
      <c r="X261">
        <v>261</v>
      </c>
      <c r="Y261" t="s">
        <v>377</v>
      </c>
      <c r="Z261" t="s">
        <v>378</v>
      </c>
      <c r="AA261" t="s">
        <v>379</v>
      </c>
      <c r="AB261" t="s">
        <v>384</v>
      </c>
      <c r="AC261" t="s">
        <v>41</v>
      </c>
      <c r="AD261" t="s">
        <v>41</v>
      </c>
      <c r="AE261" t="s">
        <v>41</v>
      </c>
      <c r="AF261" t="s">
        <v>41</v>
      </c>
      <c r="AG261" t="s">
        <v>41</v>
      </c>
      <c r="AH261" t="s">
        <v>41</v>
      </c>
      <c r="AK261"/>
    </row>
    <row r="262" spans="1:38" x14ac:dyDescent="0.25">
      <c r="A262" t="s">
        <v>39</v>
      </c>
      <c r="B262">
        <v>45920.632881944446</v>
      </c>
      <c r="C262">
        <v>92255</v>
      </c>
      <c r="D262" t="s">
        <v>373</v>
      </c>
      <c r="E262">
        <v>4493647</v>
      </c>
      <c r="F262">
        <v>2123979</v>
      </c>
      <c r="G262" t="s">
        <v>425</v>
      </c>
      <c r="H262" t="s">
        <v>522</v>
      </c>
      <c r="I262">
        <v>7.5</v>
      </c>
      <c r="J262" t="b">
        <v>1</v>
      </c>
      <c r="K262">
        <v>0.9375</v>
      </c>
      <c r="L262">
        <v>120995</v>
      </c>
      <c r="M262" t="s">
        <v>427</v>
      </c>
      <c r="N262">
        <v>8</v>
      </c>
      <c r="O262">
        <v>8</v>
      </c>
      <c r="P262"/>
      <c r="Q262">
        <v>134907</v>
      </c>
      <c r="R262">
        <v>1</v>
      </c>
      <c r="S262" t="s">
        <v>40</v>
      </c>
      <c r="T262">
        <v>261</v>
      </c>
      <c r="U262">
        <v>147664</v>
      </c>
      <c r="V262">
        <v>24</v>
      </c>
      <c r="W262" t="s">
        <v>40</v>
      </c>
      <c r="X262">
        <v>261</v>
      </c>
      <c r="Y262" t="s">
        <v>377</v>
      </c>
      <c r="Z262" t="s">
        <v>378</v>
      </c>
      <c r="AA262" t="s">
        <v>379</v>
      </c>
      <c r="AB262" t="s">
        <v>400</v>
      </c>
      <c r="AC262" t="s">
        <v>41</v>
      </c>
      <c r="AD262" t="s">
        <v>41</v>
      </c>
      <c r="AE262" t="s">
        <v>41</v>
      </c>
      <c r="AF262" t="s">
        <v>41</v>
      </c>
      <c r="AG262" t="s">
        <v>41</v>
      </c>
      <c r="AH262" t="s">
        <v>41</v>
      </c>
      <c r="AK262"/>
    </row>
    <row r="263" spans="1:38" x14ac:dyDescent="0.25">
      <c r="A263" t="s">
        <v>44</v>
      </c>
      <c r="B263">
        <v>45920.969074074077</v>
      </c>
      <c r="C263">
        <v>92294</v>
      </c>
      <c r="D263" t="s">
        <v>590</v>
      </c>
      <c r="E263">
        <v>4496544</v>
      </c>
      <c r="F263">
        <v>2301366</v>
      </c>
      <c r="G263" t="s">
        <v>397</v>
      </c>
      <c r="H263" t="s">
        <v>740</v>
      </c>
      <c r="I263">
        <v>14</v>
      </c>
      <c r="J263" t="b">
        <v>1</v>
      </c>
      <c r="K263">
        <v>1.75</v>
      </c>
      <c r="L263">
        <v>2301367</v>
      </c>
      <c r="M263" t="s">
        <v>399</v>
      </c>
      <c r="N263">
        <v>8</v>
      </c>
      <c r="O263">
        <v>8</v>
      </c>
      <c r="P263"/>
      <c r="Q263">
        <v>155687</v>
      </c>
      <c r="R263">
        <v>2</v>
      </c>
      <c r="S263" t="s">
        <v>40</v>
      </c>
      <c r="T263">
        <v>261</v>
      </c>
      <c r="U263">
        <v>147664</v>
      </c>
      <c r="V263">
        <v>48</v>
      </c>
      <c r="W263" t="s">
        <v>40</v>
      </c>
      <c r="X263">
        <v>261</v>
      </c>
      <c r="Y263" t="s">
        <v>377</v>
      </c>
      <c r="Z263" t="s">
        <v>378</v>
      </c>
      <c r="AA263" t="s">
        <v>384</v>
      </c>
      <c r="AB263" t="s">
        <v>384</v>
      </c>
      <c r="AC263" t="s">
        <v>41</v>
      </c>
      <c r="AD263" t="s">
        <v>41</v>
      </c>
      <c r="AE263" t="s">
        <v>41</v>
      </c>
      <c r="AF263" t="s">
        <v>41</v>
      </c>
      <c r="AG263" t="s">
        <v>41</v>
      </c>
      <c r="AH263" t="s">
        <v>41</v>
      </c>
      <c r="AK263"/>
    </row>
    <row r="264" spans="1:38" x14ac:dyDescent="0.25">
      <c r="A264" t="s">
        <v>43</v>
      </c>
      <c r="B264">
        <v>45920.971215277779</v>
      </c>
      <c r="C264">
        <v>92296</v>
      </c>
      <c r="D264" t="s">
        <v>590</v>
      </c>
      <c r="E264">
        <v>4497327</v>
      </c>
      <c r="F264">
        <v>156292</v>
      </c>
      <c r="G264" t="s">
        <v>46</v>
      </c>
      <c r="H264" t="s">
        <v>769</v>
      </c>
      <c r="I264">
        <v>14</v>
      </c>
      <c r="J264" t="b">
        <v>1</v>
      </c>
      <c r="K264">
        <v>3.5</v>
      </c>
      <c r="L264">
        <v>156291</v>
      </c>
      <c r="M264" t="s">
        <v>433</v>
      </c>
      <c r="N264">
        <v>4</v>
      </c>
      <c r="O264">
        <v>4</v>
      </c>
      <c r="P264"/>
      <c r="Q264">
        <v>134905</v>
      </c>
      <c r="R264">
        <v>1</v>
      </c>
      <c r="S264" t="s">
        <v>40</v>
      </c>
      <c r="T264">
        <v>261</v>
      </c>
      <c r="U264">
        <v>147664</v>
      </c>
      <c r="V264">
        <v>24</v>
      </c>
      <c r="W264" t="s">
        <v>40</v>
      </c>
      <c r="X264">
        <v>261</v>
      </c>
      <c r="Y264" t="s">
        <v>377</v>
      </c>
      <c r="Z264" t="s">
        <v>378</v>
      </c>
      <c r="AA264" t="s">
        <v>379</v>
      </c>
      <c r="AB264" t="s">
        <v>384</v>
      </c>
      <c r="AC264" t="s">
        <v>41</v>
      </c>
      <c r="AD264" t="s">
        <v>41</v>
      </c>
      <c r="AE264" t="s">
        <v>41</v>
      </c>
      <c r="AF264" t="s">
        <v>41</v>
      </c>
      <c r="AG264" t="s">
        <v>41</v>
      </c>
      <c r="AH264" t="s">
        <v>41</v>
      </c>
      <c r="AK264"/>
    </row>
    <row r="265" spans="1:38" x14ac:dyDescent="0.25">
      <c r="A265" t="s">
        <v>43</v>
      </c>
      <c r="B265">
        <v>45920.973877314813</v>
      </c>
      <c r="C265">
        <v>92296</v>
      </c>
      <c r="D265" t="s">
        <v>590</v>
      </c>
      <c r="E265">
        <v>4497326</v>
      </c>
      <c r="F265">
        <v>156292</v>
      </c>
      <c r="G265" t="s">
        <v>46</v>
      </c>
      <c r="H265" t="s">
        <v>769</v>
      </c>
      <c r="I265">
        <v>14</v>
      </c>
      <c r="J265" t="b">
        <v>1</v>
      </c>
      <c r="K265">
        <v>3.5</v>
      </c>
      <c r="L265">
        <v>156291</v>
      </c>
      <c r="M265" t="s">
        <v>433</v>
      </c>
      <c r="N265">
        <v>4</v>
      </c>
      <c r="O265">
        <v>4</v>
      </c>
      <c r="P265"/>
      <c r="Q265">
        <v>134905</v>
      </c>
      <c r="R265">
        <v>1</v>
      </c>
      <c r="S265" t="s">
        <v>40</v>
      </c>
      <c r="T265">
        <v>261</v>
      </c>
      <c r="U265">
        <v>147664</v>
      </c>
      <c r="V265">
        <v>24</v>
      </c>
      <c r="W265" t="s">
        <v>40</v>
      </c>
      <c r="X265">
        <v>261</v>
      </c>
      <c r="Y265" t="s">
        <v>377</v>
      </c>
      <c r="Z265" t="s">
        <v>378</v>
      </c>
      <c r="AA265" t="s">
        <v>379</v>
      </c>
      <c r="AB265" t="s">
        <v>384</v>
      </c>
      <c r="AC265" t="s">
        <v>41</v>
      </c>
      <c r="AD265" t="s">
        <v>41</v>
      </c>
      <c r="AE265" t="s">
        <v>41</v>
      </c>
      <c r="AF265" t="s">
        <v>41</v>
      </c>
      <c r="AG265" t="s">
        <v>41</v>
      </c>
      <c r="AH265" t="s">
        <v>41</v>
      </c>
      <c r="AK265"/>
    </row>
    <row r="266" spans="1:38" x14ac:dyDescent="0.25">
      <c r="A266" t="s">
        <v>38</v>
      </c>
      <c r="B266">
        <v>45921.071620370371</v>
      </c>
      <c r="C266">
        <v>92159</v>
      </c>
      <c r="D266" t="s">
        <v>590</v>
      </c>
      <c r="E266">
        <v>4497717</v>
      </c>
      <c r="F266">
        <v>2104879</v>
      </c>
      <c r="G266" t="s">
        <v>556</v>
      </c>
      <c r="H266" t="s">
        <v>770</v>
      </c>
      <c r="I266">
        <v>10</v>
      </c>
      <c r="J266" t="b">
        <v>1</v>
      </c>
      <c r="K266">
        <v>2</v>
      </c>
      <c r="L266">
        <v>2106199</v>
      </c>
      <c r="M266" t="s">
        <v>558</v>
      </c>
      <c r="N266">
        <v>5</v>
      </c>
      <c r="O266">
        <v>9</v>
      </c>
      <c r="P266"/>
      <c r="Q266">
        <v>134906</v>
      </c>
      <c r="R266">
        <v>1</v>
      </c>
      <c r="S266" t="s">
        <v>40</v>
      </c>
      <c r="T266">
        <v>261</v>
      </c>
      <c r="U266">
        <v>147664</v>
      </c>
      <c r="V266">
        <v>24</v>
      </c>
      <c r="W266" t="s">
        <v>40</v>
      </c>
      <c r="X266">
        <v>261</v>
      </c>
      <c r="Y266" t="s">
        <v>377</v>
      </c>
      <c r="Z266" t="s">
        <v>378</v>
      </c>
      <c r="AA266" t="s">
        <v>379</v>
      </c>
      <c r="AB266" t="s">
        <v>559</v>
      </c>
      <c r="AC266" t="s">
        <v>41</v>
      </c>
      <c r="AD266" t="s">
        <v>41</v>
      </c>
      <c r="AE266" t="s">
        <v>41</v>
      </c>
      <c r="AF266" t="s">
        <v>41</v>
      </c>
      <c r="AG266" t="s">
        <v>41</v>
      </c>
      <c r="AH266" t="s">
        <v>41</v>
      </c>
      <c r="AK266"/>
    </row>
    <row r="267" spans="1:38" x14ac:dyDescent="0.25">
      <c r="A267" t="s">
        <v>38</v>
      </c>
      <c r="B267">
        <v>45921.07472222222</v>
      </c>
      <c r="C267">
        <v>92159</v>
      </c>
      <c r="D267" t="s">
        <v>590</v>
      </c>
      <c r="E267">
        <v>4497717</v>
      </c>
      <c r="F267">
        <v>2104879</v>
      </c>
      <c r="G267" t="s">
        <v>556</v>
      </c>
      <c r="H267" t="s">
        <v>770</v>
      </c>
      <c r="I267">
        <v>10</v>
      </c>
      <c r="J267" t="b">
        <v>1</v>
      </c>
      <c r="K267">
        <v>2</v>
      </c>
      <c r="L267">
        <v>2106199</v>
      </c>
      <c r="M267" t="s">
        <v>558</v>
      </c>
      <c r="N267">
        <v>5</v>
      </c>
      <c r="O267">
        <v>5</v>
      </c>
      <c r="P267"/>
      <c r="Q267">
        <v>134906</v>
      </c>
      <c r="R267">
        <v>1</v>
      </c>
      <c r="S267" t="s">
        <v>40</v>
      </c>
      <c r="T267">
        <v>261</v>
      </c>
      <c r="U267">
        <v>147664</v>
      </c>
      <c r="V267">
        <v>24</v>
      </c>
      <c r="W267" t="s">
        <v>40</v>
      </c>
      <c r="X267">
        <v>261</v>
      </c>
      <c r="Y267" t="s">
        <v>377</v>
      </c>
      <c r="Z267" t="s">
        <v>378</v>
      </c>
      <c r="AA267" t="s">
        <v>771</v>
      </c>
      <c r="AB267" t="s">
        <v>559</v>
      </c>
      <c r="AC267" t="s">
        <v>41</v>
      </c>
      <c r="AD267" t="s">
        <v>41</v>
      </c>
      <c r="AE267" t="s">
        <v>41</v>
      </c>
      <c r="AF267" t="s">
        <v>41</v>
      </c>
      <c r="AG267" t="s">
        <v>41</v>
      </c>
      <c r="AH267" t="s">
        <v>41</v>
      </c>
      <c r="AK267"/>
    </row>
    <row r="268" spans="1:38" x14ac:dyDescent="0.25">
      <c r="A268" t="s">
        <v>38</v>
      </c>
      <c r="B268">
        <v>45921.075543981482</v>
      </c>
      <c r="C268">
        <v>92159</v>
      </c>
      <c r="D268" t="s">
        <v>590</v>
      </c>
      <c r="E268">
        <v>4497716</v>
      </c>
      <c r="F268">
        <v>2104879</v>
      </c>
      <c r="G268" t="s">
        <v>556</v>
      </c>
      <c r="H268" t="s">
        <v>770</v>
      </c>
      <c r="I268">
        <v>10</v>
      </c>
      <c r="J268" t="b">
        <v>1</v>
      </c>
      <c r="K268">
        <v>2.5</v>
      </c>
      <c r="L268">
        <v>2106199</v>
      </c>
      <c r="M268" t="s">
        <v>558</v>
      </c>
      <c r="N268">
        <v>4</v>
      </c>
      <c r="O268">
        <v>4</v>
      </c>
      <c r="P268"/>
      <c r="Q268">
        <v>134906</v>
      </c>
      <c r="R268">
        <v>1</v>
      </c>
      <c r="S268" t="s">
        <v>40</v>
      </c>
      <c r="T268">
        <v>261</v>
      </c>
      <c r="U268">
        <v>147664</v>
      </c>
      <c r="V268">
        <v>24</v>
      </c>
      <c r="W268" t="s">
        <v>40</v>
      </c>
      <c r="X268">
        <v>261</v>
      </c>
      <c r="Y268" t="s">
        <v>377</v>
      </c>
      <c r="Z268" t="s">
        <v>378</v>
      </c>
      <c r="AA268" t="s">
        <v>379</v>
      </c>
      <c r="AB268" t="s">
        <v>384</v>
      </c>
      <c r="AC268" t="s">
        <v>41</v>
      </c>
      <c r="AD268" t="s">
        <v>41</v>
      </c>
      <c r="AE268" t="s">
        <v>41</v>
      </c>
      <c r="AF268" t="s">
        <v>41</v>
      </c>
      <c r="AG268" t="s">
        <v>41</v>
      </c>
      <c r="AH268" t="s">
        <v>41</v>
      </c>
      <c r="AK268"/>
    </row>
    <row r="269" spans="1:38" x14ac:dyDescent="0.25">
      <c r="A269" t="s">
        <v>48</v>
      </c>
      <c r="B269">
        <v>45921.077199074076</v>
      </c>
      <c r="C269">
        <v>91602</v>
      </c>
      <c r="D269" t="s">
        <v>590</v>
      </c>
      <c r="E269">
        <v>4492960</v>
      </c>
      <c r="F269">
        <v>141267</v>
      </c>
      <c r="G269" t="s">
        <v>759</v>
      </c>
      <c r="H269" t="s">
        <v>742</v>
      </c>
      <c r="I269">
        <v>10</v>
      </c>
      <c r="J269" t="b">
        <v>1</v>
      </c>
      <c r="K269">
        <v>4.5871559633027525E-2</v>
      </c>
      <c r="L269">
        <v>141268</v>
      </c>
      <c r="M269" t="s">
        <v>760</v>
      </c>
      <c r="N269">
        <v>218</v>
      </c>
      <c r="O269">
        <v>184</v>
      </c>
      <c r="P269"/>
      <c r="Q269">
        <v>134978</v>
      </c>
      <c r="R269">
        <v>2</v>
      </c>
      <c r="S269" t="s">
        <v>40</v>
      </c>
      <c r="T269">
        <v>261</v>
      </c>
      <c r="W269"/>
      <c r="Y269" t="s">
        <v>377</v>
      </c>
      <c r="Z269" t="s">
        <v>378</v>
      </c>
      <c r="AA269" t="s">
        <v>379</v>
      </c>
      <c r="AB269" t="s">
        <v>772</v>
      </c>
      <c r="AC269" t="s">
        <v>379</v>
      </c>
      <c r="AD269" t="s">
        <v>773</v>
      </c>
      <c r="AE269" t="s">
        <v>41</v>
      </c>
      <c r="AF269" t="s">
        <v>41</v>
      </c>
      <c r="AG269" t="s">
        <v>41</v>
      </c>
      <c r="AH269" t="s">
        <v>41</v>
      </c>
      <c r="AK269"/>
    </row>
    <row r="270" spans="1:38" x14ac:dyDescent="0.25">
      <c r="A270" t="s">
        <v>45</v>
      </c>
      <c r="B270">
        <v>45921.203449074077</v>
      </c>
      <c r="C270">
        <v>90988</v>
      </c>
      <c r="D270" t="s">
        <v>590</v>
      </c>
      <c r="E270">
        <v>4496576</v>
      </c>
      <c r="F270">
        <v>2116563</v>
      </c>
      <c r="G270" t="s">
        <v>774</v>
      </c>
      <c r="H270" t="s">
        <v>582</v>
      </c>
      <c r="I270">
        <v>1.5</v>
      </c>
      <c r="J270" t="b">
        <v>1</v>
      </c>
      <c r="K270">
        <v>7.0754716981132077E-3</v>
      </c>
      <c r="L270">
        <v>2117712</v>
      </c>
      <c r="M270" t="s">
        <v>775</v>
      </c>
      <c r="N270">
        <v>212</v>
      </c>
      <c r="O270">
        <v>198</v>
      </c>
      <c r="P270"/>
      <c r="Q270">
        <v>134975</v>
      </c>
      <c r="R270">
        <v>1</v>
      </c>
      <c r="S270" t="s">
        <v>40</v>
      </c>
      <c r="T270">
        <v>261</v>
      </c>
      <c r="W270"/>
      <c r="Y270" t="s">
        <v>377</v>
      </c>
      <c r="Z270" t="s">
        <v>378</v>
      </c>
      <c r="AA270" t="s">
        <v>379</v>
      </c>
      <c r="AB270" t="s">
        <v>548</v>
      </c>
      <c r="AC270" t="s">
        <v>41</v>
      </c>
      <c r="AD270" t="s">
        <v>41</v>
      </c>
      <c r="AE270" t="s">
        <v>41</v>
      </c>
      <c r="AF270" t="s">
        <v>41</v>
      </c>
      <c r="AG270" t="s">
        <v>41</v>
      </c>
      <c r="AH270" t="s">
        <v>41</v>
      </c>
      <c r="AK270"/>
    </row>
    <row r="271" spans="1:38" x14ac:dyDescent="0.25">
      <c r="A271" t="s">
        <v>39</v>
      </c>
      <c r="B271">
        <v>45921.206180555557</v>
      </c>
      <c r="C271">
        <v>92161</v>
      </c>
      <c r="D271" t="s">
        <v>590</v>
      </c>
      <c r="E271">
        <v>4498187</v>
      </c>
      <c r="F271">
        <v>113699</v>
      </c>
      <c r="G271" t="s">
        <v>598</v>
      </c>
      <c r="H271" t="s">
        <v>637</v>
      </c>
      <c r="I271">
        <v>7.5</v>
      </c>
      <c r="J271" t="b">
        <v>1</v>
      </c>
      <c r="K271">
        <v>0.625</v>
      </c>
      <c r="L271">
        <v>113700</v>
      </c>
      <c r="M271" t="s">
        <v>599</v>
      </c>
      <c r="N271">
        <v>12</v>
      </c>
      <c r="O271">
        <v>12</v>
      </c>
      <c r="P271"/>
      <c r="Q271">
        <v>134907</v>
      </c>
      <c r="R271">
        <v>2</v>
      </c>
      <c r="S271" t="s">
        <v>40</v>
      </c>
      <c r="T271">
        <v>261</v>
      </c>
      <c r="U271">
        <v>147664</v>
      </c>
      <c r="V271">
        <v>48</v>
      </c>
      <c r="W271" t="s">
        <v>40</v>
      </c>
      <c r="X271">
        <v>261</v>
      </c>
      <c r="Y271" t="s">
        <v>377</v>
      </c>
      <c r="Z271" t="s">
        <v>378</v>
      </c>
      <c r="AA271" t="s">
        <v>379</v>
      </c>
      <c r="AB271" t="s">
        <v>400</v>
      </c>
      <c r="AC271" t="s">
        <v>379</v>
      </c>
      <c r="AD271" t="s">
        <v>384</v>
      </c>
      <c r="AE271" t="s">
        <v>41</v>
      </c>
      <c r="AF271" t="s">
        <v>41</v>
      </c>
      <c r="AG271" t="s">
        <v>41</v>
      </c>
      <c r="AH271" t="s">
        <v>41</v>
      </c>
      <c r="AK271"/>
    </row>
    <row r="272" spans="1:38" x14ac:dyDescent="0.25">
      <c r="A272" t="s">
        <v>37</v>
      </c>
      <c r="B272">
        <v>45921.207986111112</v>
      </c>
      <c r="C272">
        <v>91603</v>
      </c>
      <c r="D272" t="s">
        <v>590</v>
      </c>
      <c r="E272">
        <v>4493041</v>
      </c>
      <c r="F272">
        <v>141267</v>
      </c>
      <c r="G272" t="s">
        <v>759</v>
      </c>
      <c r="H272" t="s">
        <v>776</v>
      </c>
      <c r="I272">
        <v>10</v>
      </c>
      <c r="J272" t="b">
        <v>1</v>
      </c>
      <c r="K272">
        <v>4.7393364928909949E-2</v>
      </c>
      <c r="L272">
        <v>141268</v>
      </c>
      <c r="M272" t="s">
        <v>760</v>
      </c>
      <c r="N272">
        <v>211</v>
      </c>
      <c r="O272">
        <v>200</v>
      </c>
      <c r="P272"/>
      <c r="Q272">
        <v>134975</v>
      </c>
      <c r="R272">
        <v>2</v>
      </c>
      <c r="S272" t="s">
        <v>40</v>
      </c>
      <c r="T272">
        <v>261</v>
      </c>
      <c r="W272"/>
      <c r="Y272" t="s">
        <v>377</v>
      </c>
      <c r="Z272" t="s">
        <v>378</v>
      </c>
      <c r="AA272" t="s">
        <v>379</v>
      </c>
      <c r="AB272" t="s">
        <v>777</v>
      </c>
      <c r="AC272" t="s">
        <v>379</v>
      </c>
      <c r="AD272" t="s">
        <v>761</v>
      </c>
      <c r="AE272" t="s">
        <v>41</v>
      </c>
      <c r="AF272" t="s">
        <v>41</v>
      </c>
      <c r="AG272" t="s">
        <v>41</v>
      </c>
      <c r="AH272" t="s">
        <v>41</v>
      </c>
      <c r="AK272"/>
    </row>
    <row r="273" spans="1:38" x14ac:dyDescent="0.25">
      <c r="A273" t="s">
        <v>37</v>
      </c>
      <c r="B273">
        <v>45921.209155092591</v>
      </c>
      <c r="C273">
        <v>91603</v>
      </c>
      <c r="D273" t="s">
        <v>590</v>
      </c>
      <c r="E273">
        <v>4493041</v>
      </c>
      <c r="F273">
        <v>141267</v>
      </c>
      <c r="G273" t="s">
        <v>759</v>
      </c>
      <c r="H273" t="s">
        <v>776</v>
      </c>
      <c r="I273">
        <v>10</v>
      </c>
      <c r="J273" t="b">
        <v>1</v>
      </c>
      <c r="K273">
        <v>4.7393364928909949E-2</v>
      </c>
      <c r="L273">
        <v>141268</v>
      </c>
      <c r="M273" t="s">
        <v>760</v>
      </c>
      <c r="N273">
        <v>211</v>
      </c>
      <c r="O273">
        <v>200</v>
      </c>
      <c r="P273"/>
      <c r="Q273">
        <v>134975</v>
      </c>
      <c r="R273">
        <v>2</v>
      </c>
      <c r="S273" t="s">
        <v>40</v>
      </c>
      <c r="T273">
        <v>261</v>
      </c>
      <c r="W273"/>
      <c r="Y273" t="s">
        <v>377</v>
      </c>
      <c r="Z273" t="s">
        <v>378</v>
      </c>
      <c r="AA273" t="s">
        <v>771</v>
      </c>
      <c r="AB273" t="s">
        <v>771</v>
      </c>
      <c r="AC273" t="s">
        <v>41</v>
      </c>
      <c r="AD273" t="s">
        <v>771</v>
      </c>
      <c r="AE273" t="s">
        <v>41</v>
      </c>
      <c r="AF273" t="s">
        <v>41</v>
      </c>
      <c r="AG273" t="s">
        <v>41</v>
      </c>
      <c r="AH273" t="s">
        <v>41</v>
      </c>
      <c r="AK273"/>
    </row>
    <row r="274" spans="1:38" x14ac:dyDescent="0.25">
      <c r="A274" t="s">
        <v>42</v>
      </c>
      <c r="B274">
        <v>45921.557824074072</v>
      </c>
      <c r="C274">
        <v>92161</v>
      </c>
      <c r="D274" t="s">
        <v>373</v>
      </c>
      <c r="E274">
        <v>4497718</v>
      </c>
      <c r="F274">
        <v>2104879</v>
      </c>
      <c r="G274" t="s">
        <v>556</v>
      </c>
      <c r="H274" t="s">
        <v>778</v>
      </c>
      <c r="I274">
        <v>5</v>
      </c>
      <c r="J274" t="b">
        <v>1</v>
      </c>
      <c r="K274">
        <v>1.25</v>
      </c>
      <c r="L274">
        <v>2106199</v>
      </c>
      <c r="M274" t="s">
        <v>558</v>
      </c>
      <c r="N274">
        <v>4</v>
      </c>
      <c r="O274">
        <v>4</v>
      </c>
      <c r="P274"/>
      <c r="Q274">
        <v>134907</v>
      </c>
      <c r="R274">
        <v>1</v>
      </c>
      <c r="S274" t="s">
        <v>40</v>
      </c>
      <c r="T274">
        <v>261</v>
      </c>
      <c r="U274">
        <v>147664</v>
      </c>
      <c r="V274">
        <v>24</v>
      </c>
      <c r="W274" t="s">
        <v>40</v>
      </c>
      <c r="X274">
        <v>261</v>
      </c>
      <c r="Y274" t="s">
        <v>377</v>
      </c>
      <c r="Z274" t="s">
        <v>378</v>
      </c>
      <c r="AA274" t="s">
        <v>379</v>
      </c>
      <c r="AB274" t="s">
        <v>384</v>
      </c>
      <c r="AC274" t="s">
        <v>41</v>
      </c>
      <c r="AD274" t="s">
        <v>41</v>
      </c>
      <c r="AE274" t="s">
        <v>41</v>
      </c>
      <c r="AF274" t="s">
        <v>41</v>
      </c>
      <c r="AG274" t="s">
        <v>41</v>
      </c>
      <c r="AH274" t="s">
        <v>41</v>
      </c>
      <c r="AK274"/>
    </row>
    <row r="275" spans="1:38" x14ac:dyDescent="0.25">
      <c r="A275" t="s">
        <v>42</v>
      </c>
      <c r="B275">
        <v>45921.558715277781</v>
      </c>
      <c r="C275">
        <v>92161</v>
      </c>
      <c r="D275" t="s">
        <v>373</v>
      </c>
      <c r="E275">
        <v>4497719</v>
      </c>
      <c r="F275">
        <v>2104879</v>
      </c>
      <c r="G275" t="s">
        <v>556</v>
      </c>
      <c r="H275" t="s">
        <v>778</v>
      </c>
      <c r="I275">
        <v>5</v>
      </c>
      <c r="J275" t="b">
        <v>1</v>
      </c>
      <c r="K275">
        <v>1</v>
      </c>
      <c r="L275">
        <v>2106199</v>
      </c>
      <c r="M275" t="s">
        <v>558</v>
      </c>
      <c r="N275">
        <v>5</v>
      </c>
      <c r="O275">
        <v>4</v>
      </c>
      <c r="P275"/>
      <c r="Q275">
        <v>134907</v>
      </c>
      <c r="R275">
        <v>1</v>
      </c>
      <c r="S275" t="s">
        <v>40</v>
      </c>
      <c r="T275">
        <v>261</v>
      </c>
      <c r="U275">
        <v>147664</v>
      </c>
      <c r="V275">
        <v>24</v>
      </c>
      <c r="W275" t="s">
        <v>40</v>
      </c>
      <c r="X275">
        <v>261</v>
      </c>
      <c r="Y275" t="s">
        <v>377</v>
      </c>
      <c r="Z275" t="s">
        <v>378</v>
      </c>
      <c r="AA275" t="s">
        <v>379</v>
      </c>
      <c r="AB275" t="s">
        <v>559</v>
      </c>
      <c r="AC275" t="s">
        <v>41</v>
      </c>
      <c r="AD275" t="s">
        <v>41</v>
      </c>
      <c r="AE275" t="s">
        <v>41</v>
      </c>
      <c r="AF275" t="s">
        <v>41</v>
      </c>
      <c r="AG275" t="s">
        <v>41</v>
      </c>
      <c r="AH275" t="s">
        <v>41</v>
      </c>
      <c r="AK275"/>
    </row>
    <row r="276" spans="1:38" x14ac:dyDescent="0.25">
      <c r="A276" t="s">
        <v>37</v>
      </c>
      <c r="B276">
        <v>45921.617627314816</v>
      </c>
      <c r="C276">
        <v>90989</v>
      </c>
      <c r="D276" t="s">
        <v>373</v>
      </c>
      <c r="E276">
        <v>4487219</v>
      </c>
      <c r="F276">
        <v>2116484</v>
      </c>
      <c r="G276" t="s">
        <v>779</v>
      </c>
      <c r="H276" t="s">
        <v>582</v>
      </c>
      <c r="I276">
        <v>2.5</v>
      </c>
      <c r="J276" t="b">
        <v>1</v>
      </c>
      <c r="K276">
        <v>1.0040160642570281E-2</v>
      </c>
      <c r="L276">
        <v>2117638</v>
      </c>
      <c r="M276" t="s">
        <v>780</v>
      </c>
      <c r="N276">
        <v>249</v>
      </c>
      <c r="O276">
        <v>250</v>
      </c>
      <c r="P276"/>
      <c r="Q276">
        <v>134975</v>
      </c>
      <c r="R276">
        <v>1</v>
      </c>
      <c r="S276" t="s">
        <v>40</v>
      </c>
      <c r="T276">
        <v>261</v>
      </c>
      <c r="W276"/>
      <c r="Y276" t="s">
        <v>377</v>
      </c>
      <c r="Z276" t="s">
        <v>378</v>
      </c>
      <c r="AA276" t="s">
        <v>379</v>
      </c>
      <c r="AB276" t="s">
        <v>529</v>
      </c>
      <c r="AC276" t="s">
        <v>41</v>
      </c>
      <c r="AD276" t="s">
        <v>41</v>
      </c>
      <c r="AE276" t="s">
        <v>41</v>
      </c>
      <c r="AF276" t="s">
        <v>41</v>
      </c>
      <c r="AG276" t="s">
        <v>41</v>
      </c>
      <c r="AH276" t="s">
        <v>41</v>
      </c>
      <c r="AK276"/>
    </row>
    <row r="277" spans="1:38" x14ac:dyDescent="0.25">
      <c r="A277" t="s">
        <v>43</v>
      </c>
      <c r="B277">
        <v>45921.710046296299</v>
      </c>
      <c r="C277">
        <v>91604</v>
      </c>
      <c r="D277" t="s">
        <v>373</v>
      </c>
      <c r="E277">
        <v>4493041</v>
      </c>
      <c r="F277">
        <v>141267</v>
      </c>
      <c r="G277" t="s">
        <v>759</v>
      </c>
      <c r="H277" t="s">
        <v>776</v>
      </c>
      <c r="I277">
        <v>10</v>
      </c>
      <c r="J277" t="b">
        <v>1</v>
      </c>
      <c r="K277">
        <v>4.716981132075472E-2</v>
      </c>
      <c r="L277">
        <v>141268</v>
      </c>
      <c r="M277" t="s">
        <v>760</v>
      </c>
      <c r="N277">
        <v>212</v>
      </c>
      <c r="O277">
        <v>205</v>
      </c>
      <c r="P277"/>
      <c r="Q277">
        <v>134975</v>
      </c>
      <c r="R277">
        <v>1</v>
      </c>
      <c r="S277" t="s">
        <v>40</v>
      </c>
      <c r="T277">
        <v>261</v>
      </c>
      <c r="V277">
        <v>0</v>
      </c>
      <c r="W277"/>
      <c r="Y277" t="s">
        <v>377</v>
      </c>
      <c r="Z277" t="s">
        <v>378</v>
      </c>
      <c r="AA277" t="s">
        <v>379</v>
      </c>
      <c r="AB277" t="s">
        <v>543</v>
      </c>
      <c r="AC277" t="s">
        <v>379</v>
      </c>
      <c r="AD277" t="s">
        <v>781</v>
      </c>
      <c r="AE277" t="s">
        <v>41</v>
      </c>
      <c r="AF277" t="s">
        <v>41</v>
      </c>
      <c r="AG277" t="s">
        <v>41</v>
      </c>
      <c r="AH277" t="s">
        <v>41</v>
      </c>
      <c r="AI277">
        <v>134975</v>
      </c>
      <c r="AJ277">
        <v>1</v>
      </c>
      <c r="AK277" t="s">
        <v>40</v>
      </c>
      <c r="AL277">
        <v>261</v>
      </c>
    </row>
    <row r="278" spans="1:38" x14ac:dyDescent="0.25">
      <c r="A278" t="s">
        <v>44</v>
      </c>
      <c r="B278">
        <v>45922.079664351855</v>
      </c>
      <c r="C278">
        <v>92336</v>
      </c>
      <c r="D278" t="s">
        <v>494</v>
      </c>
      <c r="E278">
        <v>4495268</v>
      </c>
      <c r="F278">
        <v>2304758</v>
      </c>
      <c r="G278" t="s">
        <v>402</v>
      </c>
      <c r="H278" t="s">
        <v>782</v>
      </c>
      <c r="I278">
        <v>14</v>
      </c>
      <c r="J278" t="b">
        <v>1</v>
      </c>
      <c r="K278">
        <v>1.75</v>
      </c>
      <c r="L278">
        <v>2304759</v>
      </c>
      <c r="M278" t="s">
        <v>404</v>
      </c>
      <c r="N278">
        <v>8</v>
      </c>
      <c r="O278">
        <v>12</v>
      </c>
      <c r="P278"/>
      <c r="Q278">
        <v>155687</v>
      </c>
      <c r="R278">
        <v>1</v>
      </c>
      <c r="S278" t="s">
        <v>40</v>
      </c>
      <c r="T278">
        <v>261</v>
      </c>
      <c r="U278">
        <v>147664</v>
      </c>
      <c r="V278">
        <v>24</v>
      </c>
      <c r="W278" t="s">
        <v>40</v>
      </c>
      <c r="X278">
        <v>261</v>
      </c>
      <c r="Y278" t="s">
        <v>377</v>
      </c>
      <c r="Z278" t="s">
        <v>378</v>
      </c>
      <c r="AA278" t="s">
        <v>384</v>
      </c>
      <c r="AB278" t="s">
        <v>384</v>
      </c>
      <c r="AC278" t="s">
        <v>41</v>
      </c>
      <c r="AD278" t="s">
        <v>41</v>
      </c>
      <c r="AE278" t="s">
        <v>41</v>
      </c>
      <c r="AF278" t="s">
        <v>41</v>
      </c>
      <c r="AG278" t="s">
        <v>41</v>
      </c>
      <c r="AH278" t="s">
        <v>41</v>
      </c>
      <c r="AK278"/>
    </row>
    <row r="279" spans="1:38" x14ac:dyDescent="0.25">
      <c r="A279" t="s">
        <v>37</v>
      </c>
      <c r="B279">
        <v>45922.400069444448</v>
      </c>
      <c r="C279">
        <v>92257</v>
      </c>
      <c r="D279" t="s">
        <v>560</v>
      </c>
      <c r="E279">
        <v>4498191</v>
      </c>
      <c r="F279">
        <v>105454</v>
      </c>
      <c r="G279" t="s">
        <v>783</v>
      </c>
      <c r="H279" t="s">
        <v>746</v>
      </c>
      <c r="I279">
        <v>7.5</v>
      </c>
      <c r="J279" t="b">
        <v>1</v>
      </c>
      <c r="K279">
        <v>0.625</v>
      </c>
      <c r="L279">
        <v>2106228</v>
      </c>
      <c r="M279" t="s">
        <v>784</v>
      </c>
      <c r="N279">
        <v>12</v>
      </c>
      <c r="O279">
        <v>12</v>
      </c>
      <c r="P279"/>
      <c r="Q279">
        <v>0</v>
      </c>
      <c r="R279">
        <v>0</v>
      </c>
      <c r="S279" t="s">
        <v>40</v>
      </c>
      <c r="T279">
        <v>261</v>
      </c>
      <c r="W279"/>
      <c r="Y279" t="s">
        <v>377</v>
      </c>
      <c r="Z279" t="s">
        <v>378</v>
      </c>
      <c r="AA279" t="s">
        <v>525</v>
      </c>
      <c r="AB279" t="s">
        <v>409</v>
      </c>
      <c r="AC279" t="s">
        <v>41</v>
      </c>
      <c r="AD279" t="s">
        <v>41</v>
      </c>
      <c r="AE279" t="s">
        <v>41</v>
      </c>
      <c r="AF279" t="s">
        <v>41</v>
      </c>
      <c r="AG279" t="s">
        <v>41</v>
      </c>
      <c r="AH279" t="s">
        <v>41</v>
      </c>
      <c r="AK279"/>
    </row>
    <row r="280" spans="1:38" x14ac:dyDescent="0.25">
      <c r="A280" t="s">
        <v>38</v>
      </c>
      <c r="B280">
        <v>45922.443368055552</v>
      </c>
      <c r="C280">
        <v>92297</v>
      </c>
      <c r="D280" t="s">
        <v>560</v>
      </c>
      <c r="E280">
        <v>4497328</v>
      </c>
      <c r="F280">
        <v>155446</v>
      </c>
      <c r="G280" t="s">
        <v>785</v>
      </c>
      <c r="H280" t="s">
        <v>736</v>
      </c>
      <c r="I280">
        <v>7</v>
      </c>
      <c r="J280" t="b">
        <v>1</v>
      </c>
      <c r="K280">
        <v>1.75</v>
      </c>
      <c r="L280">
        <v>155444</v>
      </c>
      <c r="M280" t="s">
        <v>786</v>
      </c>
      <c r="N280">
        <v>4</v>
      </c>
      <c r="O280">
        <v>4</v>
      </c>
      <c r="P280"/>
      <c r="Q280">
        <v>155687</v>
      </c>
      <c r="R280">
        <v>1</v>
      </c>
      <c r="S280" t="s">
        <v>40</v>
      </c>
      <c r="T280">
        <v>261</v>
      </c>
      <c r="U280">
        <v>147664</v>
      </c>
      <c r="V280">
        <v>24</v>
      </c>
      <c r="W280" t="s">
        <v>40</v>
      </c>
      <c r="X280">
        <v>261</v>
      </c>
      <c r="Y280" t="s">
        <v>377</v>
      </c>
      <c r="Z280" t="s">
        <v>378</v>
      </c>
      <c r="AA280" t="s">
        <v>379</v>
      </c>
      <c r="AB280" t="s">
        <v>384</v>
      </c>
      <c r="AC280" t="s">
        <v>41</v>
      </c>
      <c r="AD280" t="s">
        <v>41</v>
      </c>
      <c r="AE280" t="s">
        <v>41</v>
      </c>
      <c r="AF280" t="s">
        <v>41</v>
      </c>
      <c r="AG280" t="s">
        <v>41</v>
      </c>
      <c r="AH280" t="s">
        <v>41</v>
      </c>
      <c r="AK280"/>
    </row>
    <row r="281" spans="1:38" x14ac:dyDescent="0.25">
      <c r="A281" t="s">
        <v>38</v>
      </c>
      <c r="B281">
        <v>45922.444178240738</v>
      </c>
      <c r="C281">
        <v>92297</v>
      </c>
      <c r="D281" t="s">
        <v>560</v>
      </c>
      <c r="E281">
        <v>4497329</v>
      </c>
      <c r="F281">
        <v>155446</v>
      </c>
      <c r="G281" t="s">
        <v>785</v>
      </c>
      <c r="H281" t="s">
        <v>736</v>
      </c>
      <c r="I281">
        <v>7</v>
      </c>
      <c r="J281" t="b">
        <v>1</v>
      </c>
      <c r="K281">
        <v>1.75</v>
      </c>
      <c r="L281">
        <v>155444</v>
      </c>
      <c r="M281" t="s">
        <v>786</v>
      </c>
      <c r="N281">
        <v>4</v>
      </c>
      <c r="O281">
        <v>4</v>
      </c>
      <c r="P281"/>
      <c r="Q281">
        <v>155687</v>
      </c>
      <c r="R281">
        <v>1</v>
      </c>
      <c r="S281" t="s">
        <v>40</v>
      </c>
      <c r="T281">
        <v>261</v>
      </c>
      <c r="U281">
        <v>147664</v>
      </c>
      <c r="V281">
        <v>24</v>
      </c>
      <c r="W281" t="s">
        <v>40</v>
      </c>
      <c r="X281">
        <v>261</v>
      </c>
      <c r="Y281" t="s">
        <v>377</v>
      </c>
      <c r="Z281" t="s">
        <v>378</v>
      </c>
      <c r="AA281" t="s">
        <v>379</v>
      </c>
      <c r="AB281" t="s">
        <v>384</v>
      </c>
      <c r="AC281" t="s">
        <v>41</v>
      </c>
      <c r="AD281" t="s">
        <v>41</v>
      </c>
      <c r="AE281" t="s">
        <v>41</v>
      </c>
      <c r="AF281" t="s">
        <v>41</v>
      </c>
      <c r="AG281" t="s">
        <v>41</v>
      </c>
      <c r="AH281" t="s">
        <v>41</v>
      </c>
      <c r="AK281"/>
    </row>
    <row r="282" spans="1:38" x14ac:dyDescent="0.25">
      <c r="A282" t="s">
        <v>39</v>
      </c>
      <c r="B282">
        <v>45922.588888888888</v>
      </c>
      <c r="C282">
        <v>91605</v>
      </c>
      <c r="D282" t="s">
        <v>560</v>
      </c>
      <c r="E282">
        <v>4493980</v>
      </c>
      <c r="F282">
        <v>141257</v>
      </c>
      <c r="G282" t="s">
        <v>570</v>
      </c>
      <c r="H282" t="s">
        <v>787</v>
      </c>
      <c r="I282">
        <v>10</v>
      </c>
      <c r="J282" t="b">
        <v>1</v>
      </c>
      <c r="K282">
        <v>4.5871559633027525E-2</v>
      </c>
      <c r="L282">
        <v>141258</v>
      </c>
      <c r="M282" t="s">
        <v>571</v>
      </c>
      <c r="N282">
        <v>218</v>
      </c>
      <c r="O282">
        <v>200</v>
      </c>
      <c r="P282"/>
      <c r="Q282">
        <v>134976</v>
      </c>
      <c r="R282">
        <v>2</v>
      </c>
      <c r="S282" t="s">
        <v>40</v>
      </c>
      <c r="T282">
        <v>261</v>
      </c>
      <c r="W282"/>
      <c r="Y282" t="s">
        <v>377</v>
      </c>
      <c r="Z282" t="s">
        <v>378</v>
      </c>
      <c r="AA282" t="s">
        <v>379</v>
      </c>
      <c r="AB282" t="s">
        <v>768</v>
      </c>
      <c r="AC282" t="s">
        <v>379</v>
      </c>
      <c r="AD282" t="s">
        <v>543</v>
      </c>
      <c r="AE282" t="s">
        <v>41</v>
      </c>
      <c r="AF282" t="s">
        <v>41</v>
      </c>
      <c r="AG282" t="s">
        <v>41</v>
      </c>
      <c r="AH282" t="s">
        <v>41</v>
      </c>
      <c r="AK282"/>
    </row>
    <row r="283" spans="1:38" x14ac:dyDescent="0.25">
      <c r="A283" t="s">
        <v>42</v>
      </c>
      <c r="B283">
        <v>45922.640879629631</v>
      </c>
      <c r="C283">
        <v>92163</v>
      </c>
      <c r="D283" t="s">
        <v>560</v>
      </c>
      <c r="E283">
        <v>4494939</v>
      </c>
      <c r="F283">
        <v>117619</v>
      </c>
      <c r="G283" t="s">
        <v>788</v>
      </c>
      <c r="H283" t="s">
        <v>528</v>
      </c>
      <c r="I283">
        <v>10</v>
      </c>
      <c r="J283" t="b">
        <v>1</v>
      </c>
      <c r="K283">
        <v>1.1111111111111112</v>
      </c>
      <c r="L283">
        <v>117620</v>
      </c>
      <c r="M283" t="s">
        <v>789</v>
      </c>
      <c r="N283">
        <v>9</v>
      </c>
      <c r="O283">
        <v>9</v>
      </c>
      <c r="P283"/>
      <c r="Q283">
        <v>0</v>
      </c>
      <c r="R283">
        <v>0</v>
      </c>
      <c r="S283">
        <v>100</v>
      </c>
      <c r="T283">
        <v>261</v>
      </c>
      <c r="W283"/>
      <c r="Y283">
        <v>20</v>
      </c>
      <c r="Z283" t="s">
        <v>378</v>
      </c>
      <c r="AA283" t="s">
        <v>525</v>
      </c>
      <c r="AB283" t="s">
        <v>790</v>
      </c>
      <c r="AC283" t="s">
        <v>41</v>
      </c>
      <c r="AD283" t="s">
        <v>41</v>
      </c>
      <c r="AE283" t="s">
        <v>41</v>
      </c>
      <c r="AF283" t="s">
        <v>41</v>
      </c>
      <c r="AK283"/>
    </row>
    <row r="284" spans="1:38" x14ac:dyDescent="0.25">
      <c r="A284" t="s">
        <v>48</v>
      </c>
      <c r="B284">
        <v>45922.704479166663</v>
      </c>
      <c r="C284">
        <v>91606</v>
      </c>
      <c r="D284" t="s">
        <v>560</v>
      </c>
      <c r="E284">
        <v>4493980</v>
      </c>
      <c r="F284">
        <v>141257</v>
      </c>
      <c r="G284" t="s">
        <v>570</v>
      </c>
      <c r="H284" t="s">
        <v>787</v>
      </c>
      <c r="I284">
        <v>10</v>
      </c>
      <c r="J284" t="b">
        <v>1</v>
      </c>
      <c r="K284">
        <v>4.5454545454545456E-2</v>
      </c>
      <c r="L284">
        <v>141258</v>
      </c>
      <c r="M284" t="s">
        <v>571</v>
      </c>
      <c r="N284">
        <v>220</v>
      </c>
      <c r="O284">
        <v>220</v>
      </c>
      <c r="P284"/>
      <c r="Q284">
        <v>0</v>
      </c>
      <c r="R284">
        <v>0</v>
      </c>
      <c r="S284" t="s">
        <v>40</v>
      </c>
      <c r="T284">
        <v>261</v>
      </c>
      <c r="W284"/>
      <c r="Y284" t="s">
        <v>377</v>
      </c>
      <c r="Z284" t="s">
        <v>378</v>
      </c>
      <c r="AA284" t="s">
        <v>379</v>
      </c>
      <c r="AB284" t="s">
        <v>791</v>
      </c>
      <c r="AC284" t="s">
        <v>379</v>
      </c>
      <c r="AD284" t="s">
        <v>792</v>
      </c>
      <c r="AE284" t="s">
        <v>41</v>
      </c>
      <c r="AF284" t="s">
        <v>41</v>
      </c>
      <c r="AK284"/>
    </row>
    <row r="285" spans="1:38" x14ac:dyDescent="0.25">
      <c r="A285" t="s">
        <v>44</v>
      </c>
      <c r="B285">
        <v>45923.283194444448</v>
      </c>
      <c r="C285">
        <v>92338</v>
      </c>
      <c r="D285" t="s">
        <v>457</v>
      </c>
      <c r="E285">
        <v>4495269</v>
      </c>
      <c r="F285">
        <v>2304758</v>
      </c>
      <c r="G285" t="s">
        <v>402</v>
      </c>
      <c r="H285" t="s">
        <v>793</v>
      </c>
      <c r="I285">
        <v>14</v>
      </c>
      <c r="J285" t="b">
        <v>1</v>
      </c>
      <c r="K285">
        <v>1.75</v>
      </c>
      <c r="L285">
        <v>2304759</v>
      </c>
      <c r="M285" t="s">
        <v>404</v>
      </c>
      <c r="N285">
        <v>8</v>
      </c>
      <c r="O285">
        <v>8</v>
      </c>
      <c r="P285" t="s">
        <v>794</v>
      </c>
      <c r="Q285">
        <v>134905</v>
      </c>
      <c r="R285">
        <v>2</v>
      </c>
      <c r="S285" t="s">
        <v>40</v>
      </c>
      <c r="T285">
        <v>261</v>
      </c>
      <c r="U285">
        <v>147664</v>
      </c>
      <c r="V285">
        <v>48</v>
      </c>
      <c r="W285" t="s">
        <v>40</v>
      </c>
      <c r="X285">
        <v>261</v>
      </c>
      <c r="Y285" t="s">
        <v>377</v>
      </c>
      <c r="Z285" t="s">
        <v>378</v>
      </c>
      <c r="AA285" t="s">
        <v>379</v>
      </c>
      <c r="AB285" t="s">
        <v>400</v>
      </c>
      <c r="AC285" t="s">
        <v>41</v>
      </c>
      <c r="AD285" t="s">
        <v>41</v>
      </c>
      <c r="AE285" t="s">
        <v>41</v>
      </c>
      <c r="AF285" t="s">
        <v>41</v>
      </c>
      <c r="AK285"/>
    </row>
    <row r="286" spans="1:38" x14ac:dyDescent="0.25">
      <c r="A286" t="s">
        <v>39</v>
      </c>
      <c r="B286">
        <v>45923.351064814815</v>
      </c>
      <c r="C286">
        <v>92164</v>
      </c>
      <c r="D286" t="s">
        <v>457</v>
      </c>
      <c r="E286">
        <v>4494940</v>
      </c>
      <c r="F286">
        <v>117619</v>
      </c>
      <c r="G286" t="s">
        <v>788</v>
      </c>
      <c r="H286" t="s">
        <v>594</v>
      </c>
      <c r="I286">
        <v>10</v>
      </c>
      <c r="J286" t="b">
        <v>1</v>
      </c>
      <c r="K286">
        <v>1.25</v>
      </c>
      <c r="L286">
        <v>117620</v>
      </c>
      <c r="M286" t="s">
        <v>789</v>
      </c>
      <c r="N286">
        <v>8</v>
      </c>
      <c r="O286">
        <v>8</v>
      </c>
      <c r="P286" t="s">
        <v>795</v>
      </c>
      <c r="Q286">
        <v>134907</v>
      </c>
      <c r="R286">
        <v>2</v>
      </c>
      <c r="S286" t="s">
        <v>40</v>
      </c>
      <c r="T286">
        <v>261</v>
      </c>
      <c r="U286">
        <v>147664</v>
      </c>
      <c r="V286">
        <v>48</v>
      </c>
      <c r="W286" t="s">
        <v>40</v>
      </c>
      <c r="X286">
        <v>261</v>
      </c>
      <c r="Y286" t="s">
        <v>377</v>
      </c>
      <c r="Z286" t="s">
        <v>378</v>
      </c>
      <c r="AA286" t="s">
        <v>379</v>
      </c>
      <c r="AB286" t="s">
        <v>400</v>
      </c>
      <c r="AC286" t="s">
        <v>41</v>
      </c>
      <c r="AD286" t="s">
        <v>41</v>
      </c>
      <c r="AE286" t="s">
        <v>41</v>
      </c>
      <c r="AF286" t="s">
        <v>41</v>
      </c>
      <c r="AK286"/>
    </row>
    <row r="287" spans="1:38" x14ac:dyDescent="0.25">
      <c r="A287" t="s">
        <v>37</v>
      </c>
      <c r="B287">
        <v>45923.413831018515</v>
      </c>
      <c r="C287">
        <v>91607</v>
      </c>
      <c r="D287" t="s">
        <v>457</v>
      </c>
      <c r="E287">
        <v>4494101</v>
      </c>
      <c r="F287">
        <v>141257</v>
      </c>
      <c r="G287" t="s">
        <v>570</v>
      </c>
      <c r="H287" t="s">
        <v>796</v>
      </c>
      <c r="I287">
        <v>10</v>
      </c>
      <c r="J287" t="b">
        <v>1</v>
      </c>
      <c r="K287">
        <v>0.10309278350515463</v>
      </c>
      <c r="L287">
        <v>141258</v>
      </c>
      <c r="M287" t="s">
        <v>571</v>
      </c>
      <c r="N287">
        <v>97</v>
      </c>
      <c r="O287">
        <v>97</v>
      </c>
      <c r="P287" t="s">
        <v>797</v>
      </c>
      <c r="Q287">
        <v>134976</v>
      </c>
      <c r="R287">
        <v>1</v>
      </c>
      <c r="S287" t="s">
        <v>40</v>
      </c>
      <c r="T287">
        <v>261</v>
      </c>
      <c r="W287"/>
      <c r="Y287" t="s">
        <v>377</v>
      </c>
      <c r="Z287" t="s">
        <v>378</v>
      </c>
      <c r="AA287" t="s">
        <v>379</v>
      </c>
      <c r="AB287" t="s">
        <v>798</v>
      </c>
      <c r="AC287" t="s">
        <v>41</v>
      </c>
      <c r="AD287" t="s">
        <v>41</v>
      </c>
      <c r="AE287" t="s">
        <v>41</v>
      </c>
      <c r="AF287" t="s">
        <v>41</v>
      </c>
      <c r="AK287"/>
    </row>
    <row r="288" spans="1:38" x14ac:dyDescent="0.25">
      <c r="A288" t="s">
        <v>37</v>
      </c>
      <c r="B288">
        <v>45923.418437499997</v>
      </c>
      <c r="C288">
        <v>91607</v>
      </c>
      <c r="D288" t="s">
        <v>457</v>
      </c>
      <c r="E288">
        <v>4494101</v>
      </c>
      <c r="F288">
        <v>141257</v>
      </c>
      <c r="G288" t="s">
        <v>570</v>
      </c>
      <c r="H288" t="s">
        <v>796</v>
      </c>
      <c r="I288">
        <v>10</v>
      </c>
      <c r="J288" t="b">
        <v>1</v>
      </c>
      <c r="K288">
        <v>0.10309278350515463</v>
      </c>
      <c r="L288">
        <v>141258</v>
      </c>
      <c r="M288" t="s">
        <v>571</v>
      </c>
      <c r="N288">
        <v>97</v>
      </c>
      <c r="O288">
        <v>97</v>
      </c>
      <c r="P288" t="s">
        <v>797</v>
      </c>
      <c r="Q288">
        <v>134976</v>
      </c>
      <c r="R288">
        <v>1</v>
      </c>
      <c r="S288" t="s">
        <v>40</v>
      </c>
      <c r="T288">
        <v>261</v>
      </c>
      <c r="W288"/>
      <c r="Y288" t="s">
        <v>377</v>
      </c>
      <c r="Z288" t="s">
        <v>378</v>
      </c>
      <c r="AA288" t="s">
        <v>379</v>
      </c>
      <c r="AB288" t="s">
        <v>798</v>
      </c>
      <c r="AC288" t="s">
        <v>41</v>
      </c>
      <c r="AD288" t="s">
        <v>41</v>
      </c>
      <c r="AE288" t="s">
        <v>41</v>
      </c>
      <c r="AF288" t="s">
        <v>41</v>
      </c>
      <c r="AK288"/>
    </row>
    <row r="289" spans="1:38" x14ac:dyDescent="0.25">
      <c r="A289" t="s">
        <v>42</v>
      </c>
      <c r="B289">
        <v>45923.500578703701</v>
      </c>
      <c r="C289">
        <v>92258</v>
      </c>
      <c r="D289" t="s">
        <v>669</v>
      </c>
      <c r="E289">
        <v>4498192</v>
      </c>
      <c r="F289">
        <v>105454</v>
      </c>
      <c r="G289" t="s">
        <v>783</v>
      </c>
      <c r="H289" t="s">
        <v>626</v>
      </c>
      <c r="I289">
        <v>7.5</v>
      </c>
      <c r="J289" t="b">
        <v>1</v>
      </c>
      <c r="K289">
        <v>0.625</v>
      </c>
      <c r="L289">
        <v>2106228</v>
      </c>
      <c r="M289" t="s">
        <v>784</v>
      </c>
      <c r="N289">
        <v>12</v>
      </c>
      <c r="O289">
        <v>12</v>
      </c>
      <c r="P289"/>
      <c r="Q289">
        <v>0</v>
      </c>
      <c r="R289">
        <v>0</v>
      </c>
      <c r="S289" t="s">
        <v>40</v>
      </c>
      <c r="T289">
        <v>261</v>
      </c>
      <c r="W289"/>
      <c r="Y289" t="s">
        <v>377</v>
      </c>
      <c r="Z289" t="s">
        <v>378</v>
      </c>
      <c r="AA289" t="s">
        <v>379</v>
      </c>
      <c r="AB289" t="s">
        <v>409</v>
      </c>
      <c r="AC289" t="s">
        <v>41</v>
      </c>
      <c r="AD289" t="s">
        <v>41</v>
      </c>
      <c r="AE289" t="s">
        <v>41</v>
      </c>
      <c r="AF289" t="s">
        <v>41</v>
      </c>
      <c r="AK289"/>
    </row>
    <row r="290" spans="1:38" x14ac:dyDescent="0.25">
      <c r="A290" t="s">
        <v>39</v>
      </c>
      <c r="B290">
        <v>45923.601793981485</v>
      </c>
      <c r="C290">
        <v>90992</v>
      </c>
      <c r="D290" t="s">
        <v>669</v>
      </c>
      <c r="E290">
        <v>4492375</v>
      </c>
      <c r="F290">
        <v>2116492</v>
      </c>
      <c r="G290" t="s">
        <v>799</v>
      </c>
      <c r="H290" t="s">
        <v>582</v>
      </c>
      <c r="I290">
        <v>3</v>
      </c>
      <c r="J290" t="b">
        <v>1</v>
      </c>
      <c r="K290">
        <v>1.2345679012345678E-2</v>
      </c>
      <c r="L290">
        <v>2117646</v>
      </c>
      <c r="M290" t="s">
        <v>800</v>
      </c>
      <c r="N290">
        <v>243</v>
      </c>
      <c r="O290">
        <v>243</v>
      </c>
      <c r="P290"/>
      <c r="Q290">
        <v>0</v>
      </c>
      <c r="R290">
        <v>0</v>
      </c>
      <c r="S290" t="s">
        <v>40</v>
      </c>
      <c r="T290">
        <v>261</v>
      </c>
      <c r="W290"/>
      <c r="Y290" t="s">
        <v>377</v>
      </c>
      <c r="Z290" t="s">
        <v>378</v>
      </c>
      <c r="AA290" t="s">
        <v>379</v>
      </c>
      <c r="AB290" t="s">
        <v>801</v>
      </c>
      <c r="AC290" t="s">
        <v>41</v>
      </c>
      <c r="AD290" t="s">
        <v>41</v>
      </c>
      <c r="AE290" t="s">
        <v>41</v>
      </c>
      <c r="AF290" t="s">
        <v>41</v>
      </c>
      <c r="AK290"/>
    </row>
    <row r="291" spans="1:38" x14ac:dyDescent="0.25">
      <c r="A291" t="s">
        <v>37</v>
      </c>
      <c r="B291">
        <v>45923.641087962962</v>
      </c>
      <c r="C291">
        <v>91608</v>
      </c>
      <c r="D291" t="s">
        <v>669</v>
      </c>
      <c r="E291">
        <v>4494101</v>
      </c>
      <c r="F291">
        <v>141257</v>
      </c>
      <c r="G291" t="s">
        <v>570</v>
      </c>
      <c r="H291" t="s">
        <v>796</v>
      </c>
      <c r="I291">
        <v>10</v>
      </c>
      <c r="J291" t="b">
        <v>1</v>
      </c>
      <c r="K291">
        <v>4.4247787610619468E-2</v>
      </c>
      <c r="L291">
        <v>141258</v>
      </c>
      <c r="M291" t="s">
        <v>571</v>
      </c>
      <c r="N291">
        <v>226</v>
      </c>
      <c r="O291">
        <v>226</v>
      </c>
      <c r="P291"/>
      <c r="Q291">
        <v>134976</v>
      </c>
      <c r="R291">
        <v>2</v>
      </c>
      <c r="S291" t="s">
        <v>40</v>
      </c>
      <c r="T291">
        <v>261</v>
      </c>
      <c r="W291"/>
      <c r="Y291" t="s">
        <v>377</v>
      </c>
      <c r="Z291" t="s">
        <v>378</v>
      </c>
      <c r="AA291" t="s">
        <v>384</v>
      </c>
      <c r="AB291" t="s">
        <v>543</v>
      </c>
      <c r="AC291" t="s">
        <v>41</v>
      </c>
      <c r="AD291" t="s">
        <v>41</v>
      </c>
      <c r="AE291" t="s">
        <v>41</v>
      </c>
      <c r="AF291" t="s">
        <v>41</v>
      </c>
      <c r="AK291"/>
    </row>
    <row r="292" spans="1:38" x14ac:dyDescent="0.25">
      <c r="A292" t="s">
        <v>45</v>
      </c>
      <c r="B292">
        <v>45923.668055555558</v>
      </c>
      <c r="C292">
        <v>91621</v>
      </c>
      <c r="D292" t="s">
        <v>669</v>
      </c>
      <c r="E292">
        <v>4467627</v>
      </c>
      <c r="F292">
        <v>2304376</v>
      </c>
      <c r="G292" t="s">
        <v>802</v>
      </c>
      <c r="H292" t="s">
        <v>803</v>
      </c>
      <c r="I292">
        <v>43.5</v>
      </c>
      <c r="J292" t="b">
        <v>1</v>
      </c>
      <c r="K292">
        <v>0.10714285714285714</v>
      </c>
      <c r="L292">
        <v>2304377</v>
      </c>
      <c r="M292" t="s">
        <v>804</v>
      </c>
      <c r="N292">
        <v>406</v>
      </c>
      <c r="O292">
        <v>406</v>
      </c>
      <c r="P292"/>
      <c r="Q292">
        <v>134976</v>
      </c>
      <c r="R292">
        <v>1</v>
      </c>
      <c r="S292" t="s">
        <v>40</v>
      </c>
      <c r="T292">
        <v>261</v>
      </c>
      <c r="W292"/>
      <c r="Y292" t="s">
        <v>377</v>
      </c>
      <c r="Z292" t="s">
        <v>378</v>
      </c>
      <c r="AA292" t="s">
        <v>379</v>
      </c>
      <c r="AB292" t="s">
        <v>805</v>
      </c>
      <c r="AC292" t="s">
        <v>41</v>
      </c>
      <c r="AD292" t="s">
        <v>41</v>
      </c>
      <c r="AE292" t="s">
        <v>41</v>
      </c>
      <c r="AF292" t="s">
        <v>41</v>
      </c>
      <c r="AK292"/>
    </row>
    <row r="293" spans="1:38" x14ac:dyDescent="0.25">
      <c r="A293" t="s">
        <v>38</v>
      </c>
      <c r="B293">
        <v>45923.712430555555</v>
      </c>
      <c r="C293">
        <v>92340</v>
      </c>
      <c r="D293" t="s">
        <v>669</v>
      </c>
      <c r="E293">
        <v>4495270</v>
      </c>
      <c r="F293">
        <v>2304758</v>
      </c>
      <c r="G293" t="s">
        <v>402</v>
      </c>
      <c r="H293" t="s">
        <v>806</v>
      </c>
      <c r="I293">
        <v>14</v>
      </c>
      <c r="J293" t="b">
        <v>1</v>
      </c>
      <c r="K293">
        <v>1.75</v>
      </c>
      <c r="L293">
        <v>2304759</v>
      </c>
      <c r="M293" t="s">
        <v>404</v>
      </c>
      <c r="N293">
        <v>8</v>
      </c>
      <c r="O293">
        <v>8</v>
      </c>
      <c r="P293"/>
      <c r="Q293">
        <v>149831</v>
      </c>
      <c r="R293">
        <v>2</v>
      </c>
      <c r="S293" t="s">
        <v>40</v>
      </c>
      <c r="T293">
        <v>261</v>
      </c>
      <c r="U293">
        <v>147664</v>
      </c>
      <c r="V293">
        <v>48</v>
      </c>
      <c r="W293" t="s">
        <v>40</v>
      </c>
      <c r="X293">
        <v>261</v>
      </c>
      <c r="Y293" t="s">
        <v>377</v>
      </c>
      <c r="Z293" t="s">
        <v>378</v>
      </c>
      <c r="AA293" t="s">
        <v>384</v>
      </c>
      <c r="AB293" t="s">
        <v>384</v>
      </c>
      <c r="AC293" t="s">
        <v>41</v>
      </c>
      <c r="AD293" t="s">
        <v>41</v>
      </c>
      <c r="AE293" t="s">
        <v>41</v>
      </c>
      <c r="AF293" t="s">
        <v>41</v>
      </c>
      <c r="AK293"/>
    </row>
    <row r="294" spans="1:38" x14ac:dyDescent="0.25">
      <c r="A294" t="s">
        <v>45</v>
      </c>
      <c r="B294">
        <v>45924.021064814813</v>
      </c>
      <c r="C294">
        <v>90994</v>
      </c>
      <c r="D294" t="s">
        <v>682</v>
      </c>
      <c r="E294">
        <v>4492375</v>
      </c>
      <c r="F294">
        <v>2116492</v>
      </c>
      <c r="G294" t="s">
        <v>799</v>
      </c>
      <c r="H294" t="s">
        <v>582</v>
      </c>
      <c r="I294">
        <v>3</v>
      </c>
      <c r="J294" t="b">
        <v>1</v>
      </c>
      <c r="K294">
        <v>2.9411764705882353E-2</v>
      </c>
      <c r="L294">
        <v>2117646</v>
      </c>
      <c r="M294" t="s">
        <v>800</v>
      </c>
      <c r="N294">
        <v>102</v>
      </c>
      <c r="O294">
        <v>102</v>
      </c>
      <c r="P294"/>
      <c r="Q294">
        <v>134976</v>
      </c>
      <c r="R294">
        <v>1</v>
      </c>
      <c r="S294" t="s">
        <v>40</v>
      </c>
      <c r="T294">
        <v>261</v>
      </c>
      <c r="W294"/>
      <c r="Y294" t="s">
        <v>377</v>
      </c>
      <c r="Z294" t="s">
        <v>378</v>
      </c>
      <c r="AA294" t="s">
        <v>379</v>
      </c>
      <c r="AB294" t="s">
        <v>807</v>
      </c>
      <c r="AC294" t="s">
        <v>41</v>
      </c>
      <c r="AD294" t="s">
        <v>41</v>
      </c>
      <c r="AE294" t="s">
        <v>41</v>
      </c>
      <c r="AF294" t="s">
        <v>41</v>
      </c>
      <c r="AK294"/>
    </row>
    <row r="295" spans="1:38" x14ac:dyDescent="0.25">
      <c r="A295" t="s">
        <v>44</v>
      </c>
      <c r="B295">
        <v>45924.110625000001</v>
      </c>
      <c r="C295">
        <v>92165</v>
      </c>
      <c r="D295" t="s">
        <v>682</v>
      </c>
      <c r="E295">
        <v>4497712</v>
      </c>
      <c r="F295">
        <v>2104881</v>
      </c>
      <c r="G295" t="s">
        <v>600</v>
      </c>
      <c r="H295" t="s">
        <v>808</v>
      </c>
      <c r="I295">
        <v>10</v>
      </c>
      <c r="J295" t="b">
        <v>1</v>
      </c>
      <c r="K295">
        <v>2.5</v>
      </c>
      <c r="L295">
        <v>2106201</v>
      </c>
      <c r="M295" t="s">
        <v>602</v>
      </c>
      <c r="N295">
        <v>4</v>
      </c>
      <c r="O295">
        <v>4</v>
      </c>
      <c r="P295"/>
      <c r="Q295">
        <v>155687</v>
      </c>
      <c r="R295">
        <v>1</v>
      </c>
      <c r="S295" t="s">
        <v>40</v>
      </c>
      <c r="T295">
        <v>261</v>
      </c>
      <c r="U295">
        <v>147664</v>
      </c>
      <c r="V295">
        <v>24</v>
      </c>
      <c r="W295" t="s">
        <v>40</v>
      </c>
      <c r="X295">
        <v>261</v>
      </c>
      <c r="Y295" t="s">
        <v>377</v>
      </c>
      <c r="Z295" t="s">
        <v>378</v>
      </c>
      <c r="AA295" t="s">
        <v>379</v>
      </c>
      <c r="AB295" t="s">
        <v>384</v>
      </c>
      <c r="AC295" t="s">
        <v>41</v>
      </c>
      <c r="AD295" t="s">
        <v>41</v>
      </c>
      <c r="AE295" t="s">
        <v>41</v>
      </c>
      <c r="AF295" t="s">
        <v>41</v>
      </c>
      <c r="AK295"/>
    </row>
    <row r="296" spans="1:38" x14ac:dyDescent="0.25">
      <c r="A296" t="s">
        <v>44</v>
      </c>
      <c r="B296">
        <v>45924.112974537034</v>
      </c>
      <c r="C296">
        <v>92165</v>
      </c>
      <c r="D296" t="s">
        <v>682</v>
      </c>
      <c r="E296">
        <v>4497713</v>
      </c>
      <c r="F296">
        <v>2104881</v>
      </c>
      <c r="G296" t="s">
        <v>600</v>
      </c>
      <c r="H296" t="s">
        <v>808</v>
      </c>
      <c r="I296">
        <v>10</v>
      </c>
      <c r="J296" t="b">
        <v>1</v>
      </c>
      <c r="K296">
        <v>2</v>
      </c>
      <c r="L296">
        <v>2106201</v>
      </c>
      <c r="M296" t="s">
        <v>602</v>
      </c>
      <c r="N296">
        <v>5</v>
      </c>
      <c r="O296">
        <v>5</v>
      </c>
      <c r="P296"/>
      <c r="Q296">
        <v>155687</v>
      </c>
      <c r="R296">
        <v>1</v>
      </c>
      <c r="S296" t="s">
        <v>40</v>
      </c>
      <c r="T296">
        <v>261</v>
      </c>
      <c r="U296">
        <v>147664</v>
      </c>
      <c r="V296">
        <v>24</v>
      </c>
      <c r="W296" t="s">
        <v>40</v>
      </c>
      <c r="X296">
        <v>261</v>
      </c>
      <c r="Y296" t="s">
        <v>377</v>
      </c>
      <c r="Z296" t="s">
        <v>378</v>
      </c>
      <c r="AA296" t="s">
        <v>379</v>
      </c>
      <c r="AB296" t="s">
        <v>559</v>
      </c>
      <c r="AC296" t="s">
        <v>41</v>
      </c>
      <c r="AD296" t="s">
        <v>41</v>
      </c>
      <c r="AE296" t="s">
        <v>41</v>
      </c>
      <c r="AF296" t="s">
        <v>41</v>
      </c>
      <c r="AK296"/>
    </row>
    <row r="297" spans="1:38" x14ac:dyDescent="0.25">
      <c r="A297" t="s">
        <v>44</v>
      </c>
      <c r="B297">
        <v>45924.145567129628</v>
      </c>
      <c r="C297">
        <v>91609</v>
      </c>
      <c r="D297" t="s">
        <v>682</v>
      </c>
      <c r="E297">
        <v>4494102</v>
      </c>
      <c r="F297">
        <v>141257</v>
      </c>
      <c r="G297" t="s">
        <v>570</v>
      </c>
      <c r="H297" t="s">
        <v>809</v>
      </c>
      <c r="I297">
        <v>10</v>
      </c>
      <c r="J297" t="b">
        <v>1</v>
      </c>
      <c r="K297">
        <v>4.6511627906976744E-2</v>
      </c>
      <c r="L297">
        <v>141258</v>
      </c>
      <c r="M297" t="s">
        <v>571</v>
      </c>
      <c r="N297">
        <v>215</v>
      </c>
      <c r="O297">
        <v>407</v>
      </c>
      <c r="P297"/>
      <c r="Q297">
        <v>134907</v>
      </c>
      <c r="R297">
        <v>1</v>
      </c>
      <c r="S297" t="s">
        <v>40</v>
      </c>
      <c r="T297">
        <v>261</v>
      </c>
      <c r="U297">
        <v>147664</v>
      </c>
      <c r="V297">
        <v>24</v>
      </c>
      <c r="W297" t="s">
        <v>40</v>
      </c>
      <c r="X297">
        <v>261</v>
      </c>
      <c r="Y297" t="s">
        <v>377</v>
      </c>
      <c r="Z297" t="s">
        <v>378</v>
      </c>
      <c r="AA297" t="s">
        <v>379</v>
      </c>
      <c r="AB297" t="s">
        <v>489</v>
      </c>
      <c r="AC297" t="s">
        <v>41</v>
      </c>
      <c r="AD297" t="s">
        <v>41</v>
      </c>
      <c r="AE297" t="s">
        <v>41</v>
      </c>
      <c r="AF297" t="s">
        <v>41</v>
      </c>
      <c r="AK297"/>
    </row>
    <row r="298" spans="1:38" x14ac:dyDescent="0.25">
      <c r="A298" t="s">
        <v>42</v>
      </c>
      <c r="B298">
        <v>45924.544293981482</v>
      </c>
      <c r="C298">
        <v>92167</v>
      </c>
      <c r="D298" t="s">
        <v>373</v>
      </c>
      <c r="E298">
        <v>4497714</v>
      </c>
      <c r="F298">
        <v>2104881</v>
      </c>
      <c r="G298" t="s">
        <v>600</v>
      </c>
      <c r="H298" t="s">
        <v>810</v>
      </c>
      <c r="I298">
        <v>5</v>
      </c>
      <c r="J298" t="b">
        <v>1</v>
      </c>
      <c r="K298">
        <v>1.25</v>
      </c>
      <c r="L298">
        <v>2106201</v>
      </c>
      <c r="M298" t="s">
        <v>602</v>
      </c>
      <c r="N298">
        <v>4</v>
      </c>
      <c r="O298">
        <v>4</v>
      </c>
      <c r="P298"/>
      <c r="Q298">
        <v>134905</v>
      </c>
      <c r="R298">
        <v>1</v>
      </c>
      <c r="S298" t="s">
        <v>40</v>
      </c>
      <c r="T298">
        <v>261</v>
      </c>
      <c r="U298">
        <v>147664</v>
      </c>
      <c r="V298">
        <v>24</v>
      </c>
      <c r="W298" t="s">
        <v>40</v>
      </c>
      <c r="X298">
        <v>261</v>
      </c>
      <c r="Y298" t="s">
        <v>377</v>
      </c>
      <c r="Z298" t="s">
        <v>378</v>
      </c>
      <c r="AA298" t="s">
        <v>379</v>
      </c>
      <c r="AB298" t="s">
        <v>384</v>
      </c>
      <c r="AC298" t="s">
        <v>41</v>
      </c>
      <c r="AD298" t="s">
        <v>41</v>
      </c>
      <c r="AE298" t="s">
        <v>41</v>
      </c>
      <c r="AF298" t="s">
        <v>41</v>
      </c>
      <c r="AK298"/>
    </row>
    <row r="299" spans="1:38" x14ac:dyDescent="0.25">
      <c r="A299" t="s">
        <v>42</v>
      </c>
      <c r="B299">
        <v>45924.545162037037</v>
      </c>
      <c r="C299">
        <v>92167</v>
      </c>
      <c r="D299" t="s">
        <v>373</v>
      </c>
      <c r="E299">
        <v>4497715</v>
      </c>
      <c r="F299">
        <v>2104881</v>
      </c>
      <c r="G299" t="s">
        <v>600</v>
      </c>
      <c r="H299" t="s">
        <v>810</v>
      </c>
      <c r="I299">
        <v>5</v>
      </c>
      <c r="J299" t="b">
        <v>1</v>
      </c>
      <c r="K299">
        <v>1</v>
      </c>
      <c r="L299">
        <v>2106201</v>
      </c>
      <c r="M299" t="s">
        <v>602</v>
      </c>
      <c r="N299">
        <v>5</v>
      </c>
      <c r="O299">
        <v>5</v>
      </c>
      <c r="P299"/>
      <c r="Q299">
        <v>134905</v>
      </c>
      <c r="R299">
        <v>1</v>
      </c>
      <c r="S299" t="s">
        <v>40</v>
      </c>
      <c r="T299">
        <v>261</v>
      </c>
      <c r="U299">
        <v>147664</v>
      </c>
      <c r="V299">
        <v>24</v>
      </c>
      <c r="W299" t="s">
        <v>40</v>
      </c>
      <c r="X299">
        <v>261</v>
      </c>
      <c r="Y299" t="s">
        <v>377</v>
      </c>
      <c r="Z299" t="s">
        <v>378</v>
      </c>
      <c r="AA299" t="s">
        <v>379</v>
      </c>
      <c r="AB299" t="s">
        <v>559</v>
      </c>
      <c r="AC299" t="s">
        <v>41</v>
      </c>
      <c r="AD299" t="s">
        <v>41</v>
      </c>
      <c r="AE299" t="s">
        <v>41</v>
      </c>
      <c r="AF299" t="s">
        <v>41</v>
      </c>
      <c r="AK299"/>
    </row>
    <row r="300" spans="1:38" x14ac:dyDescent="0.25">
      <c r="A300" t="s">
        <v>37</v>
      </c>
      <c r="B300">
        <v>45924.548159722224</v>
      </c>
      <c r="C300">
        <v>92259</v>
      </c>
      <c r="D300" t="s">
        <v>373</v>
      </c>
      <c r="E300">
        <v>4498193</v>
      </c>
      <c r="F300">
        <v>105454</v>
      </c>
      <c r="G300" t="s">
        <v>783</v>
      </c>
      <c r="H300" t="s">
        <v>637</v>
      </c>
      <c r="I300">
        <v>7.5</v>
      </c>
      <c r="J300" t="b">
        <v>1</v>
      </c>
      <c r="K300">
        <v>0.625</v>
      </c>
      <c r="L300">
        <v>2106228</v>
      </c>
      <c r="M300" t="s">
        <v>784</v>
      </c>
      <c r="N300">
        <v>12</v>
      </c>
      <c r="O300">
        <v>12</v>
      </c>
      <c r="P300" t="s">
        <v>423</v>
      </c>
      <c r="Q300">
        <v>0</v>
      </c>
      <c r="R300">
        <v>0</v>
      </c>
      <c r="S300" t="s">
        <v>40</v>
      </c>
      <c r="T300">
        <v>261</v>
      </c>
      <c r="W300"/>
      <c r="Y300" t="s">
        <v>377</v>
      </c>
      <c r="Z300" t="s">
        <v>378</v>
      </c>
      <c r="AA300" t="s">
        <v>379</v>
      </c>
      <c r="AB300" t="s">
        <v>409</v>
      </c>
      <c r="AC300" t="s">
        <v>41</v>
      </c>
      <c r="AD300" t="s">
        <v>41</v>
      </c>
      <c r="AE300" t="s">
        <v>41</v>
      </c>
      <c r="AF300" t="s">
        <v>41</v>
      </c>
      <c r="AK300"/>
    </row>
    <row r="301" spans="1:38" x14ac:dyDescent="0.25">
      <c r="A301" t="s">
        <v>39</v>
      </c>
      <c r="B301">
        <v>45924.598344907405</v>
      </c>
      <c r="C301">
        <v>91610</v>
      </c>
      <c r="D301" t="s">
        <v>373</v>
      </c>
      <c r="E301">
        <v>4494102</v>
      </c>
      <c r="F301">
        <v>141257</v>
      </c>
      <c r="G301" t="s">
        <v>570</v>
      </c>
      <c r="H301" t="s">
        <v>809</v>
      </c>
      <c r="I301">
        <v>10</v>
      </c>
      <c r="J301" t="b">
        <v>1</v>
      </c>
      <c r="K301">
        <v>4.6511627906976744E-2</v>
      </c>
      <c r="L301">
        <v>141258</v>
      </c>
      <c r="M301" t="s">
        <v>571</v>
      </c>
      <c r="N301">
        <v>215</v>
      </c>
      <c r="O301">
        <v>0</v>
      </c>
      <c r="P301"/>
      <c r="Q301">
        <v>134976</v>
      </c>
      <c r="R301">
        <v>1</v>
      </c>
      <c r="S301" t="s">
        <v>40</v>
      </c>
      <c r="T301">
        <v>261</v>
      </c>
      <c r="V301">
        <v>0</v>
      </c>
      <c r="W301"/>
      <c r="Y301" t="s">
        <v>377</v>
      </c>
      <c r="Z301" t="s">
        <v>378</v>
      </c>
      <c r="AA301" t="s">
        <v>379</v>
      </c>
      <c r="AB301" t="s">
        <v>811</v>
      </c>
      <c r="AC301" t="s">
        <v>379</v>
      </c>
      <c r="AD301" t="s">
        <v>812</v>
      </c>
      <c r="AE301" t="s">
        <v>41</v>
      </c>
      <c r="AF301" t="s">
        <v>41</v>
      </c>
      <c r="AI301">
        <v>134976</v>
      </c>
      <c r="AJ301">
        <v>1</v>
      </c>
      <c r="AK301" t="s">
        <v>40</v>
      </c>
      <c r="AL301">
        <v>261</v>
      </c>
    </row>
    <row r="302" spans="1:38" x14ac:dyDescent="0.25">
      <c r="A302" t="s">
        <v>38</v>
      </c>
      <c r="B302">
        <v>45924.854884259257</v>
      </c>
      <c r="C302">
        <v>92301</v>
      </c>
      <c r="D302" t="s">
        <v>531</v>
      </c>
      <c r="E302">
        <v>4497850</v>
      </c>
      <c r="F302">
        <v>155442</v>
      </c>
      <c r="G302" t="s">
        <v>813</v>
      </c>
      <c r="H302" t="s">
        <v>582</v>
      </c>
      <c r="I302">
        <v>14</v>
      </c>
      <c r="J302" t="b">
        <v>1</v>
      </c>
      <c r="K302">
        <v>3.5</v>
      </c>
      <c r="L302">
        <v>155441</v>
      </c>
      <c r="M302" t="s">
        <v>814</v>
      </c>
      <c r="N302">
        <v>4</v>
      </c>
      <c r="O302">
        <v>8</v>
      </c>
      <c r="P302"/>
      <c r="Q302">
        <v>155687</v>
      </c>
      <c r="R302">
        <v>1</v>
      </c>
      <c r="S302" t="s">
        <v>40</v>
      </c>
      <c r="T302">
        <v>261</v>
      </c>
      <c r="U302">
        <v>147664</v>
      </c>
      <c r="V302">
        <v>24</v>
      </c>
      <c r="W302" t="s">
        <v>40</v>
      </c>
      <c r="X302">
        <v>261</v>
      </c>
      <c r="Y302" t="s">
        <v>377</v>
      </c>
      <c r="Z302" t="s">
        <v>378</v>
      </c>
      <c r="AA302" t="s">
        <v>379</v>
      </c>
      <c r="AB302" t="s">
        <v>384</v>
      </c>
      <c r="AC302" t="s">
        <v>41</v>
      </c>
      <c r="AD302" t="s">
        <v>41</v>
      </c>
      <c r="AE302" t="s">
        <v>41</v>
      </c>
      <c r="AF302" t="s">
        <v>41</v>
      </c>
      <c r="AK302"/>
    </row>
    <row r="303" spans="1:38" x14ac:dyDescent="0.25">
      <c r="A303" t="s">
        <v>43</v>
      </c>
      <c r="B303">
        <v>45924.857847222222</v>
      </c>
      <c r="C303">
        <v>91697</v>
      </c>
      <c r="D303" t="s">
        <v>531</v>
      </c>
      <c r="E303">
        <v>4498249</v>
      </c>
      <c r="F303">
        <v>2304718</v>
      </c>
      <c r="G303" t="s">
        <v>627</v>
      </c>
      <c r="H303" t="s">
        <v>815</v>
      </c>
      <c r="I303">
        <v>14</v>
      </c>
      <c r="J303" t="b">
        <v>0</v>
      </c>
      <c r="K303">
        <v>3.5</v>
      </c>
      <c r="L303">
        <v>2304719</v>
      </c>
      <c r="M303" t="s">
        <v>628</v>
      </c>
      <c r="N303">
        <v>4</v>
      </c>
      <c r="O303">
        <v>4</v>
      </c>
      <c r="P303"/>
      <c r="Q303">
        <v>134905</v>
      </c>
      <c r="R303">
        <v>1</v>
      </c>
      <c r="S303" t="s">
        <v>40</v>
      </c>
      <c r="T303">
        <v>261</v>
      </c>
      <c r="U303">
        <v>147664</v>
      </c>
      <c r="V303">
        <v>24</v>
      </c>
      <c r="W303" t="s">
        <v>40</v>
      </c>
      <c r="X303">
        <v>261</v>
      </c>
      <c r="Y303" t="s">
        <v>551</v>
      </c>
      <c r="Z303" t="s">
        <v>378</v>
      </c>
      <c r="AA303" t="s">
        <v>379</v>
      </c>
      <c r="AB303" t="s">
        <v>384</v>
      </c>
      <c r="AC303" t="s">
        <v>41</v>
      </c>
      <c r="AD303" t="s">
        <v>41</v>
      </c>
      <c r="AE303" t="s">
        <v>41</v>
      </c>
      <c r="AF303" t="s">
        <v>41</v>
      </c>
      <c r="AK303"/>
    </row>
    <row r="304" spans="1:38" x14ac:dyDescent="0.25">
      <c r="A304" t="s">
        <v>38</v>
      </c>
      <c r="B304">
        <v>45924.861759259256</v>
      </c>
      <c r="C304">
        <v>92301</v>
      </c>
      <c r="D304" t="s">
        <v>531</v>
      </c>
      <c r="E304">
        <v>4497850</v>
      </c>
      <c r="F304">
        <v>155442</v>
      </c>
      <c r="G304" t="s">
        <v>813</v>
      </c>
      <c r="H304" t="s">
        <v>582</v>
      </c>
      <c r="I304">
        <v>14</v>
      </c>
      <c r="J304" t="b">
        <v>1</v>
      </c>
      <c r="K304">
        <v>1.75</v>
      </c>
      <c r="L304">
        <v>155441</v>
      </c>
      <c r="M304" t="s">
        <v>814</v>
      </c>
      <c r="N304">
        <v>8</v>
      </c>
      <c r="O304">
        <v>8</v>
      </c>
      <c r="P304"/>
      <c r="Q304">
        <v>155687</v>
      </c>
      <c r="R304">
        <v>2</v>
      </c>
      <c r="S304" t="s">
        <v>40</v>
      </c>
      <c r="T304">
        <v>261</v>
      </c>
      <c r="U304">
        <v>147664</v>
      </c>
      <c r="V304">
        <v>48</v>
      </c>
      <c r="W304" t="s">
        <v>40</v>
      </c>
      <c r="X304">
        <v>261</v>
      </c>
      <c r="Y304" t="s">
        <v>377</v>
      </c>
      <c r="Z304" t="s">
        <v>378</v>
      </c>
      <c r="AA304" t="s">
        <v>384</v>
      </c>
      <c r="AB304" t="s">
        <v>384</v>
      </c>
      <c r="AC304" t="s">
        <v>41</v>
      </c>
      <c r="AD304" t="s">
        <v>41</v>
      </c>
      <c r="AE304" t="s">
        <v>41</v>
      </c>
      <c r="AF304" t="s">
        <v>41</v>
      </c>
      <c r="AK304"/>
    </row>
    <row r="305" spans="1:38" x14ac:dyDescent="0.25">
      <c r="A305" t="s">
        <v>42</v>
      </c>
      <c r="B305">
        <v>45924.934710648151</v>
      </c>
      <c r="C305">
        <v>90995</v>
      </c>
      <c r="D305" t="s">
        <v>531</v>
      </c>
      <c r="E305">
        <v>4495485</v>
      </c>
      <c r="F305">
        <v>2105587</v>
      </c>
      <c r="G305" t="s">
        <v>816</v>
      </c>
      <c r="H305" t="s">
        <v>582</v>
      </c>
      <c r="I305">
        <v>1.5</v>
      </c>
      <c r="J305" t="b">
        <v>1</v>
      </c>
      <c r="K305">
        <v>3.6855036855036856E-3</v>
      </c>
      <c r="L305">
        <v>2106851</v>
      </c>
      <c r="M305" t="s">
        <v>817</v>
      </c>
      <c r="N305">
        <v>407</v>
      </c>
      <c r="O305">
        <v>401</v>
      </c>
      <c r="P305"/>
      <c r="Q305">
        <v>134976</v>
      </c>
      <c r="R305">
        <v>2</v>
      </c>
      <c r="S305" t="s">
        <v>40</v>
      </c>
      <c r="T305">
        <v>261</v>
      </c>
      <c r="W305"/>
      <c r="Y305" t="s">
        <v>377</v>
      </c>
      <c r="Z305" t="s">
        <v>378</v>
      </c>
      <c r="AA305" t="s">
        <v>379</v>
      </c>
      <c r="AB305" t="s">
        <v>749</v>
      </c>
      <c r="AC305" t="s">
        <v>379</v>
      </c>
      <c r="AD305" t="s">
        <v>438</v>
      </c>
      <c r="AE305" t="s">
        <v>41</v>
      </c>
      <c r="AF305" t="s">
        <v>41</v>
      </c>
      <c r="AK305"/>
    </row>
    <row r="306" spans="1:38" x14ac:dyDescent="0.25">
      <c r="A306" t="s">
        <v>44</v>
      </c>
      <c r="B306">
        <v>45924.992824074077</v>
      </c>
      <c r="C306">
        <v>92341</v>
      </c>
      <c r="D306" t="s">
        <v>531</v>
      </c>
      <c r="E306">
        <v>4495271</v>
      </c>
      <c r="F306">
        <v>2304758</v>
      </c>
      <c r="G306" t="s">
        <v>402</v>
      </c>
      <c r="H306" t="s">
        <v>818</v>
      </c>
      <c r="I306">
        <v>14</v>
      </c>
      <c r="J306" t="b">
        <v>1</v>
      </c>
      <c r="K306">
        <v>1.75</v>
      </c>
      <c r="L306">
        <v>2304759</v>
      </c>
      <c r="M306" t="s">
        <v>404</v>
      </c>
      <c r="N306">
        <v>8</v>
      </c>
      <c r="O306">
        <v>8</v>
      </c>
      <c r="P306"/>
      <c r="Q306">
        <v>155687</v>
      </c>
      <c r="R306">
        <v>2</v>
      </c>
      <c r="S306" t="s">
        <v>40</v>
      </c>
      <c r="T306">
        <v>261</v>
      </c>
      <c r="U306">
        <v>147664</v>
      </c>
      <c r="V306">
        <v>48</v>
      </c>
      <c r="W306" t="s">
        <v>40</v>
      </c>
      <c r="X306">
        <v>261</v>
      </c>
      <c r="Y306" t="s">
        <v>377</v>
      </c>
      <c r="Z306" t="s">
        <v>378</v>
      </c>
      <c r="AA306" t="s">
        <v>379</v>
      </c>
      <c r="AB306" t="s">
        <v>384</v>
      </c>
      <c r="AC306" t="s">
        <v>41</v>
      </c>
      <c r="AD306" t="s">
        <v>41</v>
      </c>
      <c r="AE306" t="s">
        <v>41</v>
      </c>
      <c r="AF306" t="s">
        <v>41</v>
      </c>
      <c r="AK306"/>
    </row>
    <row r="307" spans="1:38" x14ac:dyDescent="0.25">
      <c r="A307" t="s">
        <v>47</v>
      </c>
      <c r="B307">
        <v>45925.225937499999</v>
      </c>
      <c r="C307">
        <v>91622</v>
      </c>
      <c r="D307" t="s">
        <v>531</v>
      </c>
      <c r="E307">
        <v>4467629</v>
      </c>
      <c r="F307">
        <v>2304376</v>
      </c>
      <c r="G307" t="s">
        <v>802</v>
      </c>
      <c r="H307" t="s">
        <v>819</v>
      </c>
      <c r="I307">
        <v>43.5</v>
      </c>
      <c r="J307" t="b">
        <v>1</v>
      </c>
      <c r="K307">
        <v>0.10235294117647059</v>
      </c>
      <c r="L307">
        <v>2304377</v>
      </c>
      <c r="M307" t="s">
        <v>804</v>
      </c>
      <c r="N307">
        <v>425</v>
      </c>
      <c r="O307">
        <v>450</v>
      </c>
      <c r="P307"/>
      <c r="Q307">
        <v>134908</v>
      </c>
      <c r="R307">
        <v>1</v>
      </c>
      <c r="S307" t="s">
        <v>40</v>
      </c>
      <c r="T307">
        <v>261</v>
      </c>
      <c r="U307">
        <v>147664</v>
      </c>
      <c r="V307">
        <v>24</v>
      </c>
      <c r="W307" t="s">
        <v>40</v>
      </c>
      <c r="X307">
        <v>261</v>
      </c>
      <c r="Y307" t="s">
        <v>377</v>
      </c>
      <c r="Z307" t="s">
        <v>378</v>
      </c>
      <c r="AA307" t="s">
        <v>379</v>
      </c>
      <c r="AB307" t="s">
        <v>820</v>
      </c>
      <c r="AC307" t="s">
        <v>41</v>
      </c>
      <c r="AD307" t="s">
        <v>41</v>
      </c>
      <c r="AE307" t="s">
        <v>41</v>
      </c>
      <c r="AF307" t="s">
        <v>41</v>
      </c>
      <c r="AK307"/>
    </row>
    <row r="308" spans="1:38" x14ac:dyDescent="0.25">
      <c r="A308" t="s">
        <v>48</v>
      </c>
      <c r="B308">
        <v>45925.236921296295</v>
      </c>
      <c r="C308">
        <v>92168</v>
      </c>
      <c r="D308" t="s">
        <v>531</v>
      </c>
      <c r="E308">
        <v>4496400</v>
      </c>
      <c r="F308">
        <v>131325</v>
      </c>
      <c r="G308" t="s">
        <v>821</v>
      </c>
      <c r="H308" t="s">
        <v>618</v>
      </c>
      <c r="I308">
        <v>10</v>
      </c>
      <c r="J308" t="b">
        <v>1</v>
      </c>
      <c r="K308">
        <v>1.25</v>
      </c>
      <c r="L308">
        <v>131327</v>
      </c>
      <c r="M308"/>
      <c r="N308">
        <v>8</v>
      </c>
      <c r="O308">
        <v>8</v>
      </c>
      <c r="P308"/>
      <c r="Q308">
        <v>134971</v>
      </c>
      <c r="R308">
        <v>2</v>
      </c>
      <c r="S308" t="s">
        <v>40</v>
      </c>
      <c r="T308">
        <v>261</v>
      </c>
      <c r="U308">
        <v>147664</v>
      </c>
      <c r="V308">
        <v>48</v>
      </c>
      <c r="W308" t="s">
        <v>40</v>
      </c>
      <c r="X308">
        <v>261</v>
      </c>
      <c r="Y308" t="s">
        <v>377</v>
      </c>
      <c r="Z308" t="s">
        <v>378</v>
      </c>
      <c r="AA308" t="s">
        <v>384</v>
      </c>
      <c r="AB308" t="s">
        <v>384</v>
      </c>
      <c r="AC308" t="s">
        <v>41</v>
      </c>
      <c r="AD308" t="s">
        <v>41</v>
      </c>
      <c r="AE308" t="s">
        <v>41</v>
      </c>
      <c r="AF308" t="s">
        <v>41</v>
      </c>
      <c r="AK308"/>
    </row>
    <row r="309" spans="1:38" x14ac:dyDescent="0.25">
      <c r="A309" t="s">
        <v>48</v>
      </c>
      <c r="B309">
        <v>45925.242395833331</v>
      </c>
      <c r="C309">
        <v>92168</v>
      </c>
      <c r="D309" t="s">
        <v>531</v>
      </c>
      <c r="E309">
        <v>4496400</v>
      </c>
      <c r="F309">
        <v>131325</v>
      </c>
      <c r="G309" t="s">
        <v>821</v>
      </c>
      <c r="H309" t="s">
        <v>618</v>
      </c>
      <c r="I309">
        <v>10</v>
      </c>
      <c r="J309" t="b">
        <v>1</v>
      </c>
      <c r="K309">
        <v>1.25</v>
      </c>
      <c r="L309">
        <v>131327</v>
      </c>
      <c r="M309" t="s">
        <v>822</v>
      </c>
      <c r="N309">
        <v>8</v>
      </c>
      <c r="O309">
        <v>8</v>
      </c>
      <c r="P309"/>
      <c r="Q309">
        <v>134971</v>
      </c>
      <c r="R309">
        <v>2</v>
      </c>
      <c r="S309" t="s">
        <v>40</v>
      </c>
      <c r="T309">
        <v>261</v>
      </c>
      <c r="U309">
        <v>147664</v>
      </c>
      <c r="V309">
        <v>48</v>
      </c>
      <c r="W309" t="s">
        <v>40</v>
      </c>
      <c r="X309">
        <v>261</v>
      </c>
      <c r="Y309" t="s">
        <v>377</v>
      </c>
      <c r="Z309" t="s">
        <v>378</v>
      </c>
      <c r="AA309" t="s">
        <v>384</v>
      </c>
      <c r="AB309" t="s">
        <v>384</v>
      </c>
      <c r="AC309" t="s">
        <v>41</v>
      </c>
      <c r="AD309" t="s">
        <v>41</v>
      </c>
      <c r="AE309" t="s">
        <v>41</v>
      </c>
      <c r="AF309" t="s">
        <v>41</v>
      </c>
      <c r="AK309"/>
    </row>
    <row r="310" spans="1:38" x14ac:dyDescent="0.25">
      <c r="A310" t="s">
        <v>37</v>
      </c>
      <c r="B310">
        <v>45925.247476851851</v>
      </c>
      <c r="C310">
        <v>91611</v>
      </c>
      <c r="D310" t="s">
        <v>531</v>
      </c>
      <c r="E310">
        <v>4494850</v>
      </c>
      <c r="F310">
        <v>141257</v>
      </c>
      <c r="G310" t="s">
        <v>570</v>
      </c>
      <c r="H310" t="s">
        <v>823</v>
      </c>
      <c r="I310">
        <v>10</v>
      </c>
      <c r="J310" t="b">
        <v>1</v>
      </c>
      <c r="K310">
        <v>4.1152263374485597E-2</v>
      </c>
      <c r="L310">
        <v>141258</v>
      </c>
      <c r="M310" t="s">
        <v>571</v>
      </c>
      <c r="N310">
        <v>243</v>
      </c>
      <c r="O310">
        <v>402</v>
      </c>
      <c r="P310"/>
      <c r="Q310">
        <v>134976</v>
      </c>
      <c r="R310">
        <v>2</v>
      </c>
      <c r="S310" t="s">
        <v>40</v>
      </c>
      <c r="T310">
        <v>261</v>
      </c>
      <c r="W310"/>
      <c r="Y310" t="s">
        <v>377</v>
      </c>
      <c r="Z310" t="s">
        <v>378</v>
      </c>
      <c r="AA310" t="s">
        <v>379</v>
      </c>
      <c r="AB310" t="s">
        <v>762</v>
      </c>
      <c r="AC310" t="s">
        <v>379</v>
      </c>
      <c r="AD310" t="s">
        <v>585</v>
      </c>
      <c r="AE310" t="s">
        <v>41</v>
      </c>
      <c r="AF310" t="s">
        <v>41</v>
      </c>
      <c r="AK310"/>
    </row>
    <row r="311" spans="1:38" x14ac:dyDescent="0.25">
      <c r="A311" t="s">
        <v>39</v>
      </c>
      <c r="B311">
        <v>45925.321273148147</v>
      </c>
      <c r="C311">
        <v>91612</v>
      </c>
      <c r="D311" t="s">
        <v>373</v>
      </c>
      <c r="E311">
        <v>4494850</v>
      </c>
      <c r="F311">
        <v>141257</v>
      </c>
      <c r="G311" t="s">
        <v>570</v>
      </c>
      <c r="H311" t="s">
        <v>823</v>
      </c>
      <c r="I311">
        <v>10</v>
      </c>
      <c r="J311" t="b">
        <v>1</v>
      </c>
      <c r="K311">
        <v>5.9171597633136092E-2</v>
      </c>
      <c r="L311">
        <v>141258</v>
      </c>
      <c r="M311" t="s">
        <v>571</v>
      </c>
      <c r="N311">
        <v>169</v>
      </c>
      <c r="O311">
        <v>0</v>
      </c>
      <c r="P311"/>
      <c r="Q311">
        <v>134976</v>
      </c>
      <c r="R311">
        <v>1</v>
      </c>
      <c r="S311" t="s">
        <v>40</v>
      </c>
      <c r="T311">
        <v>261</v>
      </c>
      <c r="V311">
        <v>0</v>
      </c>
      <c r="W311"/>
      <c r="Y311" t="s">
        <v>377</v>
      </c>
      <c r="Z311" t="s">
        <v>378</v>
      </c>
      <c r="AA311" t="s">
        <v>379</v>
      </c>
      <c r="AB311" t="s">
        <v>604</v>
      </c>
      <c r="AC311" t="s">
        <v>379</v>
      </c>
      <c r="AD311" t="s">
        <v>502</v>
      </c>
      <c r="AE311" t="s">
        <v>41</v>
      </c>
      <c r="AF311" t="s">
        <v>41</v>
      </c>
      <c r="AI311">
        <v>134976</v>
      </c>
      <c r="AJ311">
        <v>1</v>
      </c>
      <c r="AK311" t="s">
        <v>40</v>
      </c>
      <c r="AL311">
        <v>261</v>
      </c>
    </row>
    <row r="312" spans="1:38" x14ac:dyDescent="0.25">
      <c r="A312" t="s">
        <v>48</v>
      </c>
      <c r="B312">
        <v>45925.594421296293</v>
      </c>
      <c r="C312">
        <v>91613</v>
      </c>
      <c r="D312" t="s">
        <v>373</v>
      </c>
      <c r="E312">
        <v>4497659</v>
      </c>
      <c r="F312">
        <v>141257</v>
      </c>
      <c r="G312" t="s">
        <v>570</v>
      </c>
      <c r="H312" t="s">
        <v>824</v>
      </c>
      <c r="I312">
        <v>10</v>
      </c>
      <c r="J312" t="b">
        <v>1</v>
      </c>
      <c r="K312">
        <v>4.807692307692308E-2</v>
      </c>
      <c r="L312">
        <v>141258</v>
      </c>
      <c r="M312" t="s">
        <v>571</v>
      </c>
      <c r="N312">
        <v>208</v>
      </c>
      <c r="O312">
        <v>208</v>
      </c>
      <c r="P312"/>
      <c r="Q312">
        <v>134976</v>
      </c>
      <c r="R312">
        <v>1</v>
      </c>
      <c r="S312" t="s">
        <v>40</v>
      </c>
      <c r="T312">
        <v>261</v>
      </c>
      <c r="V312">
        <v>0</v>
      </c>
      <c r="W312"/>
      <c r="Y312" t="s">
        <v>377</v>
      </c>
      <c r="Z312" t="s">
        <v>378</v>
      </c>
      <c r="AA312" t="s">
        <v>379</v>
      </c>
      <c r="AB312" t="s">
        <v>825</v>
      </c>
      <c r="AC312" t="s">
        <v>379</v>
      </c>
      <c r="AD312" t="s">
        <v>768</v>
      </c>
      <c r="AE312" t="s">
        <v>41</v>
      </c>
      <c r="AF312" t="s">
        <v>41</v>
      </c>
      <c r="AI312">
        <v>134976</v>
      </c>
      <c r="AJ312">
        <v>1</v>
      </c>
      <c r="AK312" t="s">
        <v>40</v>
      </c>
      <c r="AL312">
        <v>261</v>
      </c>
    </row>
    <row r="313" spans="1:38" x14ac:dyDescent="0.25">
      <c r="A313" t="s">
        <v>42</v>
      </c>
      <c r="B313">
        <v>45925.616967592592</v>
      </c>
      <c r="C313">
        <v>92169</v>
      </c>
      <c r="D313" t="s">
        <v>373</v>
      </c>
      <c r="E313">
        <v>4496541</v>
      </c>
      <c r="F313">
        <v>131325</v>
      </c>
      <c r="G313" t="s">
        <v>821</v>
      </c>
      <c r="H313" t="s">
        <v>826</v>
      </c>
      <c r="I313">
        <v>10</v>
      </c>
      <c r="J313" t="b">
        <v>1</v>
      </c>
      <c r="K313">
        <v>1.25</v>
      </c>
      <c r="L313">
        <v>131327</v>
      </c>
      <c r="M313" t="s">
        <v>822</v>
      </c>
      <c r="N313">
        <v>8</v>
      </c>
      <c r="O313">
        <v>8</v>
      </c>
      <c r="P313"/>
      <c r="Q313">
        <v>134971</v>
      </c>
      <c r="R313">
        <v>1</v>
      </c>
      <c r="S313" t="s">
        <v>40</v>
      </c>
      <c r="T313">
        <v>261</v>
      </c>
      <c r="U313">
        <v>147664</v>
      </c>
      <c r="V313">
        <v>48</v>
      </c>
      <c r="W313" t="s">
        <v>40</v>
      </c>
      <c r="X313">
        <v>261</v>
      </c>
      <c r="Y313" t="s">
        <v>377</v>
      </c>
      <c r="Z313" t="s">
        <v>378</v>
      </c>
      <c r="AA313" t="s">
        <v>384</v>
      </c>
      <c r="AB313" t="s">
        <v>384</v>
      </c>
      <c r="AC313" t="s">
        <v>41</v>
      </c>
      <c r="AD313" t="s">
        <v>41</v>
      </c>
      <c r="AE313" t="s">
        <v>41</v>
      </c>
      <c r="AF313" t="s">
        <v>41</v>
      </c>
      <c r="AI313">
        <v>134907</v>
      </c>
      <c r="AJ313">
        <v>1</v>
      </c>
      <c r="AK313" t="s">
        <v>40</v>
      </c>
      <c r="AL313">
        <v>261</v>
      </c>
    </row>
    <row r="314" spans="1:38" x14ac:dyDescent="0.25">
      <c r="A314" t="s">
        <v>43</v>
      </c>
      <c r="B314">
        <v>45925.634166666663</v>
      </c>
      <c r="C314">
        <v>92260</v>
      </c>
      <c r="D314" t="s">
        <v>373</v>
      </c>
      <c r="E314">
        <v>4494623</v>
      </c>
      <c r="F314">
        <v>2104890</v>
      </c>
      <c r="G314" t="s">
        <v>827</v>
      </c>
      <c r="H314" t="s">
        <v>688</v>
      </c>
      <c r="I314">
        <v>10</v>
      </c>
      <c r="J314" t="b">
        <v>1</v>
      </c>
      <c r="K314">
        <v>0.83333333333333337</v>
      </c>
      <c r="L314">
        <v>2106235</v>
      </c>
      <c r="M314" t="s">
        <v>828</v>
      </c>
      <c r="N314">
        <v>12</v>
      </c>
      <c r="O314">
        <v>12</v>
      </c>
      <c r="P314"/>
      <c r="Q314">
        <v>155687</v>
      </c>
      <c r="R314">
        <v>1</v>
      </c>
      <c r="S314" t="s">
        <v>40</v>
      </c>
      <c r="T314">
        <v>261</v>
      </c>
      <c r="U314">
        <v>147664</v>
      </c>
      <c r="V314">
        <v>48</v>
      </c>
      <c r="W314" t="s">
        <v>40</v>
      </c>
      <c r="X314">
        <v>261</v>
      </c>
      <c r="Y314" t="s">
        <v>377</v>
      </c>
      <c r="Z314" t="s">
        <v>378</v>
      </c>
      <c r="AA314" t="s">
        <v>379</v>
      </c>
      <c r="AB314" t="s">
        <v>400</v>
      </c>
      <c r="AC314" t="s">
        <v>379</v>
      </c>
      <c r="AD314" t="s">
        <v>384</v>
      </c>
      <c r="AE314" t="s">
        <v>41</v>
      </c>
      <c r="AF314" t="s">
        <v>41</v>
      </c>
      <c r="AI314">
        <v>155687</v>
      </c>
      <c r="AJ314">
        <v>1</v>
      </c>
      <c r="AK314" t="s">
        <v>40</v>
      </c>
      <c r="AL314">
        <v>261</v>
      </c>
    </row>
    <row r="315" spans="1:38" x14ac:dyDescent="0.25">
      <c r="A315" t="s">
        <v>38</v>
      </c>
      <c r="B315">
        <v>45925.704895833333</v>
      </c>
      <c r="C315">
        <v>92342</v>
      </c>
      <c r="D315" t="s">
        <v>373</v>
      </c>
      <c r="E315">
        <v>4495272</v>
      </c>
      <c r="F315">
        <v>2304758</v>
      </c>
      <c r="G315" t="s">
        <v>402</v>
      </c>
      <c r="H315" t="s">
        <v>829</v>
      </c>
      <c r="I315">
        <v>14</v>
      </c>
      <c r="J315" t="b">
        <v>1</v>
      </c>
      <c r="K315">
        <v>1.75</v>
      </c>
      <c r="L315">
        <v>2304759</v>
      </c>
      <c r="M315" t="s">
        <v>404</v>
      </c>
      <c r="N315">
        <v>8</v>
      </c>
      <c r="O315">
        <v>8</v>
      </c>
      <c r="P315"/>
      <c r="Q315">
        <v>155687</v>
      </c>
      <c r="R315">
        <v>1</v>
      </c>
      <c r="S315" t="s">
        <v>40</v>
      </c>
      <c r="T315">
        <v>261</v>
      </c>
      <c r="U315">
        <v>147664</v>
      </c>
      <c r="V315">
        <v>48</v>
      </c>
      <c r="W315" t="s">
        <v>40</v>
      </c>
      <c r="X315">
        <v>261</v>
      </c>
      <c r="Y315" t="s">
        <v>377</v>
      </c>
      <c r="Z315" t="s">
        <v>378</v>
      </c>
      <c r="AA315" t="s">
        <v>384</v>
      </c>
      <c r="AB315" t="s">
        <v>384</v>
      </c>
      <c r="AC315" t="s">
        <v>41</v>
      </c>
      <c r="AD315" t="s">
        <v>41</v>
      </c>
      <c r="AE315" t="s">
        <v>41</v>
      </c>
      <c r="AF315" t="s">
        <v>41</v>
      </c>
      <c r="AI315">
        <v>155687</v>
      </c>
      <c r="AJ315">
        <v>1</v>
      </c>
      <c r="AK315" t="s">
        <v>40</v>
      </c>
      <c r="AL315">
        <v>261</v>
      </c>
    </row>
    <row r="316" spans="1:38" x14ac:dyDescent="0.25">
      <c r="A316" t="s">
        <v>39</v>
      </c>
      <c r="B316">
        <v>45925.7425</v>
      </c>
      <c r="C316">
        <v>90996</v>
      </c>
      <c r="D316" t="s">
        <v>373</v>
      </c>
      <c r="E316">
        <v>4495486</v>
      </c>
      <c r="F316">
        <v>2105587</v>
      </c>
      <c r="G316" t="s">
        <v>816</v>
      </c>
      <c r="H316" t="s">
        <v>618</v>
      </c>
      <c r="I316">
        <v>1.5</v>
      </c>
      <c r="J316" t="b">
        <v>1</v>
      </c>
      <c r="K316">
        <v>3.7688442211055275E-3</v>
      </c>
      <c r="L316">
        <v>2106851</v>
      </c>
      <c r="M316" t="s">
        <v>817</v>
      </c>
      <c r="N316">
        <v>398</v>
      </c>
      <c r="O316">
        <v>405</v>
      </c>
      <c r="P316"/>
      <c r="Q316">
        <v>134976</v>
      </c>
      <c r="R316">
        <v>1</v>
      </c>
      <c r="S316" t="s">
        <v>40</v>
      </c>
      <c r="T316">
        <v>261</v>
      </c>
      <c r="V316">
        <v>0</v>
      </c>
      <c r="W316"/>
      <c r="Y316" t="s">
        <v>377</v>
      </c>
      <c r="Z316" t="s">
        <v>378</v>
      </c>
      <c r="AA316" t="s">
        <v>379</v>
      </c>
      <c r="AB316" t="s">
        <v>668</v>
      </c>
      <c r="AC316" t="s">
        <v>379</v>
      </c>
      <c r="AD316" t="s">
        <v>830</v>
      </c>
      <c r="AE316" t="s">
        <v>41</v>
      </c>
      <c r="AF316" t="s">
        <v>41</v>
      </c>
      <c r="AI316">
        <v>134976</v>
      </c>
      <c r="AJ316">
        <v>1</v>
      </c>
      <c r="AK316" t="s">
        <v>40</v>
      </c>
      <c r="AL316">
        <v>261</v>
      </c>
    </row>
    <row r="317" spans="1:38" x14ac:dyDescent="0.25">
      <c r="A317" t="s">
        <v>44</v>
      </c>
      <c r="B317">
        <v>45925.887430555558</v>
      </c>
      <c r="C317">
        <v>92300</v>
      </c>
      <c r="D317" t="s">
        <v>545</v>
      </c>
      <c r="E317">
        <v>4497331</v>
      </c>
      <c r="F317">
        <v>155446</v>
      </c>
      <c r="G317" t="s">
        <v>785</v>
      </c>
      <c r="H317" t="s">
        <v>746</v>
      </c>
      <c r="I317">
        <v>16</v>
      </c>
      <c r="J317" t="b">
        <v>1</v>
      </c>
      <c r="K317">
        <v>5.333333333333333</v>
      </c>
      <c r="L317">
        <v>155444</v>
      </c>
      <c r="M317" t="s">
        <v>786</v>
      </c>
      <c r="N317">
        <v>3</v>
      </c>
      <c r="O317">
        <v>6</v>
      </c>
      <c r="P317"/>
      <c r="Q317">
        <v>155687</v>
      </c>
      <c r="R317">
        <v>1</v>
      </c>
      <c r="S317" t="s">
        <v>40</v>
      </c>
      <c r="T317">
        <v>261</v>
      </c>
      <c r="U317">
        <v>147664</v>
      </c>
      <c r="V317">
        <v>24</v>
      </c>
      <c r="W317" t="s">
        <v>40</v>
      </c>
      <c r="X317">
        <v>261</v>
      </c>
      <c r="Y317" t="s">
        <v>377</v>
      </c>
      <c r="Z317" t="s">
        <v>378</v>
      </c>
      <c r="AA317" t="s">
        <v>379</v>
      </c>
      <c r="AB317" t="s">
        <v>622</v>
      </c>
      <c r="AC317" t="s">
        <v>41</v>
      </c>
      <c r="AD317" t="s">
        <v>41</v>
      </c>
      <c r="AE317" t="s">
        <v>41</v>
      </c>
      <c r="AF317" t="s">
        <v>41</v>
      </c>
      <c r="AK317"/>
    </row>
    <row r="318" spans="1:38" x14ac:dyDescent="0.25">
      <c r="A318" t="s">
        <v>44</v>
      </c>
      <c r="B318">
        <v>45925.888379629629</v>
      </c>
      <c r="C318">
        <v>92300</v>
      </c>
      <c r="D318" t="s">
        <v>545</v>
      </c>
      <c r="E318">
        <v>4497330</v>
      </c>
      <c r="F318">
        <v>155446</v>
      </c>
      <c r="G318" t="s">
        <v>785</v>
      </c>
      <c r="H318" t="s">
        <v>746</v>
      </c>
      <c r="I318">
        <v>0</v>
      </c>
      <c r="J318" t="b">
        <v>1</v>
      </c>
      <c r="K318">
        <v>0</v>
      </c>
      <c r="L318">
        <v>155444</v>
      </c>
      <c r="M318" t="s">
        <v>786</v>
      </c>
      <c r="N318">
        <v>3</v>
      </c>
      <c r="O318">
        <v>4</v>
      </c>
      <c r="P318"/>
      <c r="Q318">
        <v>155687</v>
      </c>
      <c r="R318">
        <v>1</v>
      </c>
      <c r="S318" t="s">
        <v>40</v>
      </c>
      <c r="T318">
        <v>261</v>
      </c>
      <c r="U318">
        <v>147664</v>
      </c>
      <c r="V318">
        <v>24</v>
      </c>
      <c r="W318" t="s">
        <v>40</v>
      </c>
      <c r="X318">
        <v>261</v>
      </c>
      <c r="Y318" t="s">
        <v>377</v>
      </c>
      <c r="Z318" t="s">
        <v>378</v>
      </c>
      <c r="AA318" t="s">
        <v>379</v>
      </c>
      <c r="AB318" t="s">
        <v>622</v>
      </c>
      <c r="AC318" t="s">
        <v>41</v>
      </c>
      <c r="AD318" t="s">
        <v>41</v>
      </c>
      <c r="AE318" t="s">
        <v>41</v>
      </c>
      <c r="AF318" t="s">
        <v>41</v>
      </c>
      <c r="AK318"/>
    </row>
    <row r="319" spans="1:38" x14ac:dyDescent="0.25">
      <c r="A319" t="s">
        <v>43</v>
      </c>
      <c r="B319">
        <v>45926.21025462963</v>
      </c>
      <c r="C319">
        <v>92262</v>
      </c>
      <c r="D319" t="s">
        <v>545</v>
      </c>
      <c r="E319">
        <v>4494624</v>
      </c>
      <c r="F319">
        <v>2104890</v>
      </c>
      <c r="G319" t="s">
        <v>827</v>
      </c>
      <c r="H319" t="s">
        <v>428</v>
      </c>
      <c r="I319">
        <v>14</v>
      </c>
      <c r="J319" t="b">
        <v>1</v>
      </c>
      <c r="K319">
        <v>1.1666666666666667</v>
      </c>
      <c r="L319">
        <v>2106235</v>
      </c>
      <c r="M319" t="s">
        <v>828</v>
      </c>
      <c r="N319">
        <v>12</v>
      </c>
      <c r="O319">
        <v>7</v>
      </c>
      <c r="P319"/>
      <c r="Q319">
        <v>134905</v>
      </c>
      <c r="R319">
        <v>2</v>
      </c>
      <c r="S319" t="s">
        <v>40</v>
      </c>
      <c r="T319">
        <v>261</v>
      </c>
      <c r="U319">
        <v>147664</v>
      </c>
      <c r="V319">
        <v>48</v>
      </c>
      <c r="W319" t="s">
        <v>40</v>
      </c>
      <c r="X319">
        <v>261</v>
      </c>
      <c r="Y319" t="s">
        <v>377</v>
      </c>
      <c r="Z319" t="s">
        <v>378</v>
      </c>
      <c r="AA319" t="s">
        <v>379</v>
      </c>
      <c r="AB319" t="s">
        <v>400</v>
      </c>
      <c r="AC319" t="s">
        <v>379</v>
      </c>
      <c r="AD319" t="s">
        <v>384</v>
      </c>
      <c r="AE319" t="s">
        <v>41</v>
      </c>
      <c r="AF319" t="s">
        <v>41</v>
      </c>
      <c r="AK319"/>
    </row>
    <row r="320" spans="1:38" x14ac:dyDescent="0.25">
      <c r="A320" t="s">
        <v>43</v>
      </c>
      <c r="B320">
        <v>45926.211215277777</v>
      </c>
      <c r="C320">
        <v>92262</v>
      </c>
      <c r="D320" t="s">
        <v>545</v>
      </c>
      <c r="E320">
        <v>4494624</v>
      </c>
      <c r="F320">
        <v>2104890</v>
      </c>
      <c r="G320" t="s">
        <v>827</v>
      </c>
      <c r="H320" t="s">
        <v>428</v>
      </c>
      <c r="I320">
        <v>14</v>
      </c>
      <c r="J320" t="b">
        <v>1</v>
      </c>
      <c r="K320">
        <v>1.1666666666666667</v>
      </c>
      <c r="L320">
        <v>2106235</v>
      </c>
      <c r="M320" t="s">
        <v>828</v>
      </c>
      <c r="N320">
        <v>12</v>
      </c>
      <c r="O320">
        <v>0</v>
      </c>
      <c r="P320"/>
      <c r="Q320">
        <v>134905</v>
      </c>
      <c r="R320">
        <v>2</v>
      </c>
      <c r="S320" t="s">
        <v>40</v>
      </c>
      <c r="T320">
        <v>261</v>
      </c>
      <c r="U320">
        <v>147664</v>
      </c>
      <c r="V320">
        <v>48</v>
      </c>
      <c r="W320" t="s">
        <v>40</v>
      </c>
      <c r="X320">
        <v>261</v>
      </c>
      <c r="Y320" t="s">
        <v>377</v>
      </c>
      <c r="Z320" t="s">
        <v>378</v>
      </c>
      <c r="AA320" t="s">
        <v>379</v>
      </c>
      <c r="AB320" t="s">
        <v>400</v>
      </c>
      <c r="AC320" t="s">
        <v>41</v>
      </c>
      <c r="AD320" t="s">
        <v>41</v>
      </c>
      <c r="AE320" t="s">
        <v>41</v>
      </c>
      <c r="AF320" t="s">
        <v>41</v>
      </c>
      <c r="AK320"/>
    </row>
    <row r="321" spans="1:37" x14ac:dyDescent="0.25">
      <c r="A321" t="s">
        <v>48</v>
      </c>
      <c r="B321">
        <v>45926.234131944446</v>
      </c>
      <c r="C321">
        <v>92170</v>
      </c>
      <c r="D321" t="s">
        <v>545</v>
      </c>
      <c r="E321">
        <v>4498526</v>
      </c>
      <c r="F321">
        <v>2104879</v>
      </c>
      <c r="G321" t="s">
        <v>556</v>
      </c>
      <c r="H321" t="s">
        <v>831</v>
      </c>
      <c r="I321">
        <v>12</v>
      </c>
      <c r="J321" t="b">
        <v>1</v>
      </c>
      <c r="K321">
        <v>2.4</v>
      </c>
      <c r="L321">
        <v>2106199</v>
      </c>
      <c r="M321" t="s">
        <v>558</v>
      </c>
      <c r="N321">
        <v>5</v>
      </c>
      <c r="O321">
        <v>4</v>
      </c>
      <c r="P321"/>
      <c r="Q321">
        <v>134907</v>
      </c>
      <c r="R321">
        <v>1</v>
      </c>
      <c r="S321" t="s">
        <v>40</v>
      </c>
      <c r="T321">
        <v>261</v>
      </c>
      <c r="U321">
        <v>147664</v>
      </c>
      <c r="V321">
        <v>24</v>
      </c>
      <c r="W321" t="s">
        <v>40</v>
      </c>
      <c r="X321">
        <v>261</v>
      </c>
      <c r="Y321" t="s">
        <v>377</v>
      </c>
      <c r="Z321" t="s">
        <v>378</v>
      </c>
      <c r="AA321" t="s">
        <v>379</v>
      </c>
      <c r="AB321" t="s">
        <v>559</v>
      </c>
      <c r="AC321" t="s">
        <v>41</v>
      </c>
      <c r="AD321" t="s">
        <v>41</v>
      </c>
      <c r="AE321" t="s">
        <v>41</v>
      </c>
      <c r="AF321" t="s">
        <v>41</v>
      </c>
      <c r="AK321"/>
    </row>
    <row r="322" spans="1:37" x14ac:dyDescent="0.25">
      <c r="A322" t="s">
        <v>48</v>
      </c>
      <c r="B322">
        <v>45926.235138888886</v>
      </c>
      <c r="C322">
        <v>92170</v>
      </c>
      <c r="D322" t="s">
        <v>545</v>
      </c>
      <c r="E322">
        <v>4498527</v>
      </c>
      <c r="F322">
        <v>2104879</v>
      </c>
      <c r="G322" t="s">
        <v>556</v>
      </c>
      <c r="H322" t="s">
        <v>831</v>
      </c>
      <c r="I322">
        <v>12</v>
      </c>
      <c r="J322" t="b">
        <v>1</v>
      </c>
      <c r="K322">
        <v>2.4</v>
      </c>
      <c r="L322">
        <v>2106199</v>
      </c>
      <c r="M322" t="s">
        <v>558</v>
      </c>
      <c r="N322">
        <v>5</v>
      </c>
      <c r="O322">
        <v>5</v>
      </c>
      <c r="P322"/>
      <c r="Q322">
        <v>134907</v>
      </c>
      <c r="R322">
        <v>1</v>
      </c>
      <c r="S322" t="s">
        <v>40</v>
      </c>
      <c r="T322">
        <v>261</v>
      </c>
      <c r="U322">
        <v>147664</v>
      </c>
      <c r="V322">
        <v>24</v>
      </c>
      <c r="W322" t="s">
        <v>40</v>
      </c>
      <c r="X322">
        <v>261</v>
      </c>
      <c r="Y322" t="s">
        <v>377</v>
      </c>
      <c r="Z322" t="s">
        <v>378</v>
      </c>
      <c r="AA322" t="s">
        <v>379</v>
      </c>
      <c r="AB322" t="s">
        <v>559</v>
      </c>
      <c r="AC322" t="s">
        <v>41</v>
      </c>
      <c r="AD322" t="s">
        <v>41</v>
      </c>
      <c r="AE322" t="s">
        <v>41</v>
      </c>
      <c r="AF322" t="s">
        <v>41</v>
      </c>
      <c r="AK322"/>
    </row>
    <row r="323" spans="1:37" x14ac:dyDescent="0.25">
      <c r="A323" t="s">
        <v>45</v>
      </c>
      <c r="B323">
        <v>45926.31453703704</v>
      </c>
      <c r="C323">
        <v>91623</v>
      </c>
      <c r="D323" t="s">
        <v>560</v>
      </c>
      <c r="E323">
        <v>4467631</v>
      </c>
      <c r="F323">
        <v>2304376</v>
      </c>
      <c r="G323" t="s">
        <v>802</v>
      </c>
      <c r="H323" t="s">
        <v>787</v>
      </c>
      <c r="I323">
        <v>3</v>
      </c>
      <c r="J323" t="b">
        <v>1</v>
      </c>
      <c r="K323">
        <v>8.3333333333333332E-3</v>
      </c>
      <c r="L323">
        <v>2304377</v>
      </c>
      <c r="M323" t="s">
        <v>804</v>
      </c>
      <c r="N323">
        <v>360</v>
      </c>
      <c r="O323">
        <v>305</v>
      </c>
      <c r="P323"/>
      <c r="Q323">
        <v>134978</v>
      </c>
      <c r="R323">
        <v>1</v>
      </c>
      <c r="S323" t="s">
        <v>40</v>
      </c>
      <c r="T323">
        <v>261</v>
      </c>
      <c r="W323"/>
      <c r="Y323" t="s">
        <v>49</v>
      </c>
      <c r="Z323" t="s">
        <v>378</v>
      </c>
      <c r="AA323" t="s">
        <v>379</v>
      </c>
      <c r="AB323" t="s">
        <v>725</v>
      </c>
      <c r="AC323" t="s">
        <v>41</v>
      </c>
      <c r="AD323" t="s">
        <v>41</v>
      </c>
      <c r="AE323" t="s">
        <v>41</v>
      </c>
      <c r="AF323" t="s">
        <v>41</v>
      </c>
      <c r="AK323"/>
    </row>
    <row r="324" spans="1:37" x14ac:dyDescent="0.25">
      <c r="A324" t="s">
        <v>42</v>
      </c>
      <c r="B324">
        <v>45926.317233796297</v>
      </c>
      <c r="C324">
        <v>92302</v>
      </c>
      <c r="D324" t="s">
        <v>560</v>
      </c>
      <c r="E324">
        <v>4493904</v>
      </c>
      <c r="F324">
        <v>2304718</v>
      </c>
      <c r="G324" t="s">
        <v>627</v>
      </c>
      <c r="H324" t="s">
        <v>615</v>
      </c>
      <c r="I324">
        <v>14</v>
      </c>
      <c r="J324" t="b">
        <v>1</v>
      </c>
      <c r="K324">
        <v>1.75</v>
      </c>
      <c r="L324">
        <v>2304719</v>
      </c>
      <c r="M324" t="s">
        <v>628</v>
      </c>
      <c r="N324">
        <v>8</v>
      </c>
      <c r="O324">
        <v>8</v>
      </c>
      <c r="P324"/>
      <c r="Q324">
        <v>134905</v>
      </c>
      <c r="R324">
        <v>2</v>
      </c>
      <c r="S324" t="s">
        <v>40</v>
      </c>
      <c r="T324">
        <v>261</v>
      </c>
      <c r="U324">
        <v>147664</v>
      </c>
      <c r="V324">
        <v>48</v>
      </c>
      <c r="W324" t="s">
        <v>40</v>
      </c>
      <c r="X324">
        <v>261</v>
      </c>
      <c r="Y324" t="s">
        <v>377</v>
      </c>
      <c r="Z324" t="s">
        <v>378</v>
      </c>
      <c r="AA324" t="s">
        <v>384</v>
      </c>
      <c r="AB324" t="s">
        <v>384</v>
      </c>
      <c r="AC324" t="s">
        <v>41</v>
      </c>
      <c r="AD324" t="s">
        <v>41</v>
      </c>
      <c r="AE324" t="s">
        <v>41</v>
      </c>
      <c r="AF324" t="s">
        <v>41</v>
      </c>
      <c r="AK324"/>
    </row>
    <row r="325" spans="1:37" x14ac:dyDescent="0.25">
      <c r="A325" t="s">
        <v>37</v>
      </c>
      <c r="B325">
        <v>45926.721296296295</v>
      </c>
      <c r="C325">
        <v>91615</v>
      </c>
      <c r="D325" t="s">
        <v>560</v>
      </c>
      <c r="E325">
        <v>4497659</v>
      </c>
      <c r="F325">
        <v>141257</v>
      </c>
      <c r="G325" t="s">
        <v>570</v>
      </c>
      <c r="H325" t="s">
        <v>824</v>
      </c>
      <c r="I325">
        <v>10</v>
      </c>
      <c r="J325" t="b">
        <v>1</v>
      </c>
      <c r="K325">
        <v>0.1</v>
      </c>
      <c r="L325">
        <v>141258</v>
      </c>
      <c r="M325" t="s">
        <v>571</v>
      </c>
      <c r="N325">
        <v>100</v>
      </c>
      <c r="O325">
        <v>193</v>
      </c>
      <c r="P325"/>
      <c r="Q325">
        <v>134976</v>
      </c>
      <c r="R325">
        <v>1</v>
      </c>
      <c r="S325" t="s">
        <v>40</v>
      </c>
      <c r="T325">
        <v>261</v>
      </c>
      <c r="W325"/>
      <c r="Y325" t="s">
        <v>377</v>
      </c>
      <c r="Z325" t="s">
        <v>378</v>
      </c>
      <c r="AA325" t="s">
        <v>379</v>
      </c>
      <c r="AB325" t="s">
        <v>773</v>
      </c>
      <c r="AC325" t="s">
        <v>41</v>
      </c>
      <c r="AD325" t="s">
        <v>41</v>
      </c>
      <c r="AE325" t="s">
        <v>41</v>
      </c>
      <c r="AF325" t="s">
        <v>41</v>
      </c>
      <c r="AK325"/>
    </row>
    <row r="326" spans="1:37" x14ac:dyDescent="0.25">
      <c r="A326" t="s">
        <v>42</v>
      </c>
      <c r="B326">
        <v>45927.019548611112</v>
      </c>
      <c r="C326">
        <v>92171</v>
      </c>
      <c r="D326" t="s">
        <v>563</v>
      </c>
      <c r="E326">
        <v>4498528</v>
      </c>
      <c r="F326">
        <v>2104879</v>
      </c>
      <c r="G326" t="s">
        <v>556</v>
      </c>
      <c r="H326" t="s">
        <v>832</v>
      </c>
      <c r="I326">
        <v>10</v>
      </c>
      <c r="J326" t="b">
        <v>1</v>
      </c>
      <c r="K326">
        <v>2.5</v>
      </c>
      <c r="L326">
        <v>2106199</v>
      </c>
      <c r="M326" t="s">
        <v>558</v>
      </c>
      <c r="N326">
        <v>4</v>
      </c>
      <c r="O326">
        <v>4</v>
      </c>
      <c r="P326"/>
      <c r="Q326">
        <v>134971</v>
      </c>
      <c r="R326">
        <v>2</v>
      </c>
      <c r="S326" t="s">
        <v>40</v>
      </c>
      <c r="T326">
        <v>261</v>
      </c>
      <c r="U326">
        <v>147664</v>
      </c>
      <c r="V326">
        <v>48</v>
      </c>
      <c r="W326" t="s">
        <v>40</v>
      </c>
      <c r="X326">
        <v>261</v>
      </c>
      <c r="Y326" t="s">
        <v>377</v>
      </c>
      <c r="Z326" t="s">
        <v>378</v>
      </c>
      <c r="AA326" t="s">
        <v>379</v>
      </c>
      <c r="AB326" t="s">
        <v>384</v>
      </c>
      <c r="AC326" t="s">
        <v>41</v>
      </c>
      <c r="AD326" t="s">
        <v>41</v>
      </c>
      <c r="AE326" t="s">
        <v>41</v>
      </c>
      <c r="AF326" t="s">
        <v>41</v>
      </c>
      <c r="AK326"/>
    </row>
    <row r="327" spans="1:37" x14ac:dyDescent="0.25">
      <c r="A327" t="s">
        <v>42</v>
      </c>
      <c r="B327">
        <v>45927.020960648151</v>
      </c>
      <c r="C327">
        <v>92171</v>
      </c>
      <c r="D327" t="s">
        <v>563</v>
      </c>
      <c r="E327">
        <v>4498529</v>
      </c>
      <c r="F327">
        <v>2104879</v>
      </c>
      <c r="G327" t="s">
        <v>556</v>
      </c>
      <c r="H327" t="s">
        <v>832</v>
      </c>
      <c r="I327">
        <v>10</v>
      </c>
      <c r="J327" t="b">
        <v>1</v>
      </c>
      <c r="K327">
        <v>2</v>
      </c>
      <c r="L327">
        <v>2106199</v>
      </c>
      <c r="M327" t="s">
        <v>558</v>
      </c>
      <c r="N327">
        <v>5</v>
      </c>
      <c r="O327">
        <v>5</v>
      </c>
      <c r="P327"/>
      <c r="Q327">
        <v>134971</v>
      </c>
      <c r="R327">
        <v>1</v>
      </c>
      <c r="S327" t="s">
        <v>40</v>
      </c>
      <c r="T327">
        <v>261</v>
      </c>
      <c r="U327">
        <v>147664</v>
      </c>
      <c r="V327">
        <v>24</v>
      </c>
      <c r="W327" t="s">
        <v>40</v>
      </c>
      <c r="X327">
        <v>261</v>
      </c>
      <c r="Y327" t="s">
        <v>377</v>
      </c>
      <c r="Z327" t="s">
        <v>378</v>
      </c>
      <c r="AA327" t="s">
        <v>379</v>
      </c>
      <c r="AB327" t="s">
        <v>559</v>
      </c>
      <c r="AC327" t="s">
        <v>41</v>
      </c>
      <c r="AD327" t="s">
        <v>41</v>
      </c>
      <c r="AE327" t="s">
        <v>41</v>
      </c>
      <c r="AF327" t="s">
        <v>41</v>
      </c>
      <c r="AK327"/>
    </row>
    <row r="328" spans="1:37" x14ac:dyDescent="0.25">
      <c r="A328" t="s">
        <v>38</v>
      </c>
      <c r="B328">
        <v>45927.056273148148</v>
      </c>
      <c r="C328">
        <v>91616</v>
      </c>
      <c r="D328" t="s">
        <v>563</v>
      </c>
      <c r="E328">
        <v>4497857</v>
      </c>
      <c r="F328">
        <v>141267</v>
      </c>
      <c r="G328" t="s">
        <v>759</v>
      </c>
      <c r="H328" t="s">
        <v>803</v>
      </c>
      <c r="I328">
        <v>10</v>
      </c>
      <c r="J328" t="b">
        <v>1</v>
      </c>
      <c r="K328">
        <v>9.3457943925233641E-2</v>
      </c>
      <c r="L328">
        <v>141268</v>
      </c>
      <c r="M328" t="s">
        <v>760</v>
      </c>
      <c r="N328">
        <v>107</v>
      </c>
      <c r="O328">
        <v>400</v>
      </c>
      <c r="P328"/>
      <c r="Q328">
        <v>134975</v>
      </c>
      <c r="R328">
        <v>1</v>
      </c>
      <c r="S328" t="s">
        <v>40</v>
      </c>
      <c r="T328">
        <v>261</v>
      </c>
      <c r="W328"/>
      <c r="Y328" t="s">
        <v>377</v>
      </c>
      <c r="Z328" t="s">
        <v>378</v>
      </c>
      <c r="AA328" t="s">
        <v>379</v>
      </c>
      <c r="AB328" t="s">
        <v>450</v>
      </c>
      <c r="AC328" t="s">
        <v>41</v>
      </c>
      <c r="AD328" t="s">
        <v>41</v>
      </c>
      <c r="AE328" t="s">
        <v>41</v>
      </c>
      <c r="AF328" t="s">
        <v>41</v>
      </c>
      <c r="AK328"/>
    </row>
    <row r="329" spans="1:37" x14ac:dyDescent="0.25">
      <c r="A329" t="s">
        <v>38</v>
      </c>
      <c r="B329">
        <v>45927.057071759256</v>
      </c>
      <c r="C329">
        <v>91616</v>
      </c>
      <c r="D329" t="s">
        <v>563</v>
      </c>
      <c r="E329">
        <v>4497857</v>
      </c>
      <c r="F329">
        <v>141267</v>
      </c>
      <c r="G329" t="s">
        <v>759</v>
      </c>
      <c r="H329" t="s">
        <v>803</v>
      </c>
      <c r="I329">
        <v>10</v>
      </c>
      <c r="J329" t="b">
        <v>1</v>
      </c>
      <c r="K329">
        <v>8.6956521739130432E-2</v>
      </c>
      <c r="L329">
        <v>141268</v>
      </c>
      <c r="M329" t="s">
        <v>760</v>
      </c>
      <c r="N329">
        <v>115</v>
      </c>
      <c r="O329">
        <v>115</v>
      </c>
      <c r="P329"/>
      <c r="Q329">
        <v>134975</v>
      </c>
      <c r="R329">
        <v>1</v>
      </c>
      <c r="S329" t="s">
        <v>40</v>
      </c>
      <c r="T329">
        <v>261</v>
      </c>
      <c r="W329"/>
      <c r="Y329" t="s">
        <v>377</v>
      </c>
      <c r="Z329" t="s">
        <v>378</v>
      </c>
      <c r="AA329" t="s">
        <v>379</v>
      </c>
      <c r="AB329" t="s">
        <v>542</v>
      </c>
      <c r="AC329" t="s">
        <v>41</v>
      </c>
      <c r="AD329" t="s">
        <v>41</v>
      </c>
      <c r="AE329" t="s">
        <v>41</v>
      </c>
      <c r="AF329" t="s">
        <v>41</v>
      </c>
      <c r="AK329"/>
    </row>
    <row r="330" spans="1:37" x14ac:dyDescent="0.25">
      <c r="A330" t="s">
        <v>37</v>
      </c>
      <c r="B330">
        <v>45927.060162037036</v>
      </c>
      <c r="C330">
        <v>90997</v>
      </c>
      <c r="D330" t="s">
        <v>563</v>
      </c>
      <c r="E330">
        <v>4487266</v>
      </c>
      <c r="F330">
        <v>2309590</v>
      </c>
      <c r="G330" t="s">
        <v>833</v>
      </c>
      <c r="H330" t="s">
        <v>618</v>
      </c>
      <c r="I330">
        <v>3</v>
      </c>
      <c r="J330" t="b">
        <v>1</v>
      </c>
      <c r="K330">
        <v>1.0526315789473684E-2</v>
      </c>
      <c r="L330">
        <v>2309591</v>
      </c>
      <c r="M330" t="s">
        <v>834</v>
      </c>
      <c r="N330">
        <v>285</v>
      </c>
      <c r="O330">
        <v>285</v>
      </c>
      <c r="P330"/>
      <c r="Q330">
        <v>134975</v>
      </c>
      <c r="R330">
        <v>1</v>
      </c>
      <c r="S330" t="s">
        <v>40</v>
      </c>
      <c r="T330">
        <v>261</v>
      </c>
      <c r="W330"/>
      <c r="Y330" t="s">
        <v>377</v>
      </c>
      <c r="Z330" t="s">
        <v>378</v>
      </c>
      <c r="AA330" t="s">
        <v>379</v>
      </c>
      <c r="AB330" t="s">
        <v>835</v>
      </c>
      <c r="AC330" t="s">
        <v>41</v>
      </c>
      <c r="AD330" t="s">
        <v>41</v>
      </c>
      <c r="AE330" t="s">
        <v>41</v>
      </c>
      <c r="AF330" t="s">
        <v>41</v>
      </c>
      <c r="AK330"/>
    </row>
    <row r="331" spans="1:37" x14ac:dyDescent="0.25">
      <c r="A331" t="s">
        <v>37</v>
      </c>
      <c r="B331">
        <v>45927.060902777775</v>
      </c>
      <c r="C331">
        <v>90997</v>
      </c>
      <c r="D331" t="s">
        <v>563</v>
      </c>
      <c r="E331">
        <v>4487266</v>
      </c>
      <c r="F331">
        <v>2309590</v>
      </c>
      <c r="G331" t="s">
        <v>833</v>
      </c>
      <c r="H331" t="s">
        <v>618</v>
      </c>
      <c r="I331">
        <v>3</v>
      </c>
      <c r="J331" t="b">
        <v>1</v>
      </c>
      <c r="K331">
        <v>1.935483870967742E-2</v>
      </c>
      <c r="L331">
        <v>2309591</v>
      </c>
      <c r="M331" t="s">
        <v>834</v>
      </c>
      <c r="N331">
        <v>155</v>
      </c>
      <c r="O331">
        <v>155</v>
      </c>
      <c r="P331"/>
      <c r="Q331">
        <v>134975</v>
      </c>
      <c r="R331">
        <v>1</v>
      </c>
      <c r="S331" t="s">
        <v>40</v>
      </c>
      <c r="T331">
        <v>261</v>
      </c>
      <c r="W331"/>
      <c r="Y331" t="s">
        <v>377</v>
      </c>
      <c r="Z331" t="s">
        <v>378</v>
      </c>
      <c r="AA331" t="s">
        <v>379</v>
      </c>
      <c r="AB331" t="s">
        <v>728</v>
      </c>
      <c r="AC331" t="s">
        <v>41</v>
      </c>
      <c r="AD331" t="s">
        <v>41</v>
      </c>
      <c r="AE331" t="s">
        <v>41</v>
      </c>
      <c r="AF331" t="s">
        <v>41</v>
      </c>
      <c r="AK331"/>
    </row>
    <row r="332" spans="1:37" x14ac:dyDescent="0.25">
      <c r="A332" t="s">
        <v>43</v>
      </c>
      <c r="B332">
        <v>45927.208518518521</v>
      </c>
      <c r="C332">
        <v>92298</v>
      </c>
      <c r="D332" t="s">
        <v>563</v>
      </c>
      <c r="E332">
        <v>4496544</v>
      </c>
      <c r="F332">
        <v>2301366</v>
      </c>
      <c r="G332" t="s">
        <v>397</v>
      </c>
      <c r="H332" t="s">
        <v>740</v>
      </c>
      <c r="I332">
        <v>14</v>
      </c>
      <c r="J332" t="b">
        <v>1</v>
      </c>
      <c r="K332">
        <v>1.75</v>
      </c>
      <c r="L332">
        <v>2301367</v>
      </c>
      <c r="M332" t="s">
        <v>399</v>
      </c>
      <c r="N332">
        <v>8</v>
      </c>
      <c r="O332">
        <v>8</v>
      </c>
      <c r="P332"/>
      <c r="Q332">
        <v>155687</v>
      </c>
      <c r="R332">
        <v>2</v>
      </c>
      <c r="S332" t="s">
        <v>40</v>
      </c>
      <c r="T332">
        <v>261</v>
      </c>
      <c r="U332">
        <v>147664</v>
      </c>
      <c r="V332">
        <v>48</v>
      </c>
      <c r="W332" t="s">
        <v>40</v>
      </c>
      <c r="X332">
        <v>261</v>
      </c>
      <c r="Y332" t="s">
        <v>377</v>
      </c>
      <c r="Z332" t="s">
        <v>378</v>
      </c>
      <c r="AA332" t="s">
        <v>384</v>
      </c>
      <c r="AB332" t="s">
        <v>384</v>
      </c>
      <c r="AC332" t="s">
        <v>41</v>
      </c>
      <c r="AD332" t="s">
        <v>41</v>
      </c>
      <c r="AE332" t="s">
        <v>41</v>
      </c>
      <c r="AF332" t="s">
        <v>41</v>
      </c>
      <c r="AK332"/>
    </row>
    <row r="333" spans="1:37" x14ac:dyDescent="0.25">
      <c r="A333" t="s">
        <v>48</v>
      </c>
      <c r="B333">
        <v>45927.361932870372</v>
      </c>
      <c r="C333">
        <v>91618</v>
      </c>
      <c r="D333" t="s">
        <v>401</v>
      </c>
      <c r="E333">
        <v>4497858</v>
      </c>
      <c r="F333">
        <v>141267</v>
      </c>
      <c r="G333" t="s">
        <v>759</v>
      </c>
      <c r="H333" t="s">
        <v>803</v>
      </c>
      <c r="I333">
        <v>5</v>
      </c>
      <c r="J333" t="b">
        <v>1</v>
      </c>
      <c r="K333">
        <v>2.2727272727272728E-2</v>
      </c>
      <c r="L333">
        <v>141268</v>
      </c>
      <c r="M333" t="s">
        <v>760</v>
      </c>
      <c r="N333">
        <v>220</v>
      </c>
      <c r="O333">
        <v>0</v>
      </c>
      <c r="P333"/>
      <c r="Q333">
        <v>134975</v>
      </c>
      <c r="R333">
        <v>2</v>
      </c>
      <c r="S333" t="s">
        <v>40</v>
      </c>
      <c r="T333">
        <v>261</v>
      </c>
      <c r="W333"/>
      <c r="Y333" t="s">
        <v>377</v>
      </c>
      <c r="Z333" t="s">
        <v>378</v>
      </c>
      <c r="AA333" t="s">
        <v>384</v>
      </c>
      <c r="AB333" t="s">
        <v>573</v>
      </c>
      <c r="AC333" t="s">
        <v>41</v>
      </c>
      <c r="AD333" t="s">
        <v>41</v>
      </c>
      <c r="AE333" t="s">
        <v>41</v>
      </c>
      <c r="AF333" t="s">
        <v>41</v>
      </c>
      <c r="AK333"/>
    </row>
    <row r="334" spans="1:37" x14ac:dyDescent="0.25">
      <c r="A334" t="s">
        <v>47</v>
      </c>
      <c r="B334">
        <v>45927.632604166669</v>
      </c>
      <c r="C334">
        <v>92493</v>
      </c>
      <c r="D334" t="s">
        <v>401</v>
      </c>
      <c r="E334">
        <v>4496697</v>
      </c>
      <c r="F334">
        <v>2104732</v>
      </c>
      <c r="G334" t="s">
        <v>836</v>
      </c>
      <c r="H334" t="s">
        <v>582</v>
      </c>
      <c r="I334">
        <v>49</v>
      </c>
      <c r="J334" t="b">
        <v>1</v>
      </c>
      <c r="K334">
        <v>0.40833333333333333</v>
      </c>
      <c r="L334">
        <v>2106056</v>
      </c>
      <c r="M334" t="s">
        <v>837</v>
      </c>
      <c r="N334">
        <v>120</v>
      </c>
      <c r="O334">
        <v>102</v>
      </c>
      <c r="P334"/>
      <c r="Q334">
        <v>134976</v>
      </c>
      <c r="R334">
        <v>1</v>
      </c>
      <c r="S334" t="s">
        <v>40</v>
      </c>
      <c r="T334">
        <v>261</v>
      </c>
      <c r="W334"/>
      <c r="Y334" t="s">
        <v>377</v>
      </c>
      <c r="Z334" t="s">
        <v>378</v>
      </c>
      <c r="AA334" t="s">
        <v>379</v>
      </c>
      <c r="AB334" t="s">
        <v>586</v>
      </c>
      <c r="AC334" t="s">
        <v>41</v>
      </c>
      <c r="AD334" t="s">
        <v>41</v>
      </c>
      <c r="AE334" t="s">
        <v>41</v>
      </c>
      <c r="AF334" t="s">
        <v>41</v>
      </c>
      <c r="AK334"/>
    </row>
    <row r="335" spans="1:37" x14ac:dyDescent="0.25">
      <c r="A335" t="s">
        <v>37</v>
      </c>
      <c r="B335">
        <v>45927.689328703702</v>
      </c>
      <c r="C335">
        <v>90251</v>
      </c>
      <c r="D335" t="s">
        <v>401</v>
      </c>
      <c r="E335">
        <v>4496415</v>
      </c>
      <c r="F335">
        <v>2117549</v>
      </c>
      <c r="G335" t="s">
        <v>838</v>
      </c>
      <c r="H335" t="s">
        <v>582</v>
      </c>
      <c r="I335">
        <v>10</v>
      </c>
      <c r="J335" t="b">
        <v>1</v>
      </c>
      <c r="K335">
        <v>3.2679738562091505E-2</v>
      </c>
      <c r="L335">
        <v>2117549</v>
      </c>
      <c r="M335" t="s">
        <v>838</v>
      </c>
      <c r="N335">
        <v>306</v>
      </c>
      <c r="O335">
        <v>306</v>
      </c>
      <c r="P335"/>
      <c r="Q335">
        <v>134976</v>
      </c>
      <c r="R335">
        <v>2</v>
      </c>
      <c r="S335" t="s">
        <v>40</v>
      </c>
      <c r="T335">
        <v>261</v>
      </c>
      <c r="W335"/>
      <c r="Y335" t="s">
        <v>377</v>
      </c>
      <c r="Z335" t="s">
        <v>378</v>
      </c>
      <c r="AA335" t="s">
        <v>379</v>
      </c>
      <c r="AB335" t="s">
        <v>839</v>
      </c>
      <c r="AC335" t="s">
        <v>379</v>
      </c>
      <c r="AD335" t="s">
        <v>840</v>
      </c>
      <c r="AE335" t="s">
        <v>41</v>
      </c>
      <c r="AF335" t="s">
        <v>41</v>
      </c>
      <c r="AK335"/>
    </row>
    <row r="336" spans="1:37" x14ac:dyDescent="0.25">
      <c r="A336" t="s">
        <v>38</v>
      </c>
      <c r="B336">
        <v>45927.699618055558</v>
      </c>
      <c r="C336">
        <v>92263</v>
      </c>
      <c r="D336" t="s">
        <v>401</v>
      </c>
      <c r="E336">
        <v>4494621</v>
      </c>
      <c r="F336">
        <v>2106235</v>
      </c>
      <c r="G336" t="s">
        <v>828</v>
      </c>
      <c r="H336" t="s">
        <v>578</v>
      </c>
      <c r="I336">
        <v>10</v>
      </c>
      <c r="J336" t="b">
        <v>1</v>
      </c>
      <c r="K336">
        <v>0.83333333333333337</v>
      </c>
      <c r="L336">
        <v>2106235</v>
      </c>
      <c r="M336" t="s">
        <v>828</v>
      </c>
      <c r="N336">
        <v>12</v>
      </c>
      <c r="O336">
        <v>12</v>
      </c>
      <c r="P336"/>
      <c r="Q336">
        <v>134905</v>
      </c>
      <c r="R336">
        <v>2</v>
      </c>
      <c r="S336" t="s">
        <v>40</v>
      </c>
      <c r="T336">
        <v>261</v>
      </c>
      <c r="U336">
        <v>147664</v>
      </c>
      <c r="V336">
        <v>48</v>
      </c>
      <c r="W336" t="s">
        <v>40</v>
      </c>
      <c r="X336">
        <v>261</v>
      </c>
      <c r="Y336" t="s">
        <v>377</v>
      </c>
      <c r="Z336" t="s">
        <v>378</v>
      </c>
      <c r="AA336" t="s">
        <v>379</v>
      </c>
      <c r="AB336" t="s">
        <v>400</v>
      </c>
      <c r="AC336" t="s">
        <v>379</v>
      </c>
      <c r="AD336" t="s">
        <v>384</v>
      </c>
      <c r="AE336" t="s">
        <v>41</v>
      </c>
      <c r="AF336" t="s">
        <v>41</v>
      </c>
      <c r="AK336"/>
    </row>
    <row r="337" spans="1:38" x14ac:dyDescent="0.25">
      <c r="A337" t="s">
        <v>38</v>
      </c>
      <c r="B337">
        <v>45927.703692129631</v>
      </c>
      <c r="C337">
        <v>92263</v>
      </c>
      <c r="D337" t="s">
        <v>401</v>
      </c>
      <c r="E337">
        <v>4494625</v>
      </c>
      <c r="F337">
        <v>2104890</v>
      </c>
      <c r="G337" t="s">
        <v>827</v>
      </c>
      <c r="H337" t="s">
        <v>578</v>
      </c>
      <c r="I337">
        <v>10</v>
      </c>
      <c r="J337" t="b">
        <v>1</v>
      </c>
      <c r="K337">
        <v>0.83333333333333337</v>
      </c>
      <c r="L337">
        <v>2106235</v>
      </c>
      <c r="M337" t="s">
        <v>828</v>
      </c>
      <c r="N337">
        <v>12</v>
      </c>
      <c r="O337">
        <v>12</v>
      </c>
      <c r="P337"/>
      <c r="Q337">
        <v>134905</v>
      </c>
      <c r="R337">
        <v>2</v>
      </c>
      <c r="S337" t="s">
        <v>40</v>
      </c>
      <c r="T337">
        <v>261</v>
      </c>
      <c r="U337">
        <v>147664</v>
      </c>
      <c r="V337">
        <v>48</v>
      </c>
      <c r="W337" t="s">
        <v>40</v>
      </c>
      <c r="X337">
        <v>261</v>
      </c>
      <c r="Y337" t="s">
        <v>377</v>
      </c>
      <c r="Z337" t="s">
        <v>378</v>
      </c>
      <c r="AA337" t="s">
        <v>41</v>
      </c>
      <c r="AB337" t="s">
        <v>41</v>
      </c>
      <c r="AC337" t="s">
        <v>41</v>
      </c>
      <c r="AD337" t="s">
        <v>41</v>
      </c>
      <c r="AE337" t="s">
        <v>41</v>
      </c>
      <c r="AF337" t="s">
        <v>41</v>
      </c>
      <c r="AK337"/>
    </row>
    <row r="338" spans="1:38" x14ac:dyDescent="0.25">
      <c r="A338" t="s">
        <v>39</v>
      </c>
      <c r="B338">
        <v>45927.949282407404</v>
      </c>
      <c r="C338">
        <v>91614</v>
      </c>
      <c r="D338" t="s">
        <v>745</v>
      </c>
      <c r="E338">
        <v>4497659</v>
      </c>
      <c r="F338">
        <v>141257</v>
      </c>
      <c r="G338" t="s">
        <v>570</v>
      </c>
      <c r="H338" t="s">
        <v>824</v>
      </c>
      <c r="I338">
        <v>10</v>
      </c>
      <c r="J338" t="b">
        <v>1</v>
      </c>
      <c r="K338">
        <v>5.1020408163265307E-2</v>
      </c>
      <c r="L338">
        <v>141258</v>
      </c>
      <c r="M338" t="s">
        <v>571</v>
      </c>
      <c r="N338">
        <v>196</v>
      </c>
      <c r="O338">
        <v>114</v>
      </c>
      <c r="P338"/>
      <c r="Q338">
        <v>134975</v>
      </c>
      <c r="R338">
        <v>2</v>
      </c>
      <c r="S338" t="s">
        <v>40</v>
      </c>
      <c r="T338">
        <v>261</v>
      </c>
      <c r="W338"/>
      <c r="Y338" t="s">
        <v>377</v>
      </c>
      <c r="Z338" t="s">
        <v>378</v>
      </c>
      <c r="AA338" t="s">
        <v>379</v>
      </c>
      <c r="AB338" t="s">
        <v>772</v>
      </c>
      <c r="AC338" t="s">
        <v>379</v>
      </c>
      <c r="AD338" t="s">
        <v>502</v>
      </c>
      <c r="AE338" t="s">
        <v>41</v>
      </c>
      <c r="AF338" t="s">
        <v>41</v>
      </c>
      <c r="AK338"/>
    </row>
    <row r="339" spans="1:38" x14ac:dyDescent="0.25">
      <c r="A339" t="s">
        <v>47</v>
      </c>
      <c r="B339">
        <v>45928.017581018517</v>
      </c>
      <c r="C339">
        <v>92369</v>
      </c>
      <c r="D339" t="s">
        <v>745</v>
      </c>
      <c r="E339">
        <v>4497858</v>
      </c>
      <c r="F339">
        <v>141267</v>
      </c>
      <c r="G339" t="s">
        <v>759</v>
      </c>
      <c r="H339" t="s">
        <v>819</v>
      </c>
      <c r="I339">
        <v>1.5</v>
      </c>
      <c r="J339" t="b">
        <v>1</v>
      </c>
      <c r="K339">
        <v>6.6666666666666671E-3</v>
      </c>
      <c r="L339">
        <v>141268</v>
      </c>
      <c r="M339" t="s">
        <v>760</v>
      </c>
      <c r="N339">
        <v>225</v>
      </c>
      <c r="O339">
        <v>225</v>
      </c>
      <c r="P339"/>
      <c r="Q339">
        <v>134974</v>
      </c>
      <c r="R339">
        <v>1</v>
      </c>
      <c r="S339" t="s">
        <v>40</v>
      </c>
      <c r="T339">
        <v>261</v>
      </c>
      <c r="V339">
        <v>0</v>
      </c>
      <c r="W339"/>
      <c r="Y339" t="s">
        <v>377</v>
      </c>
      <c r="Z339" t="s">
        <v>378</v>
      </c>
      <c r="AA339" t="s">
        <v>379</v>
      </c>
      <c r="AB339" t="s">
        <v>772</v>
      </c>
      <c r="AC339" t="s">
        <v>379</v>
      </c>
      <c r="AD339" t="s">
        <v>841</v>
      </c>
      <c r="AE339" t="s">
        <v>41</v>
      </c>
      <c r="AF339" t="s">
        <v>41</v>
      </c>
      <c r="AI339">
        <v>134975</v>
      </c>
      <c r="AJ339">
        <v>1</v>
      </c>
      <c r="AK339" t="s">
        <v>40</v>
      </c>
      <c r="AL339">
        <v>261</v>
      </c>
    </row>
    <row r="340" spans="1:38" x14ac:dyDescent="0.25">
      <c r="A340" t="s">
        <v>42</v>
      </c>
      <c r="B340">
        <v>45928.037523148145</v>
      </c>
      <c r="C340">
        <v>92172</v>
      </c>
      <c r="D340" t="s">
        <v>745</v>
      </c>
      <c r="E340">
        <v>4498499</v>
      </c>
      <c r="F340">
        <v>2104881</v>
      </c>
      <c r="G340" t="s">
        <v>600</v>
      </c>
      <c r="H340" t="s">
        <v>842</v>
      </c>
      <c r="I340">
        <v>10</v>
      </c>
      <c r="J340" t="b">
        <v>1</v>
      </c>
      <c r="K340">
        <v>2.5</v>
      </c>
      <c r="L340">
        <v>2106201</v>
      </c>
      <c r="M340" t="s">
        <v>602</v>
      </c>
      <c r="N340">
        <v>4</v>
      </c>
      <c r="O340">
        <v>4</v>
      </c>
      <c r="P340"/>
      <c r="Q340">
        <v>134905</v>
      </c>
      <c r="R340">
        <v>1</v>
      </c>
      <c r="S340" t="s">
        <v>40</v>
      </c>
      <c r="T340">
        <v>261</v>
      </c>
      <c r="U340">
        <v>147664</v>
      </c>
      <c r="V340">
        <v>24</v>
      </c>
      <c r="W340" t="s">
        <v>40</v>
      </c>
      <c r="X340">
        <v>261</v>
      </c>
      <c r="Y340" t="s">
        <v>377</v>
      </c>
      <c r="Z340" t="s">
        <v>378</v>
      </c>
      <c r="AA340" t="s">
        <v>379</v>
      </c>
      <c r="AB340" t="s">
        <v>384</v>
      </c>
      <c r="AC340" t="s">
        <v>41</v>
      </c>
      <c r="AD340" t="s">
        <v>41</v>
      </c>
      <c r="AE340" t="s">
        <v>41</v>
      </c>
      <c r="AF340" t="s">
        <v>41</v>
      </c>
      <c r="AK340"/>
    </row>
    <row r="341" spans="1:38" x14ac:dyDescent="0.25">
      <c r="A341" t="s">
        <v>42</v>
      </c>
      <c r="B341">
        <v>45928.038993055554</v>
      </c>
      <c r="C341">
        <v>92172</v>
      </c>
      <c r="D341" t="s">
        <v>745</v>
      </c>
      <c r="E341">
        <v>4498498</v>
      </c>
      <c r="F341">
        <v>2104881</v>
      </c>
      <c r="G341" t="s">
        <v>600</v>
      </c>
      <c r="H341" t="s">
        <v>842</v>
      </c>
      <c r="I341">
        <v>10</v>
      </c>
      <c r="J341" t="b">
        <v>1</v>
      </c>
      <c r="K341">
        <v>2</v>
      </c>
      <c r="L341">
        <v>2106201</v>
      </c>
      <c r="M341" t="s">
        <v>602</v>
      </c>
      <c r="N341">
        <v>5</v>
      </c>
      <c r="O341">
        <v>5</v>
      </c>
      <c r="P341"/>
      <c r="Q341">
        <v>134905</v>
      </c>
      <c r="R341">
        <v>1</v>
      </c>
      <c r="S341" t="s">
        <v>40</v>
      </c>
      <c r="T341">
        <v>261</v>
      </c>
      <c r="U341">
        <v>147664</v>
      </c>
      <c r="V341">
        <v>24</v>
      </c>
      <c r="W341" t="s">
        <v>40</v>
      </c>
      <c r="X341">
        <v>261</v>
      </c>
      <c r="Y341" t="s">
        <v>377</v>
      </c>
      <c r="Z341" t="s">
        <v>378</v>
      </c>
      <c r="AA341" t="s">
        <v>379</v>
      </c>
      <c r="AB341" t="s">
        <v>559</v>
      </c>
      <c r="AC341" t="s">
        <v>41</v>
      </c>
      <c r="AD341" t="s">
        <v>41</v>
      </c>
      <c r="AE341" t="s">
        <v>41</v>
      </c>
      <c r="AF341" t="s">
        <v>41</v>
      </c>
      <c r="AK341"/>
    </row>
    <row r="342" spans="1:38" x14ac:dyDescent="0.25">
      <c r="A342" t="s">
        <v>37</v>
      </c>
      <c r="B342">
        <v>45928.378194444442</v>
      </c>
      <c r="C342">
        <v>92344</v>
      </c>
      <c r="D342" t="s">
        <v>459</v>
      </c>
      <c r="E342">
        <v>4492491</v>
      </c>
      <c r="F342">
        <v>2304754</v>
      </c>
      <c r="G342" t="s">
        <v>381</v>
      </c>
      <c r="H342" t="s">
        <v>720</v>
      </c>
      <c r="I342">
        <v>14</v>
      </c>
      <c r="J342" t="b">
        <v>1</v>
      </c>
      <c r="K342">
        <v>1.75</v>
      </c>
      <c r="L342">
        <v>2304755</v>
      </c>
      <c r="M342" t="s">
        <v>383</v>
      </c>
      <c r="N342">
        <v>8</v>
      </c>
      <c r="O342">
        <v>8</v>
      </c>
      <c r="P342"/>
      <c r="Q342">
        <v>134905</v>
      </c>
      <c r="R342">
        <v>2</v>
      </c>
      <c r="S342" t="s">
        <v>40</v>
      </c>
      <c r="T342">
        <v>261</v>
      </c>
      <c r="U342">
        <v>147664</v>
      </c>
      <c r="V342">
        <v>48</v>
      </c>
      <c r="W342" t="s">
        <v>40</v>
      </c>
      <c r="X342">
        <v>261</v>
      </c>
      <c r="Y342" t="s">
        <v>377</v>
      </c>
      <c r="Z342" t="s">
        <v>378</v>
      </c>
      <c r="AA342" t="s">
        <v>384</v>
      </c>
      <c r="AB342" t="s">
        <v>384</v>
      </c>
      <c r="AC342" t="s">
        <v>41</v>
      </c>
      <c r="AD342" t="s">
        <v>41</v>
      </c>
      <c r="AE342" t="s">
        <v>41</v>
      </c>
      <c r="AF342" t="s">
        <v>41</v>
      </c>
      <c r="AK342"/>
    </row>
    <row r="343" spans="1:38" x14ac:dyDescent="0.25">
      <c r="A343" t="s">
        <v>38</v>
      </c>
      <c r="B343">
        <v>45928.6637962963</v>
      </c>
      <c r="C343">
        <v>92264</v>
      </c>
      <c r="D343" t="s">
        <v>459</v>
      </c>
      <c r="E343">
        <v>4494626</v>
      </c>
      <c r="F343">
        <v>2104890</v>
      </c>
      <c r="G343" t="s">
        <v>827</v>
      </c>
      <c r="H343" t="s">
        <v>522</v>
      </c>
      <c r="I343">
        <v>10</v>
      </c>
      <c r="J343" t="b">
        <v>1</v>
      </c>
      <c r="K343">
        <v>0.83333333333333337</v>
      </c>
      <c r="L343">
        <v>2106235</v>
      </c>
      <c r="M343" t="s">
        <v>828</v>
      </c>
      <c r="N343">
        <v>12</v>
      </c>
      <c r="O343">
        <v>12</v>
      </c>
      <c r="P343"/>
      <c r="Q343">
        <v>2301936</v>
      </c>
      <c r="R343">
        <v>2</v>
      </c>
      <c r="S343" t="s">
        <v>40</v>
      </c>
      <c r="T343">
        <v>261</v>
      </c>
      <c r="U343">
        <v>147664</v>
      </c>
      <c r="V343">
        <v>48</v>
      </c>
      <c r="W343" t="s">
        <v>40</v>
      </c>
      <c r="X343">
        <v>261</v>
      </c>
      <c r="Y343" t="s">
        <v>377</v>
      </c>
      <c r="Z343" t="s">
        <v>378</v>
      </c>
      <c r="AA343" t="s">
        <v>379</v>
      </c>
      <c r="AB343" t="s">
        <v>400</v>
      </c>
      <c r="AC343" t="s">
        <v>379</v>
      </c>
      <c r="AD343" t="s">
        <v>384</v>
      </c>
      <c r="AE343" t="s">
        <v>41</v>
      </c>
      <c r="AF343" t="s">
        <v>41</v>
      </c>
      <c r="AK343"/>
    </row>
    <row r="344" spans="1:38" x14ac:dyDescent="0.25">
      <c r="A344" t="s">
        <v>39</v>
      </c>
      <c r="B344">
        <v>45928.801574074074</v>
      </c>
      <c r="C344">
        <v>90253</v>
      </c>
      <c r="D344" t="s">
        <v>843</v>
      </c>
      <c r="E344">
        <v>4497858</v>
      </c>
      <c r="F344">
        <v>141267</v>
      </c>
      <c r="G344" t="s">
        <v>759</v>
      </c>
      <c r="H344" t="s">
        <v>819</v>
      </c>
      <c r="I344">
        <v>10</v>
      </c>
      <c r="J344" t="b">
        <v>1</v>
      </c>
      <c r="K344">
        <v>5.3191489361702128E-2</v>
      </c>
      <c r="L344">
        <v>141268</v>
      </c>
      <c r="M344" t="s">
        <v>760</v>
      </c>
      <c r="N344">
        <v>188</v>
      </c>
      <c r="O344">
        <v>188</v>
      </c>
      <c r="P344"/>
      <c r="Q344">
        <v>134977</v>
      </c>
      <c r="R344">
        <v>2</v>
      </c>
      <c r="S344" t="s">
        <v>40</v>
      </c>
      <c r="T344">
        <v>261</v>
      </c>
      <c r="W344"/>
      <c r="Y344" t="s">
        <v>377</v>
      </c>
      <c r="Z344" t="s">
        <v>378</v>
      </c>
      <c r="AA344" t="s">
        <v>384</v>
      </c>
      <c r="AB344" t="s">
        <v>844</v>
      </c>
      <c r="AC344" t="s">
        <v>41</v>
      </c>
      <c r="AD344" t="s">
        <v>41</v>
      </c>
      <c r="AE344" t="s">
        <v>41</v>
      </c>
      <c r="AF344" t="s">
        <v>41</v>
      </c>
      <c r="AK344"/>
    </row>
    <row r="345" spans="1:38" x14ac:dyDescent="0.25">
      <c r="A345" t="s">
        <v>42</v>
      </c>
      <c r="B345">
        <v>45928.820775462962</v>
      </c>
      <c r="C345">
        <v>90254</v>
      </c>
      <c r="D345" t="s">
        <v>843</v>
      </c>
      <c r="E345">
        <v>4497859</v>
      </c>
      <c r="F345">
        <v>141267</v>
      </c>
      <c r="G345" t="s">
        <v>759</v>
      </c>
      <c r="H345" t="s">
        <v>787</v>
      </c>
      <c r="I345">
        <v>10</v>
      </c>
      <c r="J345" t="b">
        <v>1</v>
      </c>
      <c r="K345">
        <v>4.3290043290043288E-2</v>
      </c>
      <c r="L345">
        <v>141268</v>
      </c>
      <c r="M345" t="s">
        <v>760</v>
      </c>
      <c r="N345">
        <v>231</v>
      </c>
      <c r="O345">
        <v>231</v>
      </c>
      <c r="P345"/>
      <c r="Q345">
        <v>134977</v>
      </c>
      <c r="R345">
        <v>2</v>
      </c>
      <c r="S345" t="s">
        <v>40</v>
      </c>
      <c r="T345">
        <v>261</v>
      </c>
      <c r="W345"/>
      <c r="Y345" t="s">
        <v>377</v>
      </c>
      <c r="Z345" t="s">
        <v>378</v>
      </c>
      <c r="AA345" t="s">
        <v>379</v>
      </c>
      <c r="AB345" t="s">
        <v>561</v>
      </c>
      <c r="AC345" t="s">
        <v>379</v>
      </c>
      <c r="AD345" t="s">
        <v>845</v>
      </c>
      <c r="AE345" t="s">
        <v>41</v>
      </c>
      <c r="AF345" t="s">
        <v>41</v>
      </c>
      <c r="AK345"/>
    </row>
    <row r="346" spans="1:38" x14ac:dyDescent="0.25">
      <c r="A346" t="s">
        <v>47</v>
      </c>
      <c r="B346">
        <v>45928.946481481478</v>
      </c>
      <c r="C346">
        <v>92379</v>
      </c>
      <c r="D346" t="s">
        <v>843</v>
      </c>
      <c r="E346">
        <v>4496411</v>
      </c>
      <c r="F346">
        <v>2116466</v>
      </c>
      <c r="G346" t="s">
        <v>846</v>
      </c>
      <c r="H346" t="s">
        <v>582</v>
      </c>
      <c r="I346">
        <v>5</v>
      </c>
      <c r="J346" t="b">
        <v>1</v>
      </c>
      <c r="K346">
        <v>5.4945054945054944E-2</v>
      </c>
      <c r="L346">
        <v>2117623</v>
      </c>
      <c r="M346" t="s">
        <v>847</v>
      </c>
      <c r="N346">
        <v>91</v>
      </c>
      <c r="O346">
        <v>91</v>
      </c>
      <c r="P346"/>
      <c r="Q346">
        <v>134974</v>
      </c>
      <c r="R346">
        <v>1</v>
      </c>
      <c r="S346" t="s">
        <v>40</v>
      </c>
      <c r="T346">
        <v>261</v>
      </c>
      <c r="W346"/>
      <c r="Y346" t="s">
        <v>377</v>
      </c>
      <c r="Z346" t="s">
        <v>378</v>
      </c>
      <c r="AA346" t="s">
        <v>379</v>
      </c>
      <c r="AB346" t="s">
        <v>604</v>
      </c>
      <c r="AC346" t="s">
        <v>41</v>
      </c>
      <c r="AD346" t="s">
        <v>41</v>
      </c>
      <c r="AE346" t="s">
        <v>41</v>
      </c>
      <c r="AF346" t="s">
        <v>41</v>
      </c>
      <c r="AK346"/>
    </row>
    <row r="347" spans="1:38" x14ac:dyDescent="0.25">
      <c r="A347" t="s">
        <v>47</v>
      </c>
      <c r="B347">
        <v>45928.947604166664</v>
      </c>
      <c r="C347">
        <v>92376</v>
      </c>
      <c r="D347" t="s">
        <v>843</v>
      </c>
      <c r="E347">
        <v>4495396</v>
      </c>
      <c r="F347">
        <v>2104980</v>
      </c>
      <c r="G347" t="s">
        <v>848</v>
      </c>
      <c r="H347" t="s">
        <v>582</v>
      </c>
      <c r="I347">
        <v>5</v>
      </c>
      <c r="J347" t="b">
        <v>0</v>
      </c>
      <c r="K347">
        <v>3.968253968253968E-2</v>
      </c>
      <c r="L347">
        <v>2106313</v>
      </c>
      <c r="M347" t="s">
        <v>849</v>
      </c>
      <c r="N347">
        <v>126</v>
      </c>
      <c r="O347">
        <v>126</v>
      </c>
      <c r="P347"/>
      <c r="Q347">
        <v>134974</v>
      </c>
      <c r="R347">
        <v>1</v>
      </c>
      <c r="S347" t="s">
        <v>40</v>
      </c>
      <c r="T347">
        <v>261</v>
      </c>
      <c r="W347"/>
      <c r="Y347" t="s">
        <v>377</v>
      </c>
      <c r="Z347" t="s">
        <v>378</v>
      </c>
      <c r="AA347" t="s">
        <v>379</v>
      </c>
      <c r="AB347" t="s">
        <v>840</v>
      </c>
      <c r="AC347" t="s">
        <v>41</v>
      </c>
      <c r="AD347" t="s">
        <v>41</v>
      </c>
      <c r="AE347" t="s">
        <v>41</v>
      </c>
      <c r="AF347" t="s">
        <v>41</v>
      </c>
      <c r="AK347"/>
    </row>
    <row r="348" spans="1:38" x14ac:dyDescent="0.25">
      <c r="A348" t="s">
        <v>37</v>
      </c>
      <c r="B348">
        <v>45928.954143518517</v>
      </c>
      <c r="C348">
        <v>90255</v>
      </c>
      <c r="D348" t="s">
        <v>843</v>
      </c>
      <c r="E348">
        <v>4495480</v>
      </c>
      <c r="F348">
        <v>2308127</v>
      </c>
      <c r="G348" t="s">
        <v>850</v>
      </c>
      <c r="H348" t="s">
        <v>618</v>
      </c>
      <c r="I348">
        <v>5</v>
      </c>
      <c r="J348" t="b">
        <v>1</v>
      </c>
      <c r="K348">
        <v>4.6296296296296294E-2</v>
      </c>
      <c r="L348">
        <v>2308128</v>
      </c>
      <c r="M348" t="s">
        <v>851</v>
      </c>
      <c r="N348">
        <v>108</v>
      </c>
      <c r="O348">
        <v>108</v>
      </c>
      <c r="P348"/>
      <c r="Q348">
        <v>134908</v>
      </c>
      <c r="R348">
        <v>1</v>
      </c>
      <c r="S348" t="s">
        <v>40</v>
      </c>
      <c r="T348">
        <v>261</v>
      </c>
      <c r="U348">
        <v>147664</v>
      </c>
      <c r="V348">
        <v>24</v>
      </c>
      <c r="W348" t="s">
        <v>40</v>
      </c>
      <c r="X348">
        <v>261</v>
      </c>
      <c r="Y348" t="s">
        <v>377</v>
      </c>
      <c r="Z348" t="s">
        <v>378</v>
      </c>
      <c r="AA348" t="s">
        <v>379</v>
      </c>
      <c r="AB348" t="s">
        <v>792</v>
      </c>
      <c r="AC348" t="s">
        <v>41</v>
      </c>
      <c r="AD348" t="s">
        <v>41</v>
      </c>
      <c r="AE348" t="s">
        <v>41</v>
      </c>
      <c r="AF348" t="s">
        <v>41</v>
      </c>
      <c r="AK348"/>
    </row>
    <row r="349" spans="1:38" x14ac:dyDescent="0.25">
      <c r="A349" t="s">
        <v>48</v>
      </c>
      <c r="B349">
        <v>45929.182476851849</v>
      </c>
      <c r="C349">
        <v>92345</v>
      </c>
      <c r="D349" t="s">
        <v>843</v>
      </c>
      <c r="E349">
        <v>4492492</v>
      </c>
      <c r="F349">
        <v>2304754</v>
      </c>
      <c r="G349" t="s">
        <v>381</v>
      </c>
      <c r="H349" t="s">
        <v>752</v>
      </c>
      <c r="I349">
        <v>14</v>
      </c>
      <c r="J349" t="b">
        <v>1</v>
      </c>
      <c r="K349">
        <v>1.75</v>
      </c>
      <c r="L349">
        <v>2304755</v>
      </c>
      <c r="M349" t="s">
        <v>383</v>
      </c>
      <c r="N349">
        <v>8</v>
      </c>
      <c r="O349">
        <v>8</v>
      </c>
      <c r="P349"/>
      <c r="Q349">
        <v>134905</v>
      </c>
      <c r="R349">
        <v>2</v>
      </c>
      <c r="S349" t="s">
        <v>40</v>
      </c>
      <c r="T349">
        <v>261</v>
      </c>
      <c r="U349">
        <v>147664</v>
      </c>
      <c r="V349">
        <v>48</v>
      </c>
      <c r="W349" t="s">
        <v>40</v>
      </c>
      <c r="X349">
        <v>261</v>
      </c>
      <c r="Y349" t="s">
        <v>377</v>
      </c>
      <c r="Z349" t="s">
        <v>378</v>
      </c>
      <c r="AA349" t="s">
        <v>384</v>
      </c>
      <c r="AB349" t="s">
        <v>384</v>
      </c>
      <c r="AC349" t="s">
        <v>41</v>
      </c>
      <c r="AD349" t="s">
        <v>41</v>
      </c>
      <c r="AE349" t="s">
        <v>41</v>
      </c>
      <c r="AF349" t="s">
        <v>41</v>
      </c>
      <c r="AK349"/>
    </row>
    <row r="350" spans="1:38" x14ac:dyDescent="0.25">
      <c r="A350" t="s">
        <v>38</v>
      </c>
      <c r="B350">
        <v>45929.517418981479</v>
      </c>
      <c r="C350">
        <v>92173</v>
      </c>
      <c r="D350" t="s">
        <v>852</v>
      </c>
      <c r="E350">
        <v>4498521</v>
      </c>
      <c r="F350">
        <v>2104881</v>
      </c>
      <c r="G350" t="s">
        <v>600</v>
      </c>
      <c r="H350" t="s">
        <v>853</v>
      </c>
      <c r="I350">
        <v>5</v>
      </c>
      <c r="J350" t="b">
        <v>1</v>
      </c>
      <c r="K350">
        <v>1</v>
      </c>
      <c r="L350">
        <v>2106201</v>
      </c>
      <c r="M350" t="s">
        <v>602</v>
      </c>
      <c r="N350">
        <v>5</v>
      </c>
      <c r="O350">
        <v>5</v>
      </c>
      <c r="P350"/>
      <c r="Q350">
        <v>134905</v>
      </c>
      <c r="R350">
        <v>1</v>
      </c>
      <c r="S350" t="s">
        <v>40</v>
      </c>
      <c r="T350">
        <v>261</v>
      </c>
      <c r="U350">
        <v>147664</v>
      </c>
      <c r="V350">
        <v>24</v>
      </c>
      <c r="W350" t="s">
        <v>40</v>
      </c>
      <c r="X350">
        <v>261</v>
      </c>
      <c r="Y350" t="s">
        <v>377</v>
      </c>
      <c r="Z350" t="s">
        <v>378</v>
      </c>
      <c r="AA350" t="s">
        <v>379</v>
      </c>
      <c r="AB350" t="s">
        <v>559</v>
      </c>
      <c r="AC350" t="s">
        <v>41</v>
      </c>
      <c r="AD350" t="s">
        <v>41</v>
      </c>
      <c r="AE350" t="s">
        <v>41</v>
      </c>
      <c r="AF350" t="s">
        <v>41</v>
      </c>
      <c r="AK350"/>
    </row>
    <row r="351" spans="1:38" x14ac:dyDescent="0.25">
      <c r="A351" t="s">
        <v>38</v>
      </c>
      <c r="B351">
        <v>45929.518275462964</v>
      </c>
      <c r="C351">
        <v>92173</v>
      </c>
      <c r="D351" t="s">
        <v>852</v>
      </c>
      <c r="E351">
        <v>4498500</v>
      </c>
      <c r="F351">
        <v>2104881</v>
      </c>
      <c r="G351" t="s">
        <v>600</v>
      </c>
      <c r="H351" t="s">
        <v>853</v>
      </c>
      <c r="I351">
        <v>5</v>
      </c>
      <c r="J351" t="b">
        <v>1</v>
      </c>
      <c r="K351">
        <v>1.25</v>
      </c>
      <c r="L351">
        <v>2106201</v>
      </c>
      <c r="M351" t="s">
        <v>602</v>
      </c>
      <c r="N351">
        <v>4</v>
      </c>
      <c r="O351">
        <v>4</v>
      </c>
      <c r="P351"/>
      <c r="Q351">
        <v>134905</v>
      </c>
      <c r="R351">
        <v>1</v>
      </c>
      <c r="S351" t="s">
        <v>40</v>
      </c>
      <c r="T351">
        <v>261</v>
      </c>
      <c r="U351">
        <v>147664</v>
      </c>
      <c r="V351">
        <v>24</v>
      </c>
      <c r="W351" t="s">
        <v>40</v>
      </c>
      <c r="X351">
        <v>261</v>
      </c>
      <c r="Y351" t="s">
        <v>377</v>
      </c>
      <c r="Z351" t="s">
        <v>378</v>
      </c>
      <c r="AA351" t="s">
        <v>379</v>
      </c>
      <c r="AB351" t="s">
        <v>384</v>
      </c>
      <c r="AC351" t="s">
        <v>41</v>
      </c>
      <c r="AD351" t="s">
        <v>41</v>
      </c>
      <c r="AE351" t="s">
        <v>41</v>
      </c>
      <c r="AF351" t="s">
        <v>41</v>
      </c>
      <c r="AK351"/>
    </row>
    <row r="352" spans="1:38" x14ac:dyDescent="0.25">
      <c r="A352" t="s">
        <v>44</v>
      </c>
      <c r="B352">
        <v>45929.557812500003</v>
      </c>
      <c r="C352">
        <v>92303</v>
      </c>
      <c r="D352" t="s">
        <v>373</v>
      </c>
      <c r="E352">
        <v>4495171</v>
      </c>
      <c r="F352">
        <v>113677</v>
      </c>
      <c r="G352" t="s">
        <v>687</v>
      </c>
      <c r="H352" t="s">
        <v>626</v>
      </c>
      <c r="I352">
        <v>14</v>
      </c>
      <c r="J352" t="b">
        <v>1</v>
      </c>
      <c r="K352">
        <v>1.75</v>
      </c>
      <c r="L352">
        <v>113679</v>
      </c>
      <c r="M352" t="s">
        <v>689</v>
      </c>
      <c r="N352">
        <v>8</v>
      </c>
      <c r="O352">
        <v>5</v>
      </c>
      <c r="P352"/>
      <c r="Q352">
        <v>134905</v>
      </c>
      <c r="R352">
        <v>1</v>
      </c>
      <c r="S352" t="s">
        <v>40</v>
      </c>
      <c r="T352">
        <v>261</v>
      </c>
      <c r="U352">
        <v>147664</v>
      </c>
      <c r="V352">
        <v>48</v>
      </c>
      <c r="W352" t="s">
        <v>40</v>
      </c>
      <c r="X352">
        <v>261</v>
      </c>
      <c r="Y352" t="s">
        <v>377</v>
      </c>
      <c r="Z352" t="s">
        <v>378</v>
      </c>
      <c r="AA352" t="s">
        <v>384</v>
      </c>
      <c r="AB352" t="s">
        <v>384</v>
      </c>
      <c r="AC352" t="s">
        <v>41</v>
      </c>
      <c r="AD352" t="s">
        <v>41</v>
      </c>
      <c r="AE352" t="s">
        <v>41</v>
      </c>
      <c r="AF352" t="s">
        <v>41</v>
      </c>
      <c r="AI352">
        <v>134905</v>
      </c>
      <c r="AJ352">
        <v>1</v>
      </c>
      <c r="AK352" t="s">
        <v>40</v>
      </c>
      <c r="AL352">
        <v>261</v>
      </c>
    </row>
    <row r="353" spans="1:38" x14ac:dyDescent="0.25">
      <c r="A353" t="s">
        <v>37</v>
      </c>
      <c r="B353">
        <v>45929.59820601852</v>
      </c>
      <c r="C353">
        <v>92174</v>
      </c>
      <c r="D353" t="s">
        <v>373</v>
      </c>
      <c r="E353">
        <v>4498521</v>
      </c>
      <c r="F353">
        <v>2104881</v>
      </c>
      <c r="G353" t="s">
        <v>600</v>
      </c>
      <c r="H353" t="s">
        <v>853</v>
      </c>
      <c r="I353">
        <v>10</v>
      </c>
      <c r="J353" t="b">
        <v>1</v>
      </c>
      <c r="K353">
        <v>1.25</v>
      </c>
      <c r="L353">
        <v>2106201</v>
      </c>
      <c r="M353" t="s">
        <v>602</v>
      </c>
      <c r="N353">
        <v>8</v>
      </c>
      <c r="O353">
        <v>8</v>
      </c>
      <c r="P353"/>
      <c r="Q353">
        <v>134907</v>
      </c>
      <c r="R353">
        <v>1</v>
      </c>
      <c r="S353" t="s">
        <v>40</v>
      </c>
      <c r="T353">
        <v>261</v>
      </c>
      <c r="U353">
        <v>147664</v>
      </c>
      <c r="V353">
        <v>48</v>
      </c>
      <c r="W353" t="s">
        <v>40</v>
      </c>
      <c r="X353">
        <v>261</v>
      </c>
      <c r="Y353" t="s">
        <v>377</v>
      </c>
      <c r="Z353" t="s">
        <v>378</v>
      </c>
      <c r="AA353" t="s">
        <v>384</v>
      </c>
      <c r="AB353" t="s">
        <v>384</v>
      </c>
      <c r="AC353" t="s">
        <v>41</v>
      </c>
      <c r="AD353" t="s">
        <v>41</v>
      </c>
      <c r="AE353" t="s">
        <v>41</v>
      </c>
      <c r="AF353" t="s">
        <v>41</v>
      </c>
      <c r="AI353">
        <v>134907</v>
      </c>
      <c r="AJ353">
        <v>1</v>
      </c>
      <c r="AK353" t="s">
        <v>40</v>
      </c>
      <c r="AL353">
        <v>261</v>
      </c>
    </row>
    <row r="354" spans="1:38" x14ac:dyDescent="0.25">
      <c r="A354" t="s">
        <v>42</v>
      </c>
      <c r="B354">
        <v>45929.611666666664</v>
      </c>
      <c r="C354">
        <v>92265</v>
      </c>
      <c r="D354" t="s">
        <v>373</v>
      </c>
      <c r="E354">
        <v>4498197</v>
      </c>
      <c r="F354">
        <v>105455</v>
      </c>
      <c r="G354" t="s">
        <v>476</v>
      </c>
      <c r="H354" t="s">
        <v>776</v>
      </c>
      <c r="I354">
        <v>10</v>
      </c>
      <c r="J354" t="b">
        <v>1</v>
      </c>
      <c r="K354">
        <v>0.83333333333333337</v>
      </c>
      <c r="L354">
        <v>2106229</v>
      </c>
      <c r="M354" t="s">
        <v>477</v>
      </c>
      <c r="N354">
        <v>12</v>
      </c>
      <c r="O354">
        <v>10</v>
      </c>
      <c r="P354"/>
      <c r="Q354">
        <v>134907</v>
      </c>
      <c r="R354">
        <v>1</v>
      </c>
      <c r="S354" t="s">
        <v>40</v>
      </c>
      <c r="T354">
        <v>261</v>
      </c>
      <c r="U354">
        <v>147664</v>
      </c>
      <c r="V354">
        <v>48</v>
      </c>
      <c r="W354" t="s">
        <v>40</v>
      </c>
      <c r="X354">
        <v>261</v>
      </c>
      <c r="Y354" t="s">
        <v>377</v>
      </c>
      <c r="Z354" t="s">
        <v>378</v>
      </c>
      <c r="AA354" t="s">
        <v>379</v>
      </c>
      <c r="AB354" t="s">
        <v>400</v>
      </c>
      <c r="AC354" t="s">
        <v>379</v>
      </c>
      <c r="AD354" t="s">
        <v>384</v>
      </c>
      <c r="AE354" t="s">
        <v>41</v>
      </c>
      <c r="AF354" t="s">
        <v>41</v>
      </c>
      <c r="AI354">
        <v>134971</v>
      </c>
      <c r="AJ354">
        <v>1</v>
      </c>
      <c r="AK354" t="s">
        <v>40</v>
      </c>
      <c r="AL354">
        <v>261</v>
      </c>
    </row>
    <row r="355" spans="1:38" x14ac:dyDescent="0.25">
      <c r="A355" t="s">
        <v>45</v>
      </c>
      <c r="B355">
        <v>45929.641504629632</v>
      </c>
      <c r="C355">
        <v>92497</v>
      </c>
      <c r="D355" t="s">
        <v>373</v>
      </c>
      <c r="E355">
        <v>4491147</v>
      </c>
      <c r="F355">
        <v>2104752</v>
      </c>
      <c r="G355" t="s">
        <v>854</v>
      </c>
      <c r="H355" t="s">
        <v>618</v>
      </c>
      <c r="I355">
        <v>64.3</v>
      </c>
      <c r="J355" t="b">
        <v>1</v>
      </c>
      <c r="K355">
        <v>0.38969696969696965</v>
      </c>
      <c r="L355">
        <v>2106075</v>
      </c>
      <c r="M355" t="s">
        <v>855</v>
      </c>
      <c r="N355">
        <v>165</v>
      </c>
      <c r="O355">
        <v>162</v>
      </c>
      <c r="P355"/>
      <c r="Q355">
        <v>134976</v>
      </c>
      <c r="R355">
        <v>1</v>
      </c>
      <c r="S355" t="s">
        <v>40</v>
      </c>
      <c r="T355">
        <v>261</v>
      </c>
      <c r="W355"/>
      <c r="Y355" t="s">
        <v>377</v>
      </c>
      <c r="Z355" t="s">
        <v>378</v>
      </c>
      <c r="AA355" t="s">
        <v>379</v>
      </c>
      <c r="AB355" t="s">
        <v>412</v>
      </c>
      <c r="AC355" t="s">
        <v>41</v>
      </c>
      <c r="AD355" t="s">
        <v>41</v>
      </c>
      <c r="AE355" t="s">
        <v>41</v>
      </c>
      <c r="AF355" t="s">
        <v>41</v>
      </c>
      <c r="AK355"/>
    </row>
    <row r="356" spans="1:38" x14ac:dyDescent="0.25">
      <c r="A356" t="s">
        <v>42</v>
      </c>
      <c r="B356">
        <v>45930.238275462965</v>
      </c>
      <c r="C356">
        <v>92176</v>
      </c>
      <c r="D356" t="s">
        <v>590</v>
      </c>
      <c r="E356">
        <v>4498491</v>
      </c>
      <c r="F356">
        <v>131173</v>
      </c>
      <c r="G356" t="s">
        <v>856</v>
      </c>
      <c r="H356" t="s">
        <v>826</v>
      </c>
      <c r="I356">
        <v>10</v>
      </c>
      <c r="J356" t="b">
        <v>1</v>
      </c>
      <c r="K356">
        <v>1.25</v>
      </c>
      <c r="L356">
        <v>131174</v>
      </c>
      <c r="M356" t="s">
        <v>857</v>
      </c>
      <c r="N356">
        <v>8</v>
      </c>
      <c r="O356">
        <v>8</v>
      </c>
      <c r="P356"/>
      <c r="Q356">
        <v>134908</v>
      </c>
      <c r="R356">
        <v>1</v>
      </c>
      <c r="S356" t="s">
        <v>40</v>
      </c>
      <c r="T356">
        <v>261</v>
      </c>
      <c r="U356">
        <v>147664</v>
      </c>
      <c r="V356">
        <v>24</v>
      </c>
      <c r="W356" t="s">
        <v>40</v>
      </c>
      <c r="X356">
        <v>261</v>
      </c>
      <c r="Y356" t="s">
        <v>377</v>
      </c>
      <c r="Z356" t="s">
        <v>378</v>
      </c>
      <c r="AA356" t="s">
        <v>384</v>
      </c>
      <c r="AB356" t="s">
        <v>384</v>
      </c>
      <c r="AC356" t="s">
        <v>41</v>
      </c>
      <c r="AD356" t="s">
        <v>41</v>
      </c>
      <c r="AE356" t="s">
        <v>41</v>
      </c>
      <c r="AF356" t="s">
        <v>41</v>
      </c>
      <c r="AK356"/>
    </row>
    <row r="357" spans="1:38" x14ac:dyDescent="0.25">
      <c r="A357" t="s">
        <v>37</v>
      </c>
      <c r="B357">
        <v>45930.239918981482</v>
      </c>
      <c r="C357">
        <v>92384</v>
      </c>
      <c r="D357" t="s">
        <v>590</v>
      </c>
      <c r="E357">
        <v>4498731</v>
      </c>
      <c r="F357">
        <v>2307336</v>
      </c>
      <c r="G357" t="s">
        <v>858</v>
      </c>
      <c r="H357" t="s">
        <v>582</v>
      </c>
      <c r="I357">
        <v>2.5</v>
      </c>
      <c r="J357" t="b">
        <v>1</v>
      </c>
      <c r="K357">
        <v>1.2755102040816327E-2</v>
      </c>
      <c r="L357">
        <v>2307337</v>
      </c>
      <c r="M357" t="s">
        <v>859</v>
      </c>
      <c r="N357">
        <v>196</v>
      </c>
      <c r="O357">
        <v>202</v>
      </c>
      <c r="P357"/>
      <c r="Q357">
        <v>134974</v>
      </c>
      <c r="R357">
        <v>1</v>
      </c>
      <c r="S357" t="s">
        <v>40</v>
      </c>
      <c r="T357">
        <v>261</v>
      </c>
      <c r="W357"/>
      <c r="Y357" t="s">
        <v>377</v>
      </c>
      <c r="Z357" t="s">
        <v>378</v>
      </c>
      <c r="AA357" t="s">
        <v>379</v>
      </c>
      <c r="AB357" t="s">
        <v>860</v>
      </c>
      <c r="AC357" t="s">
        <v>41</v>
      </c>
      <c r="AD357" t="s">
        <v>41</v>
      </c>
      <c r="AE357" t="s">
        <v>41</v>
      </c>
      <c r="AF357" t="s">
        <v>41</v>
      </c>
      <c r="AK357"/>
    </row>
    <row r="358" spans="1:38" x14ac:dyDescent="0.25">
      <c r="A358" t="s">
        <v>37</v>
      </c>
      <c r="B358">
        <v>45930.241087962961</v>
      </c>
      <c r="C358">
        <v>92380</v>
      </c>
      <c r="D358" t="s">
        <v>590</v>
      </c>
      <c r="E358">
        <v>4495430</v>
      </c>
      <c r="F358">
        <v>2105643</v>
      </c>
      <c r="G358" t="s">
        <v>861</v>
      </c>
      <c r="H358" t="s">
        <v>582</v>
      </c>
      <c r="I358">
        <v>2.5</v>
      </c>
      <c r="J358" t="b">
        <v>1</v>
      </c>
      <c r="K358">
        <v>1.1574074074074073E-2</v>
      </c>
      <c r="L358">
        <v>2106906</v>
      </c>
      <c r="M358" t="s">
        <v>862</v>
      </c>
      <c r="N358">
        <v>216</v>
      </c>
      <c r="O358">
        <v>216</v>
      </c>
      <c r="P358"/>
      <c r="Q358">
        <v>134974</v>
      </c>
      <c r="R358">
        <v>1</v>
      </c>
      <c r="S358" t="s">
        <v>40</v>
      </c>
      <c r="T358">
        <v>261</v>
      </c>
      <c r="W358"/>
      <c r="Y358" t="s">
        <v>377</v>
      </c>
      <c r="Z358" t="s">
        <v>378</v>
      </c>
      <c r="AA358" t="s">
        <v>379</v>
      </c>
      <c r="AB358" t="s">
        <v>518</v>
      </c>
      <c r="AC358" t="s">
        <v>41</v>
      </c>
      <c r="AD358" t="s">
        <v>41</v>
      </c>
      <c r="AE358" t="s">
        <v>41</v>
      </c>
      <c r="AF358" t="s">
        <v>41</v>
      </c>
      <c r="AK358"/>
    </row>
    <row r="359" spans="1:38" x14ac:dyDescent="0.25">
      <c r="A359" t="s">
        <v>43</v>
      </c>
      <c r="B359">
        <v>45930.394965277781</v>
      </c>
      <c r="C359">
        <v>92498</v>
      </c>
      <c r="D359" t="s">
        <v>852</v>
      </c>
      <c r="E359">
        <v>4498447</v>
      </c>
      <c r="F359">
        <v>133168</v>
      </c>
      <c r="G359" t="s">
        <v>863</v>
      </c>
      <c r="H359" t="s">
        <v>864</v>
      </c>
      <c r="I359">
        <v>64.3</v>
      </c>
      <c r="J359" t="b">
        <v>1</v>
      </c>
      <c r="K359">
        <v>0.75647058823529412</v>
      </c>
      <c r="L359">
        <v>144374</v>
      </c>
      <c r="M359" t="s">
        <v>865</v>
      </c>
      <c r="N359">
        <v>85</v>
      </c>
      <c r="O359">
        <v>85</v>
      </c>
      <c r="P359"/>
      <c r="Q359">
        <v>134908</v>
      </c>
      <c r="R359">
        <v>1</v>
      </c>
      <c r="S359" t="s">
        <v>40</v>
      </c>
      <c r="T359">
        <v>261</v>
      </c>
      <c r="U359">
        <v>147664</v>
      </c>
      <c r="V359">
        <v>24</v>
      </c>
      <c r="W359" t="s">
        <v>40</v>
      </c>
      <c r="X359">
        <v>261</v>
      </c>
      <c r="Y359" t="s">
        <v>377</v>
      </c>
      <c r="Z359" t="s">
        <v>378</v>
      </c>
      <c r="AA359" t="s">
        <v>379</v>
      </c>
      <c r="AB359" t="s">
        <v>841</v>
      </c>
      <c r="AC359" t="s">
        <v>41</v>
      </c>
      <c r="AD359" t="s">
        <v>41</v>
      </c>
      <c r="AE359" t="s">
        <v>41</v>
      </c>
      <c r="AF359" t="s">
        <v>41</v>
      </c>
      <c r="AK359"/>
    </row>
    <row r="360" spans="1:38" x14ac:dyDescent="0.25">
      <c r="A360" t="s">
        <v>38</v>
      </c>
      <c r="B360">
        <v>45930.442893518521</v>
      </c>
      <c r="C360">
        <v>92346</v>
      </c>
      <c r="D360" t="s">
        <v>866</v>
      </c>
      <c r="E360">
        <v>4492494</v>
      </c>
      <c r="F360">
        <v>2304754</v>
      </c>
      <c r="G360" t="s">
        <v>381</v>
      </c>
      <c r="H360" t="s">
        <v>765</v>
      </c>
      <c r="I360">
        <v>14</v>
      </c>
      <c r="J360" t="b">
        <v>1</v>
      </c>
      <c r="K360">
        <v>1.75</v>
      </c>
      <c r="L360">
        <v>2304755</v>
      </c>
      <c r="M360" t="s">
        <v>383</v>
      </c>
      <c r="N360">
        <v>8</v>
      </c>
      <c r="O360">
        <v>8</v>
      </c>
      <c r="P360"/>
      <c r="Q360">
        <v>134905</v>
      </c>
      <c r="R360">
        <v>2</v>
      </c>
      <c r="S360" t="s">
        <v>40</v>
      </c>
      <c r="T360">
        <v>261</v>
      </c>
      <c r="U360">
        <v>147664</v>
      </c>
      <c r="V360">
        <v>48</v>
      </c>
      <c r="W360" t="s">
        <v>40</v>
      </c>
      <c r="X360">
        <v>261</v>
      </c>
      <c r="Y360" t="s">
        <v>377</v>
      </c>
      <c r="Z360" t="s">
        <v>378</v>
      </c>
      <c r="AA360" t="s">
        <v>384</v>
      </c>
      <c r="AB360" t="s">
        <v>384</v>
      </c>
      <c r="AC360" t="s">
        <v>41</v>
      </c>
      <c r="AD360" t="s">
        <v>41</v>
      </c>
      <c r="AE360" t="s">
        <v>41</v>
      </c>
      <c r="AF360" t="s">
        <v>41</v>
      </c>
      <c r="AK360"/>
    </row>
    <row r="361" spans="1:38" x14ac:dyDescent="0.25">
      <c r="A361" t="s">
        <v>37</v>
      </c>
      <c r="B361">
        <v>45930.533078703702</v>
      </c>
      <c r="C361">
        <v>92386</v>
      </c>
      <c r="D361" t="s">
        <v>852</v>
      </c>
      <c r="E361">
        <v>4494709</v>
      </c>
      <c r="F361">
        <v>139930</v>
      </c>
      <c r="G361" t="s">
        <v>867</v>
      </c>
      <c r="H361" t="s">
        <v>582</v>
      </c>
      <c r="I361">
        <v>1.5</v>
      </c>
      <c r="J361" t="b">
        <v>1</v>
      </c>
      <c r="K361">
        <v>6.4655172413793103E-3</v>
      </c>
      <c r="L361">
        <v>139930</v>
      </c>
      <c r="M361" t="s">
        <v>867</v>
      </c>
      <c r="N361">
        <v>232</v>
      </c>
      <c r="O361">
        <v>220</v>
      </c>
      <c r="P361"/>
      <c r="Q361">
        <v>134908</v>
      </c>
      <c r="R361">
        <v>1</v>
      </c>
      <c r="S361" t="s">
        <v>40</v>
      </c>
      <c r="T361">
        <v>261</v>
      </c>
      <c r="U361">
        <v>147664</v>
      </c>
      <c r="V361">
        <v>24</v>
      </c>
      <c r="W361" t="s">
        <v>40</v>
      </c>
      <c r="X361">
        <v>261</v>
      </c>
      <c r="Y361" t="s">
        <v>377</v>
      </c>
      <c r="Z361" t="s">
        <v>378</v>
      </c>
      <c r="AA361" t="s">
        <v>379</v>
      </c>
      <c r="AB361" t="s">
        <v>595</v>
      </c>
      <c r="AC361" t="s">
        <v>41</v>
      </c>
      <c r="AD361" t="s">
        <v>41</v>
      </c>
      <c r="AE361" t="s">
        <v>41</v>
      </c>
      <c r="AF361" t="s">
        <v>41</v>
      </c>
      <c r="AK361"/>
    </row>
    <row r="362" spans="1:38" x14ac:dyDescent="0.25">
      <c r="A362" t="s">
        <v>48</v>
      </c>
      <c r="B362">
        <v>45930.633796296293</v>
      </c>
      <c r="C362">
        <v>92177</v>
      </c>
      <c r="D362" t="s">
        <v>866</v>
      </c>
      <c r="E362">
        <v>4498492</v>
      </c>
      <c r="F362">
        <v>131173</v>
      </c>
      <c r="G362" t="s">
        <v>856</v>
      </c>
      <c r="H362" t="s">
        <v>663</v>
      </c>
      <c r="I362">
        <v>10</v>
      </c>
      <c r="J362" t="b">
        <v>1</v>
      </c>
      <c r="K362">
        <v>1.25</v>
      </c>
      <c r="L362">
        <v>131174</v>
      </c>
      <c r="M362" t="s">
        <v>857</v>
      </c>
      <c r="N362">
        <v>8</v>
      </c>
      <c r="O362">
        <v>8</v>
      </c>
      <c r="P362"/>
      <c r="Q362">
        <v>134907</v>
      </c>
      <c r="R362">
        <v>2</v>
      </c>
      <c r="S362" t="s">
        <v>40</v>
      </c>
      <c r="T362">
        <v>261</v>
      </c>
      <c r="U362">
        <v>147664</v>
      </c>
      <c r="V362">
        <v>48</v>
      </c>
      <c r="W362" t="s">
        <v>40</v>
      </c>
      <c r="X362">
        <v>261</v>
      </c>
      <c r="Y362" t="s">
        <v>377</v>
      </c>
      <c r="Z362" t="s">
        <v>378</v>
      </c>
      <c r="AA362" t="s">
        <v>384</v>
      </c>
      <c r="AB362" t="s">
        <v>384</v>
      </c>
      <c r="AC362" t="s">
        <v>41</v>
      </c>
      <c r="AD362" t="s">
        <v>41</v>
      </c>
      <c r="AE362" t="s">
        <v>41</v>
      </c>
      <c r="AF362" t="s">
        <v>41</v>
      </c>
      <c r="AK362"/>
    </row>
    <row r="363" spans="1:38" x14ac:dyDescent="0.25">
      <c r="A363" t="s">
        <v>37</v>
      </c>
      <c r="B363">
        <v>45930.83090277778</v>
      </c>
      <c r="C363">
        <v>90251</v>
      </c>
      <c r="D363" t="s">
        <v>457</v>
      </c>
      <c r="E363">
        <v>4496414</v>
      </c>
      <c r="F363">
        <v>2116386</v>
      </c>
      <c r="G363" t="s">
        <v>868</v>
      </c>
      <c r="H363" t="s">
        <v>582</v>
      </c>
      <c r="I363">
        <v>10</v>
      </c>
      <c r="J363" t="b">
        <v>1</v>
      </c>
      <c r="K363">
        <v>3.2679738562091505E-2</v>
      </c>
      <c r="L363">
        <v>2117549</v>
      </c>
      <c r="M363" t="s">
        <v>838</v>
      </c>
      <c r="N363">
        <v>306</v>
      </c>
      <c r="O363">
        <v>306</v>
      </c>
      <c r="P363"/>
      <c r="Q363">
        <v>134976</v>
      </c>
      <c r="R363">
        <v>2</v>
      </c>
      <c r="S363" t="s">
        <v>40</v>
      </c>
      <c r="T363">
        <v>261</v>
      </c>
      <c r="W363"/>
      <c r="Y363" t="s">
        <v>377</v>
      </c>
      <c r="Z363" t="s">
        <v>378</v>
      </c>
      <c r="AA363" t="s">
        <v>379</v>
      </c>
      <c r="AB363" t="s">
        <v>869</v>
      </c>
      <c r="AC363" t="s">
        <v>525</v>
      </c>
      <c r="AD363" t="s">
        <v>525</v>
      </c>
      <c r="AE363" t="s">
        <v>379</v>
      </c>
      <c r="AF363" t="s">
        <v>379</v>
      </c>
      <c r="AK363"/>
    </row>
    <row r="364" spans="1:38" x14ac:dyDescent="0.25">
      <c r="A364" t="s">
        <v>44</v>
      </c>
      <c r="B364">
        <v>45931.028402777774</v>
      </c>
      <c r="C364">
        <v>92178</v>
      </c>
      <c r="D364" t="s">
        <v>590</v>
      </c>
      <c r="E364">
        <v>4495234</v>
      </c>
      <c r="F364">
        <v>107142</v>
      </c>
      <c r="G364" t="s">
        <v>741</v>
      </c>
      <c r="H364" t="s">
        <v>776</v>
      </c>
      <c r="I364">
        <v>10</v>
      </c>
      <c r="J364" t="b">
        <v>1</v>
      </c>
      <c r="K364">
        <v>1.25</v>
      </c>
      <c r="L364">
        <v>107143</v>
      </c>
      <c r="M364" t="s">
        <v>743</v>
      </c>
      <c r="N364">
        <v>8</v>
      </c>
      <c r="O364">
        <v>8</v>
      </c>
      <c r="P364"/>
      <c r="Q364">
        <v>134907</v>
      </c>
      <c r="R364">
        <v>2</v>
      </c>
      <c r="S364" t="s">
        <v>40</v>
      </c>
      <c r="T364">
        <v>261</v>
      </c>
      <c r="U364">
        <v>147664</v>
      </c>
      <c r="V364">
        <v>48</v>
      </c>
      <c r="W364" t="s">
        <v>40</v>
      </c>
      <c r="X364">
        <v>261</v>
      </c>
      <c r="Y364" t="s">
        <v>377</v>
      </c>
      <c r="Z364" t="s">
        <v>378</v>
      </c>
      <c r="AA364" t="s">
        <v>384</v>
      </c>
      <c r="AB364" t="s">
        <v>384</v>
      </c>
      <c r="AC364" t="s">
        <v>41</v>
      </c>
      <c r="AD364" t="s">
        <v>41</v>
      </c>
      <c r="AE364" t="s">
        <v>41</v>
      </c>
      <c r="AF364" t="s">
        <v>41</v>
      </c>
      <c r="AK364"/>
    </row>
    <row r="365" spans="1:38" x14ac:dyDescent="0.25">
      <c r="A365" t="s">
        <v>42</v>
      </c>
      <c r="B365">
        <v>45931.067233796297</v>
      </c>
      <c r="C365">
        <v>92266</v>
      </c>
      <c r="D365" t="s">
        <v>590</v>
      </c>
      <c r="E365">
        <v>4498198</v>
      </c>
      <c r="F365">
        <v>105455</v>
      </c>
      <c r="G365" t="s">
        <v>476</v>
      </c>
      <c r="H365" t="s">
        <v>803</v>
      </c>
      <c r="I365">
        <v>10</v>
      </c>
      <c r="J365" t="b">
        <v>1</v>
      </c>
      <c r="K365">
        <v>0.83333333333333337</v>
      </c>
      <c r="L365">
        <v>2106229</v>
      </c>
      <c r="M365" t="s">
        <v>477</v>
      </c>
      <c r="N365">
        <v>12</v>
      </c>
      <c r="O365">
        <v>12</v>
      </c>
      <c r="P365"/>
      <c r="Q365">
        <v>134907</v>
      </c>
      <c r="R365">
        <v>2</v>
      </c>
      <c r="S365" t="s">
        <v>40</v>
      </c>
      <c r="T365">
        <v>261</v>
      </c>
      <c r="U365">
        <v>147664</v>
      </c>
      <c r="V365">
        <v>48</v>
      </c>
      <c r="W365" t="s">
        <v>40</v>
      </c>
      <c r="X365">
        <v>261</v>
      </c>
      <c r="Y365" t="s">
        <v>377</v>
      </c>
      <c r="Z365" t="s">
        <v>378</v>
      </c>
      <c r="AA365" t="s">
        <v>379</v>
      </c>
      <c r="AB365" t="s">
        <v>384</v>
      </c>
      <c r="AC365" t="s">
        <v>379</v>
      </c>
      <c r="AD365" t="s">
        <v>400</v>
      </c>
      <c r="AE365" t="s">
        <v>41</v>
      </c>
      <c r="AF365" t="s">
        <v>41</v>
      </c>
      <c r="AK365"/>
    </row>
    <row r="366" spans="1:38" x14ac:dyDescent="0.25">
      <c r="A366" t="s">
        <v>37</v>
      </c>
      <c r="B366">
        <v>45931.069386574076</v>
      </c>
      <c r="C366">
        <v>92269</v>
      </c>
      <c r="D366" t="s">
        <v>590</v>
      </c>
      <c r="E366">
        <v>4498199</v>
      </c>
      <c r="F366">
        <v>105455</v>
      </c>
      <c r="G366" t="s">
        <v>476</v>
      </c>
      <c r="H366" t="s">
        <v>819</v>
      </c>
      <c r="I366">
        <v>10</v>
      </c>
      <c r="J366" t="b">
        <v>1</v>
      </c>
      <c r="K366">
        <v>0.83333333333333337</v>
      </c>
      <c r="L366">
        <v>2106229</v>
      </c>
      <c r="M366" t="s">
        <v>477</v>
      </c>
      <c r="N366">
        <v>12</v>
      </c>
      <c r="O366">
        <v>12</v>
      </c>
      <c r="P366"/>
      <c r="Q366">
        <v>134906</v>
      </c>
      <c r="R366">
        <v>1</v>
      </c>
      <c r="S366" t="s">
        <v>40</v>
      </c>
      <c r="T366">
        <v>261</v>
      </c>
      <c r="U366">
        <v>147664</v>
      </c>
      <c r="V366">
        <v>48</v>
      </c>
      <c r="W366" t="s">
        <v>40</v>
      </c>
      <c r="X366">
        <v>261</v>
      </c>
      <c r="Y366" t="s">
        <v>377</v>
      </c>
      <c r="Z366" t="s">
        <v>378</v>
      </c>
      <c r="AA366" t="s">
        <v>379</v>
      </c>
      <c r="AB366" t="s">
        <v>384</v>
      </c>
      <c r="AC366" t="s">
        <v>379</v>
      </c>
      <c r="AD366" t="s">
        <v>400</v>
      </c>
      <c r="AE366" t="s">
        <v>41</v>
      </c>
      <c r="AF366" t="s">
        <v>41</v>
      </c>
      <c r="AI366">
        <v>134907</v>
      </c>
      <c r="AJ366">
        <v>1</v>
      </c>
      <c r="AK366" t="s">
        <v>40</v>
      </c>
      <c r="AL366">
        <v>261</v>
      </c>
    </row>
    <row r="367" spans="1:38" x14ac:dyDescent="0.25">
      <c r="A367" t="s">
        <v>43</v>
      </c>
      <c r="B367">
        <v>45931.119814814818</v>
      </c>
      <c r="C367">
        <v>92305</v>
      </c>
      <c r="D367" t="s">
        <v>590</v>
      </c>
      <c r="E367">
        <v>4495170</v>
      </c>
      <c r="F367">
        <v>113677</v>
      </c>
      <c r="G367" t="s">
        <v>687</v>
      </c>
      <c r="H367" t="s">
        <v>637</v>
      </c>
      <c r="I367">
        <v>14</v>
      </c>
      <c r="J367" t="b">
        <v>1</v>
      </c>
      <c r="K367">
        <v>1.75</v>
      </c>
      <c r="L367">
        <v>113679</v>
      </c>
      <c r="M367" t="s">
        <v>689</v>
      </c>
      <c r="N367">
        <v>8</v>
      </c>
      <c r="O367">
        <v>8</v>
      </c>
      <c r="P367"/>
      <c r="Q367">
        <v>155687</v>
      </c>
      <c r="R367">
        <v>2</v>
      </c>
      <c r="S367" t="s">
        <v>40</v>
      </c>
      <c r="T367">
        <v>261</v>
      </c>
      <c r="U367">
        <v>147664</v>
      </c>
      <c r="V367">
        <v>48</v>
      </c>
      <c r="W367" t="s">
        <v>40</v>
      </c>
      <c r="X367">
        <v>261</v>
      </c>
      <c r="Y367" t="s">
        <v>377</v>
      </c>
      <c r="Z367" t="s">
        <v>378</v>
      </c>
      <c r="AA367" t="s">
        <v>379</v>
      </c>
      <c r="AB367" t="s">
        <v>384</v>
      </c>
      <c r="AC367" t="s">
        <v>379</v>
      </c>
      <c r="AD367" t="s">
        <v>384</v>
      </c>
      <c r="AE367" t="s">
        <v>41</v>
      </c>
      <c r="AF367" t="s">
        <v>41</v>
      </c>
      <c r="AK367"/>
    </row>
    <row r="368" spans="1:38" x14ac:dyDescent="0.25">
      <c r="A368" t="s">
        <v>38</v>
      </c>
      <c r="B368">
        <v>45931.348275462966</v>
      </c>
      <c r="C368">
        <v>92347</v>
      </c>
      <c r="D368" t="s">
        <v>531</v>
      </c>
      <c r="E368">
        <v>4492495</v>
      </c>
      <c r="F368">
        <v>2304754</v>
      </c>
      <c r="G368" t="s">
        <v>381</v>
      </c>
      <c r="H368" t="s">
        <v>808</v>
      </c>
      <c r="I368">
        <v>14</v>
      </c>
      <c r="J368" t="b">
        <v>1</v>
      </c>
      <c r="K368">
        <v>1.75</v>
      </c>
      <c r="L368">
        <v>2304755</v>
      </c>
      <c r="M368" t="s">
        <v>383</v>
      </c>
      <c r="N368">
        <v>8</v>
      </c>
      <c r="O368">
        <v>8</v>
      </c>
      <c r="P368"/>
      <c r="Q368">
        <v>134905</v>
      </c>
      <c r="R368">
        <v>2</v>
      </c>
      <c r="S368" t="s">
        <v>40</v>
      </c>
      <c r="T368">
        <v>261</v>
      </c>
      <c r="U368">
        <v>147664</v>
      </c>
      <c r="V368">
        <v>48</v>
      </c>
      <c r="W368" t="s">
        <v>40</v>
      </c>
      <c r="X368">
        <v>261</v>
      </c>
      <c r="Y368" t="s">
        <v>377</v>
      </c>
      <c r="Z368" t="s">
        <v>378</v>
      </c>
      <c r="AA368" t="s">
        <v>384</v>
      </c>
      <c r="AB368" t="s">
        <v>384</v>
      </c>
      <c r="AC368" t="s">
        <v>41</v>
      </c>
      <c r="AD368" t="s">
        <v>41</v>
      </c>
      <c r="AE368" t="s">
        <v>41</v>
      </c>
      <c r="AF368" t="s">
        <v>41</v>
      </c>
      <c r="AK368"/>
    </row>
    <row r="369" spans="1:38" x14ac:dyDescent="0.25">
      <c r="A369" t="s">
        <v>39</v>
      </c>
      <c r="B369">
        <v>45931.603888888887</v>
      </c>
      <c r="C369">
        <v>92499</v>
      </c>
      <c r="D369" t="s">
        <v>669</v>
      </c>
      <c r="E369">
        <v>4498823</v>
      </c>
      <c r="F369">
        <v>133168</v>
      </c>
      <c r="G369" t="s">
        <v>863</v>
      </c>
      <c r="H369" t="s">
        <v>870</v>
      </c>
      <c r="I369">
        <v>64.3</v>
      </c>
      <c r="J369" t="b">
        <v>1</v>
      </c>
      <c r="K369">
        <v>0.75647058823529412</v>
      </c>
      <c r="L369">
        <v>144374</v>
      </c>
      <c r="M369" t="s">
        <v>865</v>
      </c>
      <c r="N369">
        <v>85</v>
      </c>
      <c r="O369">
        <v>85</v>
      </c>
      <c r="P369"/>
      <c r="Q369">
        <v>134908</v>
      </c>
      <c r="R369">
        <v>1</v>
      </c>
      <c r="S369" t="s">
        <v>40</v>
      </c>
      <c r="T369">
        <v>261</v>
      </c>
      <c r="U369">
        <v>147664</v>
      </c>
      <c r="V369">
        <v>24</v>
      </c>
      <c r="W369" t="s">
        <v>40</v>
      </c>
      <c r="X369">
        <v>261</v>
      </c>
      <c r="Y369" t="s">
        <v>377</v>
      </c>
      <c r="Z369" t="s">
        <v>378</v>
      </c>
      <c r="AA369" t="s">
        <v>379</v>
      </c>
      <c r="AB369" t="s">
        <v>841</v>
      </c>
      <c r="AC369" t="s">
        <v>41</v>
      </c>
      <c r="AD369" t="s">
        <v>41</v>
      </c>
      <c r="AE369" t="s">
        <v>41</v>
      </c>
      <c r="AF369" t="s">
        <v>41</v>
      </c>
      <c r="AK369"/>
    </row>
    <row r="370" spans="1:38" x14ac:dyDescent="0.25">
      <c r="A370" t="s">
        <v>37</v>
      </c>
      <c r="B370">
        <v>45931.630300925928</v>
      </c>
      <c r="C370">
        <v>92270</v>
      </c>
      <c r="D370" t="s">
        <v>669</v>
      </c>
      <c r="E370">
        <v>4498770</v>
      </c>
      <c r="F370">
        <v>150819</v>
      </c>
      <c r="G370" t="s">
        <v>458</v>
      </c>
      <c r="H370" t="s">
        <v>824</v>
      </c>
      <c r="I370">
        <v>10</v>
      </c>
      <c r="J370" t="b">
        <v>1</v>
      </c>
      <c r="K370">
        <v>0.83333333333333337</v>
      </c>
      <c r="L370">
        <v>150820</v>
      </c>
      <c r="M370" t="s">
        <v>454</v>
      </c>
      <c r="N370">
        <v>12</v>
      </c>
      <c r="O370">
        <v>12</v>
      </c>
      <c r="P370"/>
      <c r="Q370">
        <v>143275</v>
      </c>
      <c r="R370">
        <v>2</v>
      </c>
      <c r="S370" t="s">
        <v>40</v>
      </c>
      <c r="T370">
        <v>261</v>
      </c>
      <c r="U370">
        <v>147664</v>
      </c>
      <c r="V370">
        <v>48</v>
      </c>
      <c r="W370" t="s">
        <v>40</v>
      </c>
      <c r="X370">
        <v>261</v>
      </c>
      <c r="Y370" t="s">
        <v>377</v>
      </c>
      <c r="Z370" t="s">
        <v>378</v>
      </c>
      <c r="AA370" t="s">
        <v>379</v>
      </c>
      <c r="AB370" t="s">
        <v>400</v>
      </c>
      <c r="AC370" t="s">
        <v>379</v>
      </c>
      <c r="AD370" t="s">
        <v>384</v>
      </c>
      <c r="AE370" t="s">
        <v>41</v>
      </c>
      <c r="AF370" t="s">
        <v>41</v>
      </c>
      <c r="AK370"/>
    </row>
    <row r="371" spans="1:38" x14ac:dyDescent="0.25">
      <c r="A371" t="s">
        <v>42</v>
      </c>
      <c r="B371">
        <v>45931.907627314817</v>
      </c>
      <c r="C371">
        <v>92179</v>
      </c>
      <c r="D371" t="s">
        <v>682</v>
      </c>
      <c r="E371">
        <v>4495235</v>
      </c>
      <c r="F371">
        <v>107142</v>
      </c>
      <c r="G371" t="s">
        <v>741</v>
      </c>
      <c r="H371" t="s">
        <v>803</v>
      </c>
      <c r="I371">
        <v>10</v>
      </c>
      <c r="J371" t="b">
        <v>1</v>
      </c>
      <c r="K371">
        <v>1.25</v>
      </c>
      <c r="L371">
        <v>107143</v>
      </c>
      <c r="M371" t="s">
        <v>743</v>
      </c>
      <c r="N371">
        <v>8</v>
      </c>
      <c r="O371">
        <v>8</v>
      </c>
      <c r="P371"/>
      <c r="Q371">
        <v>134905</v>
      </c>
      <c r="R371">
        <v>2</v>
      </c>
      <c r="S371" t="s">
        <v>40</v>
      </c>
      <c r="T371">
        <v>261</v>
      </c>
      <c r="U371">
        <v>147664</v>
      </c>
      <c r="V371">
        <v>48</v>
      </c>
      <c r="W371" t="s">
        <v>40</v>
      </c>
      <c r="X371">
        <v>261</v>
      </c>
      <c r="Y371" t="s">
        <v>377</v>
      </c>
      <c r="Z371" t="s">
        <v>378</v>
      </c>
      <c r="AA371" t="s">
        <v>384</v>
      </c>
      <c r="AB371" t="s">
        <v>400</v>
      </c>
      <c r="AC371" t="s">
        <v>41</v>
      </c>
      <c r="AD371" t="s">
        <v>41</v>
      </c>
      <c r="AE371" t="s">
        <v>41</v>
      </c>
      <c r="AF371" t="s">
        <v>41</v>
      </c>
      <c r="AK371"/>
    </row>
    <row r="372" spans="1:38" x14ac:dyDescent="0.25">
      <c r="A372" t="s">
        <v>42</v>
      </c>
      <c r="B372">
        <v>45931.908356481479</v>
      </c>
      <c r="C372">
        <v>92179</v>
      </c>
      <c r="D372" t="s">
        <v>682</v>
      </c>
      <c r="E372">
        <v>4495235</v>
      </c>
      <c r="F372">
        <v>107142</v>
      </c>
      <c r="G372" t="s">
        <v>741</v>
      </c>
      <c r="H372" t="s">
        <v>803</v>
      </c>
      <c r="I372">
        <v>10</v>
      </c>
      <c r="J372" t="b">
        <v>1</v>
      </c>
      <c r="K372">
        <v>2.5</v>
      </c>
      <c r="L372">
        <v>107143</v>
      </c>
      <c r="M372" t="s">
        <v>743</v>
      </c>
      <c r="N372">
        <v>4</v>
      </c>
      <c r="O372">
        <v>0</v>
      </c>
      <c r="P372"/>
      <c r="Q372">
        <v>134905</v>
      </c>
      <c r="R372">
        <v>2</v>
      </c>
      <c r="S372" t="s">
        <v>40</v>
      </c>
      <c r="T372">
        <v>261</v>
      </c>
      <c r="U372">
        <v>147664</v>
      </c>
      <c r="V372">
        <v>48</v>
      </c>
      <c r="W372" t="s">
        <v>40</v>
      </c>
      <c r="X372">
        <v>261</v>
      </c>
      <c r="Y372" t="s">
        <v>377</v>
      </c>
      <c r="Z372" t="s">
        <v>378</v>
      </c>
      <c r="AA372" t="s">
        <v>384</v>
      </c>
      <c r="AB372" t="s">
        <v>384</v>
      </c>
      <c r="AC372" t="s">
        <v>41</v>
      </c>
      <c r="AD372" t="s">
        <v>41</v>
      </c>
      <c r="AE372" t="s">
        <v>41</v>
      </c>
      <c r="AF372" t="s">
        <v>41</v>
      </c>
      <c r="AK372"/>
    </row>
    <row r="373" spans="1:38" x14ac:dyDescent="0.25">
      <c r="A373" t="s">
        <v>48</v>
      </c>
      <c r="B373">
        <v>45931.98510416667</v>
      </c>
      <c r="C373">
        <v>92388</v>
      </c>
      <c r="D373" t="s">
        <v>682</v>
      </c>
      <c r="E373">
        <v>4498246</v>
      </c>
      <c r="F373">
        <v>2309180</v>
      </c>
      <c r="G373" t="s">
        <v>871</v>
      </c>
      <c r="H373" t="s">
        <v>582</v>
      </c>
      <c r="I373">
        <v>20</v>
      </c>
      <c r="J373" t="b">
        <v>1</v>
      </c>
      <c r="K373">
        <v>7.9365079365079361E-2</v>
      </c>
      <c r="L373">
        <v>2309181</v>
      </c>
      <c r="M373" t="s">
        <v>872</v>
      </c>
      <c r="N373">
        <v>252</v>
      </c>
      <c r="O373">
        <v>252</v>
      </c>
      <c r="P373"/>
      <c r="Q373">
        <v>134908</v>
      </c>
      <c r="R373">
        <v>1</v>
      </c>
      <c r="S373" t="s">
        <v>40</v>
      </c>
      <c r="T373">
        <v>261</v>
      </c>
      <c r="U373">
        <v>147664</v>
      </c>
      <c r="V373">
        <v>24</v>
      </c>
      <c r="W373" t="s">
        <v>40</v>
      </c>
      <c r="X373">
        <v>261</v>
      </c>
      <c r="Y373" t="s">
        <v>377</v>
      </c>
      <c r="Z373" t="s">
        <v>378</v>
      </c>
      <c r="AA373" t="s">
        <v>379</v>
      </c>
      <c r="AB373" t="s">
        <v>873</v>
      </c>
      <c r="AC373" t="s">
        <v>41</v>
      </c>
      <c r="AD373" t="s">
        <v>41</v>
      </c>
      <c r="AE373" t="s">
        <v>41</v>
      </c>
      <c r="AF373" t="s">
        <v>41</v>
      </c>
      <c r="AK373"/>
    </row>
    <row r="374" spans="1:38" x14ac:dyDescent="0.25">
      <c r="A374" t="s">
        <v>43</v>
      </c>
      <c r="B374">
        <v>45932.1016087963</v>
      </c>
      <c r="C374">
        <v>92306</v>
      </c>
      <c r="D374" t="s">
        <v>682</v>
      </c>
      <c r="E374">
        <v>4498323</v>
      </c>
      <c r="F374">
        <v>156292</v>
      </c>
      <c r="G374" t="s">
        <v>46</v>
      </c>
      <c r="H374" t="s">
        <v>874</v>
      </c>
      <c r="I374">
        <v>14</v>
      </c>
      <c r="J374" t="b">
        <v>1</v>
      </c>
      <c r="K374">
        <v>3.5</v>
      </c>
      <c r="L374">
        <v>156291</v>
      </c>
      <c r="M374" t="s">
        <v>433</v>
      </c>
      <c r="N374">
        <v>4</v>
      </c>
      <c r="O374">
        <v>8</v>
      </c>
      <c r="P374"/>
      <c r="Q374">
        <v>149831</v>
      </c>
      <c r="R374">
        <v>1</v>
      </c>
      <c r="S374" t="s">
        <v>40</v>
      </c>
      <c r="T374">
        <v>261</v>
      </c>
      <c r="U374">
        <v>147664</v>
      </c>
      <c r="V374">
        <v>24</v>
      </c>
      <c r="W374" t="s">
        <v>40</v>
      </c>
      <c r="X374">
        <v>261</v>
      </c>
      <c r="Y374" t="s">
        <v>377</v>
      </c>
      <c r="Z374" t="s">
        <v>378</v>
      </c>
      <c r="AA374" t="s">
        <v>379</v>
      </c>
      <c r="AB374" t="s">
        <v>384</v>
      </c>
      <c r="AC374" t="s">
        <v>41</v>
      </c>
      <c r="AD374" t="s">
        <v>41</v>
      </c>
      <c r="AE374" t="s">
        <v>41</v>
      </c>
      <c r="AF374" t="s">
        <v>41</v>
      </c>
      <c r="AK374"/>
    </row>
    <row r="375" spans="1:38" x14ac:dyDescent="0.25">
      <c r="A375" t="s">
        <v>43</v>
      </c>
      <c r="B375">
        <v>45932.102361111109</v>
      </c>
      <c r="C375">
        <v>92306</v>
      </c>
      <c r="D375" t="s">
        <v>682</v>
      </c>
      <c r="E375">
        <v>4498322</v>
      </c>
      <c r="F375">
        <v>156292</v>
      </c>
      <c r="G375" t="s">
        <v>46</v>
      </c>
      <c r="H375" t="s">
        <v>874</v>
      </c>
      <c r="I375">
        <v>14</v>
      </c>
      <c r="J375" t="b">
        <v>1</v>
      </c>
      <c r="K375">
        <v>3.5</v>
      </c>
      <c r="L375">
        <v>156291</v>
      </c>
      <c r="M375" t="s">
        <v>433</v>
      </c>
      <c r="N375">
        <v>4</v>
      </c>
      <c r="O375">
        <v>4</v>
      </c>
      <c r="P375"/>
      <c r="Q375">
        <v>149831</v>
      </c>
      <c r="R375">
        <v>1</v>
      </c>
      <c r="S375" t="s">
        <v>40</v>
      </c>
      <c r="T375">
        <v>261</v>
      </c>
      <c r="U375">
        <v>147664</v>
      </c>
      <c r="V375">
        <v>24</v>
      </c>
      <c r="W375" t="s">
        <v>40</v>
      </c>
      <c r="X375">
        <v>261</v>
      </c>
      <c r="Y375" t="s">
        <v>377</v>
      </c>
      <c r="Z375" t="s">
        <v>378</v>
      </c>
      <c r="AA375" t="s">
        <v>379</v>
      </c>
      <c r="AB375" t="s">
        <v>384</v>
      </c>
      <c r="AC375" t="s">
        <v>41</v>
      </c>
      <c r="AD375" t="s">
        <v>41</v>
      </c>
      <c r="AE375" t="s">
        <v>41</v>
      </c>
      <c r="AF375" t="s">
        <v>41</v>
      </c>
      <c r="AK375"/>
    </row>
    <row r="376" spans="1:38" x14ac:dyDescent="0.25">
      <c r="A376" t="s">
        <v>45</v>
      </c>
      <c r="B376">
        <v>45932.405162037037</v>
      </c>
      <c r="C376">
        <v>0</v>
      </c>
      <c r="D376" t="s">
        <v>669</v>
      </c>
      <c r="E376">
        <v>4499118</v>
      </c>
      <c r="F376">
        <v>2310416</v>
      </c>
      <c r="G376" t="s">
        <v>875</v>
      </c>
      <c r="H376" t="s">
        <v>582</v>
      </c>
      <c r="I376">
        <v>10</v>
      </c>
      <c r="J376" t="b">
        <v>1</v>
      </c>
      <c r="K376">
        <v>1</v>
      </c>
      <c r="L376">
        <v>2310417</v>
      </c>
      <c r="M376" t="s">
        <v>876</v>
      </c>
      <c r="N376">
        <v>10</v>
      </c>
      <c r="O376">
        <v>10</v>
      </c>
      <c r="P376"/>
      <c r="Q376">
        <v>134908</v>
      </c>
      <c r="R376">
        <v>1</v>
      </c>
      <c r="S376" t="s">
        <v>40</v>
      </c>
      <c r="T376">
        <v>261</v>
      </c>
      <c r="U376">
        <v>147664</v>
      </c>
      <c r="V376">
        <v>24</v>
      </c>
      <c r="W376" t="s">
        <v>40</v>
      </c>
      <c r="X376">
        <v>261</v>
      </c>
      <c r="Y376" t="s">
        <v>377</v>
      </c>
      <c r="Z376" t="s">
        <v>378</v>
      </c>
      <c r="AA376" t="s">
        <v>379</v>
      </c>
      <c r="AB376" t="s">
        <v>877</v>
      </c>
      <c r="AC376" t="s">
        <v>41</v>
      </c>
      <c r="AD376" t="s">
        <v>41</v>
      </c>
      <c r="AE376" t="s">
        <v>41</v>
      </c>
      <c r="AF376" t="s">
        <v>41</v>
      </c>
      <c r="AK376"/>
    </row>
    <row r="377" spans="1:38" x14ac:dyDescent="0.25">
      <c r="A377" t="s">
        <v>37</v>
      </c>
      <c r="B377">
        <v>45932.59175925926</v>
      </c>
      <c r="C377">
        <v>92389</v>
      </c>
      <c r="D377" t="s">
        <v>669</v>
      </c>
      <c r="E377">
        <v>4498728</v>
      </c>
      <c r="F377">
        <v>2306051</v>
      </c>
      <c r="G377" t="s">
        <v>878</v>
      </c>
      <c r="H377" t="s">
        <v>582</v>
      </c>
      <c r="I377">
        <v>10</v>
      </c>
      <c r="J377" t="b">
        <v>1</v>
      </c>
      <c r="K377">
        <v>2.7027027027027029E-2</v>
      </c>
      <c r="L377">
        <v>159424</v>
      </c>
      <c r="M377" t="s">
        <v>879</v>
      </c>
      <c r="N377">
        <v>370</v>
      </c>
      <c r="O377">
        <v>370</v>
      </c>
      <c r="P377"/>
      <c r="Q377">
        <v>134908</v>
      </c>
      <c r="R377">
        <v>1</v>
      </c>
      <c r="S377" t="s">
        <v>40</v>
      </c>
      <c r="T377">
        <v>261</v>
      </c>
      <c r="U377">
        <v>147664</v>
      </c>
      <c r="V377">
        <v>24</v>
      </c>
      <c r="W377" t="s">
        <v>40</v>
      </c>
      <c r="X377">
        <v>261</v>
      </c>
      <c r="Y377" t="s">
        <v>377</v>
      </c>
      <c r="Z377" t="s">
        <v>378</v>
      </c>
      <c r="AA377" t="s">
        <v>379</v>
      </c>
      <c r="AB377" t="s">
        <v>880</v>
      </c>
      <c r="AC377" t="s">
        <v>41</v>
      </c>
      <c r="AD377" t="s">
        <v>41</v>
      </c>
      <c r="AE377" t="s">
        <v>41</v>
      </c>
      <c r="AF377" t="s">
        <v>41</v>
      </c>
      <c r="AK377"/>
    </row>
    <row r="378" spans="1:38" x14ac:dyDescent="0.25">
      <c r="A378" t="s">
        <v>38</v>
      </c>
      <c r="B378">
        <v>45932.601446759261</v>
      </c>
      <c r="C378">
        <v>90264</v>
      </c>
      <c r="D378" t="s">
        <v>669</v>
      </c>
      <c r="E378">
        <v>4498343</v>
      </c>
      <c r="F378">
        <v>2105565</v>
      </c>
      <c r="G378" t="s">
        <v>881</v>
      </c>
      <c r="H378" t="s">
        <v>826</v>
      </c>
      <c r="I378">
        <v>5</v>
      </c>
      <c r="J378" t="b">
        <v>1</v>
      </c>
      <c r="K378">
        <v>3.1645569620253167E-2</v>
      </c>
      <c r="L378">
        <v>2106831</v>
      </c>
      <c r="M378" t="s">
        <v>882</v>
      </c>
      <c r="N378">
        <v>158</v>
      </c>
      <c r="O378">
        <v>158</v>
      </c>
      <c r="P378"/>
      <c r="Q378">
        <v>134908</v>
      </c>
      <c r="R378">
        <v>1</v>
      </c>
      <c r="S378" t="s">
        <v>40</v>
      </c>
      <c r="T378">
        <v>261</v>
      </c>
      <c r="U378">
        <v>147664</v>
      </c>
      <c r="V378">
        <v>24</v>
      </c>
      <c r="W378" t="s">
        <v>40</v>
      </c>
      <c r="X378">
        <v>261</v>
      </c>
      <c r="Y378" t="s">
        <v>377</v>
      </c>
      <c r="Z378" t="s">
        <v>378</v>
      </c>
      <c r="AA378" t="s">
        <v>379</v>
      </c>
      <c r="AB378" t="s">
        <v>883</v>
      </c>
      <c r="AC378" t="s">
        <v>41</v>
      </c>
      <c r="AD378" t="s">
        <v>41</v>
      </c>
      <c r="AE378" t="s">
        <v>41</v>
      </c>
      <c r="AF378" t="s">
        <v>41</v>
      </c>
      <c r="AK378"/>
    </row>
    <row r="379" spans="1:38" x14ac:dyDescent="0.25">
      <c r="A379" t="s">
        <v>42</v>
      </c>
      <c r="B379">
        <v>45932.620347222219</v>
      </c>
      <c r="C379">
        <v>92271</v>
      </c>
      <c r="D379" t="s">
        <v>669</v>
      </c>
      <c r="E379">
        <v>12</v>
      </c>
      <c r="F379">
        <v>0</v>
      </c>
      <c r="H379" t="s">
        <v>884</v>
      </c>
      <c r="I379">
        <v>10</v>
      </c>
      <c r="J379" t="b">
        <v>0</v>
      </c>
      <c r="K379">
        <v>0.83333333333333337</v>
      </c>
      <c r="L379">
        <v>150820</v>
      </c>
      <c r="M379" t="s">
        <v>454</v>
      </c>
      <c r="N379">
        <v>12</v>
      </c>
      <c r="O379">
        <v>12</v>
      </c>
      <c r="P379"/>
      <c r="Q379">
        <v>143275</v>
      </c>
      <c r="R379">
        <v>1</v>
      </c>
      <c r="S379" t="s">
        <v>40</v>
      </c>
      <c r="T379">
        <v>261</v>
      </c>
      <c r="U379">
        <v>147664</v>
      </c>
      <c r="V379">
        <v>48</v>
      </c>
      <c r="W379" t="s">
        <v>40</v>
      </c>
      <c r="X379">
        <v>261</v>
      </c>
      <c r="Y379" t="s">
        <v>377</v>
      </c>
      <c r="Z379" t="s">
        <v>378</v>
      </c>
      <c r="AA379" t="s">
        <v>379</v>
      </c>
      <c r="AB379" t="s">
        <v>400</v>
      </c>
      <c r="AC379" t="s">
        <v>379</v>
      </c>
      <c r="AD379" t="s">
        <v>384</v>
      </c>
      <c r="AE379" t="s">
        <v>41</v>
      </c>
      <c r="AF379" t="s">
        <v>41</v>
      </c>
      <c r="AI379">
        <v>143275</v>
      </c>
      <c r="AJ379">
        <v>1</v>
      </c>
      <c r="AK379" t="s">
        <v>40</v>
      </c>
      <c r="AL379">
        <v>261</v>
      </c>
    </row>
    <row r="380" spans="1:38" x14ac:dyDescent="0.25">
      <c r="A380" t="s">
        <v>42</v>
      </c>
      <c r="B380">
        <v>45932.622430555559</v>
      </c>
      <c r="C380">
        <v>92271</v>
      </c>
      <c r="D380" t="s">
        <v>669</v>
      </c>
      <c r="E380">
        <v>4498771</v>
      </c>
      <c r="F380">
        <v>150819</v>
      </c>
      <c r="G380" t="s">
        <v>458</v>
      </c>
      <c r="H380" t="s">
        <v>884</v>
      </c>
      <c r="I380">
        <v>10</v>
      </c>
      <c r="J380" t="b">
        <v>1</v>
      </c>
      <c r="K380">
        <v>0.83333333333333337</v>
      </c>
      <c r="L380">
        <v>150820</v>
      </c>
      <c r="M380" t="s">
        <v>454</v>
      </c>
      <c r="N380">
        <v>12</v>
      </c>
      <c r="O380">
        <v>12</v>
      </c>
      <c r="P380"/>
      <c r="Q380">
        <v>143275</v>
      </c>
      <c r="R380">
        <v>1</v>
      </c>
      <c r="S380" t="s">
        <v>40</v>
      </c>
      <c r="T380">
        <v>261</v>
      </c>
      <c r="U380">
        <v>147664</v>
      </c>
      <c r="V380">
        <v>48</v>
      </c>
      <c r="W380" t="s">
        <v>40</v>
      </c>
      <c r="X380">
        <v>261</v>
      </c>
      <c r="Y380" t="s">
        <v>377</v>
      </c>
      <c r="Z380" t="s">
        <v>378</v>
      </c>
      <c r="AA380" t="s">
        <v>379</v>
      </c>
      <c r="AB380" t="s">
        <v>400</v>
      </c>
      <c r="AC380" t="s">
        <v>379</v>
      </c>
      <c r="AD380" t="s">
        <v>384</v>
      </c>
      <c r="AE380" t="s">
        <v>41</v>
      </c>
      <c r="AF380" t="s">
        <v>41</v>
      </c>
      <c r="AI380">
        <v>143275</v>
      </c>
      <c r="AJ380">
        <v>1</v>
      </c>
      <c r="AK380" t="s">
        <v>40</v>
      </c>
      <c r="AL380">
        <v>261</v>
      </c>
    </row>
    <row r="381" spans="1:38" x14ac:dyDescent="0.25">
      <c r="A381" t="s">
        <v>39</v>
      </c>
      <c r="B381">
        <v>45932.636377314811</v>
      </c>
      <c r="C381">
        <v>92348</v>
      </c>
      <c r="D381" t="s">
        <v>669</v>
      </c>
      <c r="E381">
        <v>4492496</v>
      </c>
      <c r="F381">
        <v>2304754</v>
      </c>
      <c r="G381" t="s">
        <v>381</v>
      </c>
      <c r="H381" t="s">
        <v>810</v>
      </c>
      <c r="I381">
        <v>14</v>
      </c>
      <c r="J381" t="b">
        <v>1</v>
      </c>
      <c r="K381">
        <v>1.75</v>
      </c>
      <c r="L381">
        <v>2304755</v>
      </c>
      <c r="M381" t="s">
        <v>383</v>
      </c>
      <c r="N381">
        <v>8</v>
      </c>
      <c r="O381">
        <v>8</v>
      </c>
      <c r="P381"/>
      <c r="Q381">
        <v>143275</v>
      </c>
      <c r="R381">
        <v>2</v>
      </c>
      <c r="S381" t="s">
        <v>40</v>
      </c>
      <c r="T381">
        <v>261</v>
      </c>
      <c r="U381">
        <v>147664</v>
      </c>
      <c r="V381">
        <v>48</v>
      </c>
      <c r="W381" t="s">
        <v>40</v>
      </c>
      <c r="X381">
        <v>261</v>
      </c>
      <c r="Y381" t="s">
        <v>377</v>
      </c>
      <c r="Z381" t="s">
        <v>378</v>
      </c>
      <c r="AA381" t="s">
        <v>384</v>
      </c>
      <c r="AB381" t="s">
        <v>384</v>
      </c>
      <c r="AC381" t="s">
        <v>41</v>
      </c>
      <c r="AD381" t="s">
        <v>41</v>
      </c>
      <c r="AE381" t="s">
        <v>41</v>
      </c>
      <c r="AF381" t="s">
        <v>41</v>
      </c>
      <c r="AK381"/>
    </row>
    <row r="382" spans="1:38" x14ac:dyDescent="0.25">
      <c r="A382" t="s">
        <v>45</v>
      </c>
      <c r="B382">
        <v>45932.986770833333</v>
      </c>
      <c r="C382">
        <v>92500</v>
      </c>
      <c r="D382" t="s">
        <v>563</v>
      </c>
      <c r="E382">
        <v>4498448</v>
      </c>
      <c r="F382">
        <v>133168</v>
      </c>
      <c r="G382" t="s">
        <v>863</v>
      </c>
      <c r="H382" t="s">
        <v>870</v>
      </c>
      <c r="I382">
        <v>64.3</v>
      </c>
      <c r="J382" t="b">
        <v>1</v>
      </c>
      <c r="K382">
        <v>0.75647058823529412</v>
      </c>
      <c r="L382">
        <v>144374</v>
      </c>
      <c r="M382" t="s">
        <v>865</v>
      </c>
      <c r="N382">
        <v>85</v>
      </c>
      <c r="O382">
        <v>85</v>
      </c>
      <c r="P382"/>
      <c r="Q382">
        <v>134971</v>
      </c>
      <c r="R382">
        <v>1</v>
      </c>
      <c r="S382" t="s">
        <v>40</v>
      </c>
      <c r="T382">
        <v>261</v>
      </c>
      <c r="U382">
        <v>147664</v>
      </c>
      <c r="V382">
        <v>24</v>
      </c>
      <c r="W382" t="s">
        <v>40</v>
      </c>
      <c r="X382">
        <v>261</v>
      </c>
      <c r="Y382" t="s">
        <v>377</v>
      </c>
      <c r="Z382" t="s">
        <v>378</v>
      </c>
      <c r="AA382" t="s">
        <v>379</v>
      </c>
      <c r="AB382" t="s">
        <v>841</v>
      </c>
      <c r="AC382" t="s">
        <v>41</v>
      </c>
      <c r="AD382" t="s">
        <v>41</v>
      </c>
      <c r="AE382" t="s">
        <v>41</v>
      </c>
      <c r="AF382" t="s">
        <v>41</v>
      </c>
      <c r="AK382"/>
    </row>
    <row r="383" spans="1:38" x14ac:dyDescent="0.25">
      <c r="A383" t="s">
        <v>43</v>
      </c>
      <c r="B383">
        <v>45933.002453703702</v>
      </c>
      <c r="C383">
        <v>92360</v>
      </c>
      <c r="D383" t="s">
        <v>563</v>
      </c>
      <c r="E383">
        <v>4498254</v>
      </c>
      <c r="F383">
        <v>2105786</v>
      </c>
      <c r="G383" t="s">
        <v>666</v>
      </c>
      <c r="H383" t="s">
        <v>618</v>
      </c>
      <c r="I383">
        <v>20</v>
      </c>
      <c r="J383" t="b">
        <v>1</v>
      </c>
      <c r="K383">
        <v>0.11363636363636363</v>
      </c>
      <c r="L383">
        <v>2107036</v>
      </c>
      <c r="M383" t="s">
        <v>667</v>
      </c>
      <c r="N383">
        <v>176</v>
      </c>
      <c r="O383">
        <v>176</v>
      </c>
      <c r="P383"/>
      <c r="Q383">
        <v>134971</v>
      </c>
      <c r="R383">
        <v>1</v>
      </c>
      <c r="S383" t="s">
        <v>40</v>
      </c>
      <c r="T383">
        <v>261</v>
      </c>
      <c r="U383">
        <v>147664</v>
      </c>
      <c r="V383">
        <v>24</v>
      </c>
      <c r="W383" t="s">
        <v>40</v>
      </c>
      <c r="X383">
        <v>261</v>
      </c>
      <c r="Y383" t="s">
        <v>377</v>
      </c>
      <c r="Z383" t="s">
        <v>378</v>
      </c>
      <c r="AA383" t="s">
        <v>379</v>
      </c>
      <c r="AB383" t="s">
        <v>685</v>
      </c>
      <c r="AC383" t="s">
        <v>41</v>
      </c>
      <c r="AD383" t="s">
        <v>41</v>
      </c>
      <c r="AE383" t="s">
        <v>41</v>
      </c>
      <c r="AF383" t="s">
        <v>41</v>
      </c>
      <c r="AK383"/>
    </row>
    <row r="384" spans="1:38" x14ac:dyDescent="0.25">
      <c r="A384" t="s">
        <v>42</v>
      </c>
      <c r="B384">
        <v>45933.022199074076</v>
      </c>
      <c r="C384">
        <v>92181</v>
      </c>
      <c r="D384" t="s">
        <v>563</v>
      </c>
      <c r="E384">
        <v>4498481</v>
      </c>
      <c r="F384">
        <v>117619</v>
      </c>
      <c r="G384" t="s">
        <v>788</v>
      </c>
      <c r="H384" t="s">
        <v>787</v>
      </c>
      <c r="I384">
        <v>10</v>
      </c>
      <c r="J384" t="b">
        <v>1</v>
      </c>
      <c r="K384">
        <v>1.25</v>
      </c>
      <c r="L384">
        <v>117620</v>
      </c>
      <c r="M384" t="s">
        <v>789</v>
      </c>
      <c r="N384">
        <v>8</v>
      </c>
      <c r="O384">
        <v>8</v>
      </c>
      <c r="P384"/>
      <c r="Q384">
        <v>134971</v>
      </c>
      <c r="R384">
        <v>2</v>
      </c>
      <c r="S384" t="s">
        <v>40</v>
      </c>
      <c r="T384">
        <v>261</v>
      </c>
      <c r="U384">
        <v>147664</v>
      </c>
      <c r="V384">
        <v>48</v>
      </c>
      <c r="W384" t="s">
        <v>40</v>
      </c>
      <c r="X384">
        <v>261</v>
      </c>
      <c r="Y384" t="s">
        <v>377</v>
      </c>
      <c r="Z384" t="s">
        <v>378</v>
      </c>
      <c r="AA384" t="s">
        <v>384</v>
      </c>
      <c r="AB384" t="s">
        <v>384</v>
      </c>
      <c r="AC384" t="s">
        <v>41</v>
      </c>
      <c r="AD384" t="s">
        <v>41</v>
      </c>
      <c r="AE384" t="s">
        <v>41</v>
      </c>
      <c r="AF384" t="s">
        <v>41</v>
      </c>
      <c r="AK384"/>
    </row>
    <row r="385" spans="1:38" x14ac:dyDescent="0.25">
      <c r="A385" t="s">
        <v>44</v>
      </c>
      <c r="B385">
        <v>45933.190555555557</v>
      </c>
      <c r="C385">
        <v>92180</v>
      </c>
      <c r="D385" t="s">
        <v>563</v>
      </c>
      <c r="E385">
        <v>4495236</v>
      </c>
      <c r="F385">
        <v>107142</v>
      </c>
      <c r="G385" t="s">
        <v>741</v>
      </c>
      <c r="H385" t="s">
        <v>819</v>
      </c>
      <c r="I385">
        <v>10</v>
      </c>
      <c r="J385" t="b">
        <v>1</v>
      </c>
      <c r="K385">
        <v>1.1111111111111112</v>
      </c>
      <c r="L385">
        <v>107143</v>
      </c>
      <c r="M385" t="s">
        <v>743</v>
      </c>
      <c r="N385">
        <v>9</v>
      </c>
      <c r="O385">
        <v>9</v>
      </c>
      <c r="P385"/>
      <c r="Q385">
        <v>134905</v>
      </c>
      <c r="R385">
        <v>1</v>
      </c>
      <c r="S385" t="s">
        <v>40</v>
      </c>
      <c r="T385">
        <v>261</v>
      </c>
      <c r="U385">
        <v>147664</v>
      </c>
      <c r="V385">
        <v>24</v>
      </c>
      <c r="W385" t="s">
        <v>40</v>
      </c>
      <c r="X385">
        <v>261</v>
      </c>
      <c r="Y385" t="s">
        <v>377</v>
      </c>
      <c r="Z385" t="s">
        <v>378</v>
      </c>
      <c r="AA385" t="s">
        <v>379</v>
      </c>
      <c r="AB385" t="s">
        <v>384</v>
      </c>
      <c r="AC385" t="s">
        <v>379</v>
      </c>
      <c r="AD385" t="s">
        <v>559</v>
      </c>
      <c r="AE385" t="s">
        <v>41</v>
      </c>
      <c r="AF385" t="s">
        <v>41</v>
      </c>
      <c r="AK385"/>
    </row>
    <row r="386" spans="1:38" x14ac:dyDescent="0.25">
      <c r="A386" t="s">
        <v>37</v>
      </c>
      <c r="B386">
        <v>45933.38318287037</v>
      </c>
      <c r="C386">
        <v>92272</v>
      </c>
      <c r="D386" t="s">
        <v>866</v>
      </c>
      <c r="E386">
        <v>4498404</v>
      </c>
      <c r="F386">
        <v>2104855</v>
      </c>
      <c r="G386" t="s">
        <v>885</v>
      </c>
      <c r="H386" t="s">
        <v>819</v>
      </c>
      <c r="I386">
        <v>10</v>
      </c>
      <c r="J386" t="b">
        <v>1</v>
      </c>
      <c r="K386">
        <v>1.25</v>
      </c>
      <c r="L386">
        <v>2106173</v>
      </c>
      <c r="M386" t="s">
        <v>886</v>
      </c>
      <c r="N386">
        <v>8</v>
      </c>
      <c r="O386">
        <v>24</v>
      </c>
      <c r="P386"/>
      <c r="Q386">
        <v>134905</v>
      </c>
      <c r="R386">
        <v>1</v>
      </c>
      <c r="S386" t="s">
        <v>40</v>
      </c>
      <c r="T386">
        <v>261</v>
      </c>
      <c r="U386">
        <v>147664</v>
      </c>
      <c r="V386">
        <v>24</v>
      </c>
      <c r="W386" t="s">
        <v>40</v>
      </c>
      <c r="X386">
        <v>261</v>
      </c>
      <c r="Y386" t="s">
        <v>377</v>
      </c>
      <c r="Z386" t="s">
        <v>378</v>
      </c>
      <c r="AA386" t="s">
        <v>379</v>
      </c>
      <c r="AB386" t="s">
        <v>400</v>
      </c>
      <c r="AC386" t="s">
        <v>41</v>
      </c>
      <c r="AD386" t="s">
        <v>41</v>
      </c>
      <c r="AE386" t="s">
        <v>41</v>
      </c>
      <c r="AF386" t="s">
        <v>41</v>
      </c>
      <c r="AK386"/>
    </row>
    <row r="387" spans="1:38" x14ac:dyDescent="0.25">
      <c r="A387" t="s">
        <v>37</v>
      </c>
      <c r="B387">
        <v>45933.386608796296</v>
      </c>
      <c r="C387">
        <v>92272</v>
      </c>
      <c r="D387" t="s">
        <v>866</v>
      </c>
      <c r="E387">
        <v>4498403</v>
      </c>
      <c r="F387">
        <v>2104855</v>
      </c>
      <c r="G387" t="s">
        <v>885</v>
      </c>
      <c r="H387" t="s">
        <v>819</v>
      </c>
      <c r="I387">
        <v>10</v>
      </c>
      <c r="J387" t="b">
        <v>1</v>
      </c>
      <c r="K387">
        <v>2.5</v>
      </c>
      <c r="L387">
        <v>2106173</v>
      </c>
      <c r="M387" t="s">
        <v>886</v>
      </c>
      <c r="N387">
        <v>4</v>
      </c>
      <c r="O387">
        <v>4</v>
      </c>
      <c r="P387"/>
      <c r="Q387">
        <v>134905</v>
      </c>
      <c r="R387">
        <v>1</v>
      </c>
      <c r="S387" t="s">
        <v>40</v>
      </c>
      <c r="T387">
        <v>261</v>
      </c>
      <c r="U387">
        <v>147664</v>
      </c>
      <c r="V387">
        <v>24</v>
      </c>
      <c r="W387" t="s">
        <v>40</v>
      </c>
      <c r="X387">
        <v>261</v>
      </c>
      <c r="Y387" t="s">
        <v>377</v>
      </c>
      <c r="Z387" t="s">
        <v>378</v>
      </c>
      <c r="AA387" t="s">
        <v>379</v>
      </c>
      <c r="AB387" t="s">
        <v>384</v>
      </c>
      <c r="AC387" t="s">
        <v>41</v>
      </c>
      <c r="AD387" t="s">
        <v>41</v>
      </c>
      <c r="AE387" t="s">
        <v>41</v>
      </c>
      <c r="AF387" t="s">
        <v>41</v>
      </c>
      <c r="AK387"/>
    </row>
    <row r="388" spans="1:38" x14ac:dyDescent="0.25">
      <c r="A388" t="s">
        <v>38</v>
      </c>
      <c r="B388">
        <v>45933.456388888888</v>
      </c>
      <c r="C388">
        <v>92349</v>
      </c>
      <c r="D388" t="s">
        <v>866</v>
      </c>
      <c r="E388">
        <v>4497503</v>
      </c>
      <c r="F388">
        <v>2304988</v>
      </c>
      <c r="G388" t="s">
        <v>887</v>
      </c>
      <c r="H388" t="s">
        <v>823</v>
      </c>
      <c r="I388">
        <v>14</v>
      </c>
      <c r="J388" t="b">
        <v>1</v>
      </c>
      <c r="K388">
        <v>1.75</v>
      </c>
      <c r="L388">
        <v>2304989</v>
      </c>
      <c r="M388" t="s">
        <v>888</v>
      </c>
      <c r="N388">
        <v>8</v>
      </c>
      <c r="O388">
        <v>8</v>
      </c>
      <c r="P388"/>
      <c r="Q388">
        <v>155687</v>
      </c>
      <c r="R388">
        <v>1</v>
      </c>
      <c r="S388" t="s">
        <v>40</v>
      </c>
      <c r="T388">
        <v>261</v>
      </c>
      <c r="U388">
        <v>147664</v>
      </c>
      <c r="V388">
        <v>48</v>
      </c>
      <c r="W388" t="s">
        <v>40</v>
      </c>
      <c r="X388">
        <v>261</v>
      </c>
      <c r="Y388" t="s">
        <v>377</v>
      </c>
      <c r="Z388" t="s">
        <v>378</v>
      </c>
      <c r="AA388" t="s">
        <v>384</v>
      </c>
      <c r="AB388" t="s">
        <v>384</v>
      </c>
      <c r="AC388" t="s">
        <v>41</v>
      </c>
      <c r="AD388" t="s">
        <v>41</v>
      </c>
      <c r="AE388" t="s">
        <v>41</v>
      </c>
      <c r="AF388" t="s">
        <v>41</v>
      </c>
      <c r="AI388">
        <v>155687</v>
      </c>
      <c r="AJ388">
        <v>1</v>
      </c>
      <c r="AK388" t="s">
        <v>40</v>
      </c>
      <c r="AL388">
        <v>261</v>
      </c>
    </row>
    <row r="389" spans="1:38" x14ac:dyDescent="0.25">
      <c r="A389" t="s">
        <v>39</v>
      </c>
      <c r="B389">
        <v>45933.599444444444</v>
      </c>
      <c r="C389">
        <v>92393</v>
      </c>
      <c r="D389" t="s">
        <v>889</v>
      </c>
      <c r="E389">
        <v>4497888</v>
      </c>
      <c r="F389">
        <v>2116414</v>
      </c>
      <c r="G389" t="s">
        <v>890</v>
      </c>
      <c r="H389" t="s">
        <v>582</v>
      </c>
      <c r="I389">
        <v>3</v>
      </c>
      <c r="J389" t="b">
        <v>1</v>
      </c>
      <c r="K389">
        <v>1.6129032258064516E-2</v>
      </c>
      <c r="L389">
        <v>2117574</v>
      </c>
      <c r="M389" t="s">
        <v>891</v>
      </c>
      <c r="N389">
        <v>186</v>
      </c>
      <c r="O389">
        <v>176</v>
      </c>
      <c r="P389"/>
      <c r="Q389">
        <v>134976</v>
      </c>
      <c r="R389">
        <v>1</v>
      </c>
      <c r="S389" t="s">
        <v>40</v>
      </c>
      <c r="T389">
        <v>261</v>
      </c>
      <c r="W389"/>
      <c r="Y389" t="s">
        <v>377</v>
      </c>
      <c r="Z389" t="s">
        <v>378</v>
      </c>
      <c r="AA389" t="s">
        <v>379</v>
      </c>
      <c r="AB389" t="s">
        <v>892</v>
      </c>
      <c r="AC389" t="s">
        <v>41</v>
      </c>
      <c r="AD389" t="s">
        <v>41</v>
      </c>
      <c r="AE389" t="s">
        <v>41</v>
      </c>
      <c r="AF389" t="s">
        <v>41</v>
      </c>
      <c r="AK389"/>
    </row>
    <row r="390" spans="1:38" x14ac:dyDescent="0.25">
      <c r="A390" t="s">
        <v>37</v>
      </c>
      <c r="B390">
        <v>45933.630150462966</v>
      </c>
      <c r="C390">
        <v>92390</v>
      </c>
      <c r="D390" t="s">
        <v>866</v>
      </c>
      <c r="E390">
        <v>4495386</v>
      </c>
      <c r="F390">
        <v>2305758</v>
      </c>
      <c r="G390" t="s">
        <v>893</v>
      </c>
      <c r="H390" t="s">
        <v>582</v>
      </c>
      <c r="I390">
        <v>1.5</v>
      </c>
      <c r="J390" t="b">
        <v>1</v>
      </c>
      <c r="K390">
        <v>7.1770334928229667E-3</v>
      </c>
      <c r="L390">
        <v>2305759</v>
      </c>
      <c r="M390" t="s">
        <v>894</v>
      </c>
      <c r="N390">
        <v>209</v>
      </c>
      <c r="O390">
        <v>218</v>
      </c>
      <c r="P390"/>
      <c r="Q390">
        <v>134974</v>
      </c>
      <c r="R390">
        <v>1</v>
      </c>
      <c r="S390" t="s">
        <v>40</v>
      </c>
      <c r="T390">
        <v>261</v>
      </c>
      <c r="W390"/>
      <c r="Y390" t="s">
        <v>377</v>
      </c>
      <c r="Z390" t="s">
        <v>378</v>
      </c>
      <c r="AA390" t="s">
        <v>379</v>
      </c>
      <c r="AB390" t="s">
        <v>895</v>
      </c>
      <c r="AC390" t="s">
        <v>41</v>
      </c>
      <c r="AD390" t="s">
        <v>41</v>
      </c>
      <c r="AE390" t="s">
        <v>41</v>
      </c>
      <c r="AF390" t="s">
        <v>41</v>
      </c>
      <c r="AK390"/>
    </row>
    <row r="391" spans="1:38" x14ac:dyDescent="0.25">
      <c r="A391" t="s">
        <v>43</v>
      </c>
      <c r="B391">
        <v>45933.947245370371</v>
      </c>
      <c r="C391">
        <v>92361</v>
      </c>
      <c r="D391" t="s">
        <v>494</v>
      </c>
      <c r="E391">
        <v>4499111</v>
      </c>
      <c r="F391">
        <v>124116</v>
      </c>
      <c r="G391" t="s">
        <v>723</v>
      </c>
      <c r="H391" t="s">
        <v>826</v>
      </c>
      <c r="I391">
        <v>7.5</v>
      </c>
      <c r="J391" t="b">
        <v>1</v>
      </c>
      <c r="K391">
        <v>1.9230769230769232E-2</v>
      </c>
      <c r="L391">
        <v>124117</v>
      </c>
      <c r="M391" t="s">
        <v>724</v>
      </c>
      <c r="N391">
        <v>390</v>
      </c>
      <c r="O391">
        <v>407</v>
      </c>
      <c r="P391"/>
      <c r="Q391">
        <v>134976</v>
      </c>
      <c r="R391">
        <v>2</v>
      </c>
      <c r="S391" t="s">
        <v>40</v>
      </c>
      <c r="T391">
        <v>261</v>
      </c>
      <c r="W391"/>
      <c r="Y391" t="s">
        <v>377</v>
      </c>
      <c r="Z391" t="s">
        <v>378</v>
      </c>
      <c r="AA391" t="s">
        <v>379</v>
      </c>
      <c r="AB391" t="s">
        <v>896</v>
      </c>
      <c r="AC391" t="s">
        <v>379</v>
      </c>
      <c r="AD391" t="s">
        <v>548</v>
      </c>
      <c r="AE391" t="s">
        <v>41</v>
      </c>
      <c r="AF391" t="s">
        <v>41</v>
      </c>
      <c r="AK391"/>
    </row>
    <row r="392" spans="1:38" x14ac:dyDescent="0.25">
      <c r="A392" t="s">
        <v>42</v>
      </c>
      <c r="B392">
        <v>45933.949374999997</v>
      </c>
      <c r="C392">
        <v>92273</v>
      </c>
      <c r="D392" t="s">
        <v>494</v>
      </c>
      <c r="E392">
        <v>4498403</v>
      </c>
      <c r="F392">
        <v>2104855</v>
      </c>
      <c r="G392" t="s">
        <v>885</v>
      </c>
      <c r="H392" t="s">
        <v>819</v>
      </c>
      <c r="I392">
        <v>10</v>
      </c>
      <c r="J392" t="b">
        <v>1</v>
      </c>
      <c r="K392">
        <v>0.83333333333333337</v>
      </c>
      <c r="L392">
        <v>2106173</v>
      </c>
      <c r="M392" t="s">
        <v>886</v>
      </c>
      <c r="N392">
        <v>12</v>
      </c>
      <c r="O392">
        <v>12</v>
      </c>
      <c r="P392"/>
      <c r="Q392">
        <v>134905</v>
      </c>
      <c r="R392">
        <v>1</v>
      </c>
      <c r="S392" t="s">
        <v>40</v>
      </c>
      <c r="T392">
        <v>261</v>
      </c>
      <c r="U392">
        <v>147664</v>
      </c>
      <c r="V392">
        <v>24</v>
      </c>
      <c r="W392" t="s">
        <v>40</v>
      </c>
      <c r="X392">
        <v>261</v>
      </c>
      <c r="Y392" t="s">
        <v>377</v>
      </c>
      <c r="Z392" t="s">
        <v>378</v>
      </c>
      <c r="AA392" t="s">
        <v>379</v>
      </c>
      <c r="AB392" t="s">
        <v>400</v>
      </c>
      <c r="AC392" t="s">
        <v>379</v>
      </c>
      <c r="AD392" t="s">
        <v>384</v>
      </c>
      <c r="AE392" t="s">
        <v>41</v>
      </c>
      <c r="AF392" t="s">
        <v>41</v>
      </c>
      <c r="AK392"/>
    </row>
    <row r="393" spans="1:38" x14ac:dyDescent="0.25">
      <c r="A393" t="s">
        <v>42</v>
      </c>
      <c r="B393">
        <v>45933.95412037037</v>
      </c>
      <c r="C393">
        <v>92273</v>
      </c>
      <c r="D393" t="s">
        <v>494</v>
      </c>
      <c r="E393">
        <v>4498404</v>
      </c>
      <c r="F393">
        <v>2104855</v>
      </c>
      <c r="G393" t="s">
        <v>885</v>
      </c>
      <c r="H393" t="s">
        <v>819</v>
      </c>
      <c r="I393">
        <v>10</v>
      </c>
      <c r="J393" t="b">
        <v>1</v>
      </c>
      <c r="K393">
        <v>1.25</v>
      </c>
      <c r="L393">
        <v>2106173</v>
      </c>
      <c r="M393" t="s">
        <v>886</v>
      </c>
      <c r="N393">
        <v>8</v>
      </c>
      <c r="O393">
        <v>8</v>
      </c>
      <c r="P393"/>
      <c r="Q393">
        <v>134905</v>
      </c>
      <c r="R393">
        <v>1</v>
      </c>
      <c r="S393" t="s">
        <v>40</v>
      </c>
      <c r="T393">
        <v>261</v>
      </c>
      <c r="U393">
        <v>147664</v>
      </c>
      <c r="V393">
        <v>24</v>
      </c>
      <c r="W393" t="s">
        <v>40</v>
      </c>
      <c r="X393">
        <v>261</v>
      </c>
      <c r="Y393" t="s">
        <v>377</v>
      </c>
      <c r="Z393" t="s">
        <v>378</v>
      </c>
      <c r="AA393" t="s">
        <v>379</v>
      </c>
      <c r="AB393" t="s">
        <v>400</v>
      </c>
      <c r="AC393" t="s">
        <v>41</v>
      </c>
      <c r="AD393" t="s">
        <v>41</v>
      </c>
      <c r="AE393" t="s">
        <v>41</v>
      </c>
      <c r="AF393" t="s">
        <v>41</v>
      </c>
      <c r="AK393"/>
    </row>
    <row r="394" spans="1:38" x14ac:dyDescent="0.25">
      <c r="A394" t="s">
        <v>42</v>
      </c>
      <c r="B394">
        <v>45933.955520833333</v>
      </c>
      <c r="C394">
        <v>92273</v>
      </c>
      <c r="D394" t="s">
        <v>494</v>
      </c>
      <c r="E394">
        <v>4498403</v>
      </c>
      <c r="F394">
        <v>2104855</v>
      </c>
      <c r="G394" t="s">
        <v>885</v>
      </c>
      <c r="H394" t="s">
        <v>819</v>
      </c>
      <c r="I394">
        <v>10</v>
      </c>
      <c r="J394" t="b">
        <v>1</v>
      </c>
      <c r="K394">
        <v>2.5</v>
      </c>
      <c r="L394">
        <v>2106173</v>
      </c>
      <c r="M394" t="s">
        <v>886</v>
      </c>
      <c r="N394">
        <v>4</v>
      </c>
      <c r="O394">
        <v>4</v>
      </c>
      <c r="P394"/>
      <c r="Q394">
        <v>134905</v>
      </c>
      <c r="R394">
        <v>1</v>
      </c>
      <c r="S394" t="s">
        <v>40</v>
      </c>
      <c r="T394">
        <v>261</v>
      </c>
      <c r="U394">
        <v>147664</v>
      </c>
      <c r="V394">
        <v>24</v>
      </c>
      <c r="W394" t="s">
        <v>40</v>
      </c>
      <c r="X394">
        <v>261</v>
      </c>
      <c r="Y394" t="s">
        <v>377</v>
      </c>
      <c r="Z394" t="s">
        <v>378</v>
      </c>
      <c r="AA394" t="s">
        <v>379</v>
      </c>
      <c r="AB394" t="s">
        <v>384</v>
      </c>
      <c r="AC394" t="s">
        <v>41</v>
      </c>
      <c r="AD394" t="s">
        <v>41</v>
      </c>
      <c r="AE394" t="s">
        <v>41</v>
      </c>
      <c r="AF394" t="s">
        <v>41</v>
      </c>
      <c r="AK394"/>
    </row>
    <row r="395" spans="1:38" x14ac:dyDescent="0.25">
      <c r="A395" t="s">
        <v>44</v>
      </c>
      <c r="B395">
        <v>45933.95685185185</v>
      </c>
      <c r="C395">
        <v>92308</v>
      </c>
      <c r="D395" t="s">
        <v>494</v>
      </c>
      <c r="E395">
        <v>4498325</v>
      </c>
      <c r="F395">
        <v>156292</v>
      </c>
      <c r="G395" t="s">
        <v>46</v>
      </c>
      <c r="H395" t="s">
        <v>897</v>
      </c>
      <c r="I395">
        <v>14</v>
      </c>
      <c r="J395" t="b">
        <v>1</v>
      </c>
      <c r="K395">
        <v>3.5</v>
      </c>
      <c r="L395">
        <v>156291</v>
      </c>
      <c r="M395" t="s">
        <v>433</v>
      </c>
      <c r="N395">
        <v>4</v>
      </c>
      <c r="O395">
        <v>4</v>
      </c>
      <c r="P395"/>
      <c r="Q395">
        <v>155687</v>
      </c>
      <c r="R395">
        <v>1</v>
      </c>
      <c r="S395" t="s">
        <v>40</v>
      </c>
      <c r="T395">
        <v>261</v>
      </c>
      <c r="U395">
        <v>147664</v>
      </c>
      <c r="V395">
        <v>24</v>
      </c>
      <c r="W395" t="s">
        <v>40</v>
      </c>
      <c r="X395">
        <v>261</v>
      </c>
      <c r="Y395" t="s">
        <v>377</v>
      </c>
      <c r="Z395" t="s">
        <v>378</v>
      </c>
      <c r="AA395" t="s">
        <v>379</v>
      </c>
      <c r="AB395" t="s">
        <v>384</v>
      </c>
      <c r="AC395" t="s">
        <v>41</v>
      </c>
      <c r="AD395" t="s">
        <v>41</v>
      </c>
      <c r="AE395" t="s">
        <v>41</v>
      </c>
      <c r="AF395" t="s">
        <v>41</v>
      </c>
      <c r="AK395"/>
    </row>
    <row r="396" spans="1:38" x14ac:dyDescent="0.25">
      <c r="A396" t="s">
        <v>44</v>
      </c>
      <c r="B396">
        <v>45933.957719907405</v>
      </c>
      <c r="C396">
        <v>92308</v>
      </c>
      <c r="D396" t="s">
        <v>494</v>
      </c>
      <c r="E396">
        <v>4498324</v>
      </c>
      <c r="F396">
        <v>156292</v>
      </c>
      <c r="G396" t="s">
        <v>46</v>
      </c>
      <c r="H396" t="s">
        <v>897</v>
      </c>
      <c r="I396">
        <v>14</v>
      </c>
      <c r="J396" t="b">
        <v>1</v>
      </c>
      <c r="K396">
        <v>3.5</v>
      </c>
      <c r="L396">
        <v>156291</v>
      </c>
      <c r="M396" t="s">
        <v>433</v>
      </c>
      <c r="N396">
        <v>4</v>
      </c>
      <c r="O396">
        <v>4</v>
      </c>
      <c r="P396"/>
      <c r="Q396">
        <v>155687</v>
      </c>
      <c r="R396">
        <v>1</v>
      </c>
      <c r="S396" t="s">
        <v>40</v>
      </c>
      <c r="T396">
        <v>261</v>
      </c>
      <c r="U396">
        <v>147664</v>
      </c>
      <c r="V396">
        <v>24</v>
      </c>
      <c r="W396" t="s">
        <v>40</v>
      </c>
      <c r="X396">
        <v>261</v>
      </c>
      <c r="Y396" t="s">
        <v>377</v>
      </c>
      <c r="Z396" t="s">
        <v>378</v>
      </c>
      <c r="AA396" t="s">
        <v>379</v>
      </c>
      <c r="AB396" t="s">
        <v>384</v>
      </c>
      <c r="AC396" t="s">
        <v>41</v>
      </c>
      <c r="AD396" t="s">
        <v>41</v>
      </c>
      <c r="AE396" t="s">
        <v>41</v>
      </c>
      <c r="AF396" t="s">
        <v>41</v>
      </c>
      <c r="AK396"/>
    </row>
    <row r="397" spans="1:38" x14ac:dyDescent="0.25">
      <c r="A397" t="s">
        <v>47</v>
      </c>
      <c r="B397">
        <v>45934.17328703704</v>
      </c>
      <c r="C397">
        <v>92501</v>
      </c>
      <c r="D397" t="s">
        <v>494</v>
      </c>
      <c r="E397">
        <v>4498823</v>
      </c>
      <c r="F397">
        <v>133168</v>
      </c>
      <c r="G397" t="s">
        <v>863</v>
      </c>
      <c r="H397" t="s">
        <v>898</v>
      </c>
      <c r="I397">
        <v>64.3</v>
      </c>
      <c r="J397" t="b">
        <v>1</v>
      </c>
      <c r="K397">
        <v>0.75647058823529412</v>
      </c>
      <c r="L397">
        <v>144374</v>
      </c>
      <c r="M397" t="s">
        <v>865</v>
      </c>
      <c r="N397">
        <v>85</v>
      </c>
      <c r="O397">
        <v>85</v>
      </c>
      <c r="P397"/>
      <c r="Q397">
        <v>134907</v>
      </c>
      <c r="R397">
        <v>1</v>
      </c>
      <c r="S397" t="s">
        <v>40</v>
      </c>
      <c r="T397">
        <v>261</v>
      </c>
      <c r="U397">
        <v>147664</v>
      </c>
      <c r="V397">
        <v>24</v>
      </c>
      <c r="W397" t="s">
        <v>40</v>
      </c>
      <c r="X397">
        <v>261</v>
      </c>
      <c r="Y397" t="s">
        <v>377</v>
      </c>
      <c r="Z397" t="s">
        <v>378</v>
      </c>
      <c r="AA397" t="s">
        <v>379</v>
      </c>
      <c r="AB397" t="s">
        <v>841</v>
      </c>
      <c r="AC397" t="s">
        <v>41</v>
      </c>
      <c r="AD397" t="s">
        <v>41</v>
      </c>
      <c r="AE397" t="s">
        <v>41</v>
      </c>
      <c r="AF397" t="s">
        <v>41</v>
      </c>
      <c r="AK397"/>
    </row>
    <row r="398" spans="1:38" x14ac:dyDescent="0.25">
      <c r="A398" t="s">
        <v>39</v>
      </c>
      <c r="B398">
        <v>45934.298900462964</v>
      </c>
      <c r="C398">
        <v>92309</v>
      </c>
      <c r="D398" t="s">
        <v>866</v>
      </c>
      <c r="E398">
        <v>4499377</v>
      </c>
      <c r="F398">
        <v>156316</v>
      </c>
      <c r="G398" t="s">
        <v>899</v>
      </c>
      <c r="H398" t="s">
        <v>900</v>
      </c>
      <c r="I398">
        <v>14</v>
      </c>
      <c r="J398" t="b">
        <v>1</v>
      </c>
      <c r="K398">
        <v>1.75</v>
      </c>
      <c r="L398">
        <v>156315</v>
      </c>
      <c r="M398" t="s">
        <v>901</v>
      </c>
      <c r="N398">
        <v>8</v>
      </c>
      <c r="O398">
        <v>8</v>
      </c>
      <c r="P398"/>
      <c r="Q398">
        <v>134906</v>
      </c>
      <c r="R398">
        <v>1</v>
      </c>
      <c r="S398" t="s">
        <v>40</v>
      </c>
      <c r="T398">
        <v>261</v>
      </c>
      <c r="U398">
        <v>147664</v>
      </c>
      <c r="V398">
        <v>48</v>
      </c>
      <c r="W398" t="s">
        <v>40</v>
      </c>
      <c r="X398">
        <v>261</v>
      </c>
      <c r="Y398" t="s">
        <v>377</v>
      </c>
      <c r="Z398" t="s">
        <v>378</v>
      </c>
      <c r="AA398" t="s">
        <v>384</v>
      </c>
      <c r="AB398" t="s">
        <v>384</v>
      </c>
      <c r="AC398" t="s">
        <v>41</v>
      </c>
      <c r="AD398" t="s">
        <v>41</v>
      </c>
      <c r="AE398" t="s">
        <v>41</v>
      </c>
      <c r="AF398" t="s">
        <v>41</v>
      </c>
      <c r="AI398">
        <v>134905</v>
      </c>
      <c r="AJ398">
        <v>1</v>
      </c>
      <c r="AK398" t="s">
        <v>40</v>
      </c>
      <c r="AL398">
        <v>261</v>
      </c>
    </row>
    <row r="399" spans="1:38" x14ac:dyDescent="0.25">
      <c r="A399" t="s">
        <v>39</v>
      </c>
      <c r="B399">
        <v>45934.312824074077</v>
      </c>
      <c r="C399">
        <v>92309</v>
      </c>
      <c r="D399" t="s">
        <v>866</v>
      </c>
      <c r="E399">
        <v>4499377</v>
      </c>
      <c r="F399">
        <v>156316</v>
      </c>
      <c r="G399" t="s">
        <v>899</v>
      </c>
      <c r="H399" t="s">
        <v>902</v>
      </c>
      <c r="I399">
        <v>14</v>
      </c>
      <c r="J399" t="b">
        <v>0</v>
      </c>
      <c r="K399">
        <v>3.5</v>
      </c>
      <c r="L399">
        <v>156315</v>
      </c>
      <c r="M399" t="s">
        <v>901</v>
      </c>
      <c r="N399">
        <v>4</v>
      </c>
      <c r="O399">
        <v>8</v>
      </c>
      <c r="P399"/>
      <c r="Q399">
        <v>134906</v>
      </c>
      <c r="R399">
        <v>1</v>
      </c>
      <c r="S399" t="s">
        <v>40</v>
      </c>
      <c r="T399">
        <v>261</v>
      </c>
      <c r="U399">
        <v>147664</v>
      </c>
      <c r="V399">
        <v>24</v>
      </c>
      <c r="W399" t="s">
        <v>40</v>
      </c>
      <c r="X399">
        <v>261</v>
      </c>
      <c r="Y399" t="s">
        <v>377</v>
      </c>
      <c r="Z399" t="s">
        <v>378</v>
      </c>
      <c r="AA399" t="s">
        <v>379</v>
      </c>
      <c r="AB399" t="s">
        <v>384</v>
      </c>
      <c r="AC399" t="s">
        <v>41</v>
      </c>
      <c r="AD399" t="s">
        <v>41</v>
      </c>
      <c r="AE399" t="s">
        <v>41</v>
      </c>
      <c r="AF399" t="s">
        <v>41</v>
      </c>
      <c r="AK399"/>
    </row>
    <row r="400" spans="1:38" x14ac:dyDescent="0.25">
      <c r="A400" t="s">
        <v>39</v>
      </c>
      <c r="B400">
        <v>45934.319178240738</v>
      </c>
      <c r="C400">
        <v>92309</v>
      </c>
      <c r="D400" t="s">
        <v>866</v>
      </c>
      <c r="E400">
        <v>4499377</v>
      </c>
      <c r="F400">
        <v>156316</v>
      </c>
      <c r="G400" t="s">
        <v>899</v>
      </c>
      <c r="H400" t="s">
        <v>900</v>
      </c>
      <c r="I400">
        <v>14</v>
      </c>
      <c r="J400" t="b">
        <v>1</v>
      </c>
      <c r="K400">
        <v>3.5</v>
      </c>
      <c r="L400">
        <v>156315</v>
      </c>
      <c r="M400" t="s">
        <v>901</v>
      </c>
      <c r="N400">
        <v>4</v>
      </c>
      <c r="O400">
        <v>8</v>
      </c>
      <c r="P400"/>
      <c r="Q400">
        <v>134906</v>
      </c>
      <c r="R400">
        <v>1</v>
      </c>
      <c r="S400" t="s">
        <v>40</v>
      </c>
      <c r="T400">
        <v>261</v>
      </c>
      <c r="U400">
        <v>147664</v>
      </c>
      <c r="V400">
        <v>24</v>
      </c>
      <c r="W400" t="s">
        <v>40</v>
      </c>
      <c r="X400">
        <v>261</v>
      </c>
      <c r="Y400" t="s">
        <v>377</v>
      </c>
      <c r="Z400" t="s">
        <v>378</v>
      </c>
      <c r="AA400" t="s">
        <v>379</v>
      </c>
      <c r="AB400" t="s">
        <v>384</v>
      </c>
      <c r="AC400" t="s">
        <v>41</v>
      </c>
      <c r="AD400" t="s">
        <v>41</v>
      </c>
      <c r="AE400" t="s">
        <v>41</v>
      </c>
      <c r="AF400" t="s">
        <v>41</v>
      </c>
      <c r="AK400"/>
    </row>
    <row r="401" spans="1:38" x14ac:dyDescent="0.25">
      <c r="A401" t="s">
        <v>39</v>
      </c>
      <c r="B401">
        <v>45934.32234953704</v>
      </c>
      <c r="C401">
        <v>92309</v>
      </c>
      <c r="D401" t="s">
        <v>866</v>
      </c>
      <c r="E401">
        <v>4499376</v>
      </c>
      <c r="F401">
        <v>156316</v>
      </c>
      <c r="G401" t="s">
        <v>899</v>
      </c>
      <c r="H401" t="s">
        <v>900</v>
      </c>
      <c r="I401">
        <v>14</v>
      </c>
      <c r="J401" t="b">
        <v>1</v>
      </c>
      <c r="K401">
        <v>3.5</v>
      </c>
      <c r="L401">
        <v>156315</v>
      </c>
      <c r="M401" t="s">
        <v>901</v>
      </c>
      <c r="N401">
        <v>4</v>
      </c>
      <c r="O401">
        <v>4</v>
      </c>
      <c r="P401"/>
      <c r="Q401">
        <v>134905</v>
      </c>
      <c r="R401">
        <v>1</v>
      </c>
      <c r="S401" t="s">
        <v>40</v>
      </c>
      <c r="T401">
        <v>261</v>
      </c>
      <c r="U401">
        <v>147664</v>
      </c>
      <c r="V401">
        <v>24</v>
      </c>
      <c r="W401" t="s">
        <v>40</v>
      </c>
      <c r="X401">
        <v>261</v>
      </c>
      <c r="Y401" t="s">
        <v>377</v>
      </c>
      <c r="Z401" t="s">
        <v>378</v>
      </c>
      <c r="AA401" t="s">
        <v>379</v>
      </c>
      <c r="AB401" t="s">
        <v>384</v>
      </c>
      <c r="AC401" t="s">
        <v>41</v>
      </c>
      <c r="AD401" t="s">
        <v>41</v>
      </c>
      <c r="AE401" t="s">
        <v>41</v>
      </c>
      <c r="AF401" t="s">
        <v>41</v>
      </c>
      <c r="AK401"/>
    </row>
    <row r="402" spans="1:38" x14ac:dyDescent="0.25">
      <c r="A402" t="s">
        <v>38</v>
      </c>
      <c r="B402">
        <v>45934.384988425925</v>
      </c>
      <c r="C402">
        <v>92350</v>
      </c>
      <c r="D402" t="s">
        <v>866</v>
      </c>
      <c r="E402">
        <v>4497504</v>
      </c>
      <c r="F402">
        <v>2304988</v>
      </c>
      <c r="G402" t="s">
        <v>887</v>
      </c>
      <c r="H402" t="s">
        <v>903</v>
      </c>
      <c r="I402">
        <v>14</v>
      </c>
      <c r="J402" t="b">
        <v>0</v>
      </c>
      <c r="K402">
        <v>1.75</v>
      </c>
      <c r="L402">
        <v>2304989</v>
      </c>
      <c r="M402" t="s">
        <v>888</v>
      </c>
      <c r="N402">
        <v>8</v>
      </c>
      <c r="O402">
        <v>8</v>
      </c>
      <c r="P402"/>
      <c r="Q402">
        <v>155687</v>
      </c>
      <c r="R402">
        <v>1</v>
      </c>
      <c r="S402" t="s">
        <v>40</v>
      </c>
      <c r="T402">
        <v>261</v>
      </c>
      <c r="U402">
        <v>147664</v>
      </c>
      <c r="V402">
        <v>24</v>
      </c>
      <c r="W402" t="s">
        <v>40</v>
      </c>
      <c r="X402">
        <v>261</v>
      </c>
      <c r="Y402" t="s">
        <v>377</v>
      </c>
      <c r="Z402" t="s">
        <v>378</v>
      </c>
      <c r="AA402" t="s">
        <v>384</v>
      </c>
      <c r="AB402" t="s">
        <v>384</v>
      </c>
      <c r="AC402" t="s">
        <v>41</v>
      </c>
      <c r="AD402" t="s">
        <v>41</v>
      </c>
      <c r="AE402" t="s">
        <v>41</v>
      </c>
      <c r="AF402" t="s">
        <v>41</v>
      </c>
      <c r="AK402"/>
    </row>
    <row r="403" spans="1:38" x14ac:dyDescent="0.25">
      <c r="A403" t="s">
        <v>38</v>
      </c>
      <c r="B403">
        <v>45934.389872685184</v>
      </c>
      <c r="C403">
        <v>92350</v>
      </c>
      <c r="D403" t="s">
        <v>866</v>
      </c>
      <c r="E403">
        <v>4497504</v>
      </c>
      <c r="F403">
        <v>2304988</v>
      </c>
      <c r="G403" t="s">
        <v>887</v>
      </c>
      <c r="H403" t="s">
        <v>824</v>
      </c>
      <c r="I403">
        <v>14</v>
      </c>
      <c r="J403" t="b">
        <v>1</v>
      </c>
      <c r="K403">
        <v>1.75</v>
      </c>
      <c r="L403">
        <v>2304989</v>
      </c>
      <c r="M403" t="s">
        <v>888</v>
      </c>
      <c r="N403">
        <v>8</v>
      </c>
      <c r="O403">
        <v>8</v>
      </c>
      <c r="P403"/>
      <c r="Q403">
        <v>155687</v>
      </c>
      <c r="R403">
        <v>1</v>
      </c>
      <c r="S403" t="s">
        <v>40</v>
      </c>
      <c r="T403">
        <v>261</v>
      </c>
      <c r="U403">
        <v>147664</v>
      </c>
      <c r="V403">
        <v>48</v>
      </c>
      <c r="W403" t="s">
        <v>40</v>
      </c>
      <c r="X403">
        <v>261</v>
      </c>
      <c r="Y403" t="s">
        <v>377</v>
      </c>
      <c r="Z403" t="s">
        <v>378</v>
      </c>
      <c r="AA403" t="s">
        <v>384</v>
      </c>
      <c r="AB403" t="s">
        <v>384</v>
      </c>
      <c r="AC403" t="s">
        <v>41</v>
      </c>
      <c r="AD403" t="s">
        <v>41</v>
      </c>
      <c r="AE403" t="s">
        <v>41</v>
      </c>
      <c r="AF403" t="s">
        <v>41</v>
      </c>
      <c r="AI403">
        <v>155687</v>
      </c>
      <c r="AJ403">
        <v>1</v>
      </c>
      <c r="AK403" t="s">
        <v>40</v>
      </c>
      <c r="AL403">
        <v>261</v>
      </c>
    </row>
    <row r="404" spans="1:38" x14ac:dyDescent="0.25">
      <c r="A404" t="s">
        <v>43</v>
      </c>
      <c r="B404">
        <v>45934.45925925926</v>
      </c>
      <c r="C404">
        <v>92182</v>
      </c>
      <c r="D404" t="s">
        <v>866</v>
      </c>
      <c r="E404">
        <v>4498523</v>
      </c>
      <c r="F404">
        <v>2104881</v>
      </c>
      <c r="G404" t="s">
        <v>600</v>
      </c>
      <c r="H404" t="s">
        <v>904</v>
      </c>
      <c r="I404">
        <v>10</v>
      </c>
      <c r="J404" t="b">
        <v>1</v>
      </c>
      <c r="K404">
        <v>2</v>
      </c>
      <c r="L404">
        <v>2106201</v>
      </c>
      <c r="M404" t="s">
        <v>602</v>
      </c>
      <c r="N404">
        <v>5</v>
      </c>
      <c r="O404">
        <v>9</v>
      </c>
      <c r="P404"/>
      <c r="Q404">
        <v>134905</v>
      </c>
      <c r="R404">
        <v>1</v>
      </c>
      <c r="S404" t="s">
        <v>40</v>
      </c>
      <c r="T404">
        <v>261</v>
      </c>
      <c r="U404">
        <v>147664</v>
      </c>
      <c r="V404">
        <v>24</v>
      </c>
      <c r="W404" t="s">
        <v>40</v>
      </c>
      <c r="X404">
        <v>261</v>
      </c>
      <c r="Y404" t="s">
        <v>377</v>
      </c>
      <c r="Z404" t="s">
        <v>378</v>
      </c>
      <c r="AA404" t="s">
        <v>379</v>
      </c>
      <c r="AB404" t="s">
        <v>559</v>
      </c>
      <c r="AC404" t="s">
        <v>41</v>
      </c>
      <c r="AD404" t="s">
        <v>41</v>
      </c>
      <c r="AE404" t="s">
        <v>41</v>
      </c>
      <c r="AF404" t="s">
        <v>41</v>
      </c>
      <c r="AK404"/>
    </row>
    <row r="405" spans="1:38" x14ac:dyDescent="0.25">
      <c r="A405" t="s">
        <v>43</v>
      </c>
      <c r="B405">
        <v>45934.461724537039</v>
      </c>
      <c r="C405">
        <v>92182</v>
      </c>
      <c r="D405" t="s">
        <v>866</v>
      </c>
      <c r="E405">
        <v>4498522</v>
      </c>
      <c r="F405">
        <v>2104881</v>
      </c>
      <c r="G405" t="s">
        <v>600</v>
      </c>
      <c r="H405" t="s">
        <v>904</v>
      </c>
      <c r="I405">
        <v>10</v>
      </c>
      <c r="J405" t="b">
        <v>1</v>
      </c>
      <c r="K405">
        <v>2.5</v>
      </c>
      <c r="L405">
        <v>2106201</v>
      </c>
      <c r="M405" t="s">
        <v>602</v>
      </c>
      <c r="N405">
        <v>4</v>
      </c>
      <c r="O405">
        <v>4</v>
      </c>
      <c r="P405"/>
      <c r="Q405">
        <v>134905</v>
      </c>
      <c r="R405">
        <v>1</v>
      </c>
      <c r="S405" t="s">
        <v>40</v>
      </c>
      <c r="T405">
        <v>261</v>
      </c>
      <c r="U405">
        <v>147664</v>
      </c>
      <c r="V405">
        <v>24</v>
      </c>
      <c r="W405" t="s">
        <v>40</v>
      </c>
      <c r="X405">
        <v>261</v>
      </c>
      <c r="Y405" t="s">
        <v>377</v>
      </c>
      <c r="Z405" t="s">
        <v>378</v>
      </c>
      <c r="AA405" t="s">
        <v>379</v>
      </c>
      <c r="AB405" t="s">
        <v>384</v>
      </c>
      <c r="AC405" t="s">
        <v>41</v>
      </c>
      <c r="AD405" t="s">
        <v>41</v>
      </c>
      <c r="AE405" t="s">
        <v>41</v>
      </c>
      <c r="AF405" t="s">
        <v>41</v>
      </c>
      <c r="AK405"/>
    </row>
    <row r="406" spans="1:38" x14ac:dyDescent="0.25">
      <c r="A406" t="s">
        <v>37</v>
      </c>
      <c r="B406">
        <v>45934.661481481482</v>
      </c>
      <c r="C406">
        <v>92274</v>
      </c>
      <c r="D406" t="s">
        <v>866</v>
      </c>
      <c r="E406">
        <v>4498406</v>
      </c>
      <c r="F406">
        <v>2104855</v>
      </c>
      <c r="G406" t="s">
        <v>885</v>
      </c>
      <c r="H406" t="s">
        <v>787</v>
      </c>
      <c r="I406">
        <v>10</v>
      </c>
      <c r="J406" t="b">
        <v>1</v>
      </c>
      <c r="K406">
        <v>1.25</v>
      </c>
      <c r="L406">
        <v>2106173</v>
      </c>
      <c r="M406" t="s">
        <v>886</v>
      </c>
      <c r="N406">
        <v>8</v>
      </c>
      <c r="O406">
        <v>12</v>
      </c>
      <c r="P406"/>
      <c r="Q406">
        <v>134905</v>
      </c>
      <c r="R406">
        <v>1</v>
      </c>
      <c r="S406" t="s">
        <v>40</v>
      </c>
      <c r="T406">
        <v>261</v>
      </c>
      <c r="U406">
        <v>147664</v>
      </c>
      <c r="V406">
        <v>24</v>
      </c>
      <c r="W406" t="s">
        <v>40</v>
      </c>
      <c r="X406">
        <v>261</v>
      </c>
      <c r="Y406" t="s">
        <v>377</v>
      </c>
      <c r="Z406" t="s">
        <v>378</v>
      </c>
      <c r="AA406" t="s">
        <v>379</v>
      </c>
      <c r="AB406" t="s">
        <v>400</v>
      </c>
      <c r="AC406" t="s">
        <v>41</v>
      </c>
      <c r="AD406" t="s">
        <v>41</v>
      </c>
      <c r="AE406" t="s">
        <v>41</v>
      </c>
      <c r="AF406" t="s">
        <v>41</v>
      </c>
      <c r="AK406"/>
    </row>
    <row r="407" spans="1:38" x14ac:dyDescent="0.25">
      <c r="A407" t="s">
        <v>37</v>
      </c>
      <c r="B407">
        <v>45934.664456018516</v>
      </c>
      <c r="C407">
        <v>92274</v>
      </c>
      <c r="D407" t="s">
        <v>866</v>
      </c>
      <c r="E407">
        <v>4498405</v>
      </c>
      <c r="F407">
        <v>2104855</v>
      </c>
      <c r="G407" t="s">
        <v>885</v>
      </c>
      <c r="H407" t="s">
        <v>787</v>
      </c>
      <c r="I407">
        <v>10</v>
      </c>
      <c r="J407" t="b">
        <v>1</v>
      </c>
      <c r="K407">
        <v>2.5</v>
      </c>
      <c r="L407">
        <v>2106173</v>
      </c>
      <c r="M407" t="s">
        <v>886</v>
      </c>
      <c r="N407">
        <v>4</v>
      </c>
      <c r="O407">
        <v>4</v>
      </c>
      <c r="P407"/>
      <c r="Q407">
        <v>134905</v>
      </c>
      <c r="R407">
        <v>1</v>
      </c>
      <c r="S407" t="s">
        <v>40</v>
      </c>
      <c r="T407">
        <v>261</v>
      </c>
      <c r="U407">
        <v>147664</v>
      </c>
      <c r="V407">
        <v>24</v>
      </c>
      <c r="W407" t="s">
        <v>40</v>
      </c>
      <c r="X407">
        <v>261</v>
      </c>
      <c r="Y407" t="s">
        <v>377</v>
      </c>
      <c r="Z407" t="s">
        <v>378</v>
      </c>
      <c r="AA407" t="s">
        <v>379</v>
      </c>
      <c r="AB407" t="s">
        <v>384</v>
      </c>
      <c r="AC407" t="s">
        <v>41</v>
      </c>
      <c r="AD407" t="s">
        <v>41</v>
      </c>
      <c r="AE407" t="s">
        <v>41</v>
      </c>
      <c r="AF407" t="s">
        <v>41</v>
      </c>
      <c r="AK407"/>
    </row>
    <row r="408" spans="1:38" x14ac:dyDescent="0.25">
      <c r="A408" t="s">
        <v>42</v>
      </c>
      <c r="B408">
        <v>45934.706736111111</v>
      </c>
      <c r="C408">
        <v>92351</v>
      </c>
      <c r="D408" t="s">
        <v>866</v>
      </c>
      <c r="E408">
        <v>4492511</v>
      </c>
      <c r="F408">
        <v>2304754</v>
      </c>
      <c r="G408" t="s">
        <v>381</v>
      </c>
      <c r="H408" t="s">
        <v>905</v>
      </c>
      <c r="I408">
        <v>14</v>
      </c>
      <c r="J408" t="b">
        <v>1</v>
      </c>
      <c r="K408">
        <v>1.75</v>
      </c>
      <c r="L408">
        <v>2304755</v>
      </c>
      <c r="M408" t="s">
        <v>383</v>
      </c>
      <c r="N408">
        <v>8</v>
      </c>
      <c r="O408">
        <v>8</v>
      </c>
      <c r="P408"/>
      <c r="Q408">
        <v>134905</v>
      </c>
      <c r="R408">
        <v>1</v>
      </c>
      <c r="S408" t="s">
        <v>40</v>
      </c>
      <c r="T408">
        <v>261</v>
      </c>
      <c r="U408">
        <v>147664</v>
      </c>
      <c r="V408">
        <v>48</v>
      </c>
      <c r="W408" t="s">
        <v>40</v>
      </c>
      <c r="X408">
        <v>261</v>
      </c>
      <c r="Y408" t="s">
        <v>377</v>
      </c>
      <c r="Z408" t="s">
        <v>378</v>
      </c>
      <c r="AA408" t="s">
        <v>384</v>
      </c>
      <c r="AB408" t="s">
        <v>400</v>
      </c>
      <c r="AC408" t="s">
        <v>41</v>
      </c>
      <c r="AD408" t="s">
        <v>41</v>
      </c>
      <c r="AE408" t="s">
        <v>41</v>
      </c>
      <c r="AF408" t="s">
        <v>41</v>
      </c>
      <c r="AI408">
        <v>134905</v>
      </c>
      <c r="AJ408">
        <v>1</v>
      </c>
      <c r="AK408" t="s">
        <v>40</v>
      </c>
      <c r="AL408">
        <v>261</v>
      </c>
    </row>
    <row r="409" spans="1:38" x14ac:dyDescent="0.25">
      <c r="A409" t="s">
        <v>39</v>
      </c>
      <c r="B409">
        <v>45935.097569444442</v>
      </c>
      <c r="C409">
        <v>92363</v>
      </c>
      <c r="D409" t="s">
        <v>531</v>
      </c>
      <c r="E409">
        <v>4499112</v>
      </c>
      <c r="F409">
        <v>124116</v>
      </c>
      <c r="G409" t="s">
        <v>723</v>
      </c>
      <c r="H409" t="s">
        <v>663</v>
      </c>
      <c r="I409">
        <v>5</v>
      </c>
      <c r="J409" t="b">
        <v>1</v>
      </c>
      <c r="K409">
        <v>1.2224938875305624E-2</v>
      </c>
      <c r="L409">
        <v>124117</v>
      </c>
      <c r="M409" t="s">
        <v>724</v>
      </c>
      <c r="N409">
        <v>409</v>
      </c>
      <c r="O409">
        <v>466</v>
      </c>
      <c r="P409" t="s">
        <v>906</v>
      </c>
      <c r="Q409">
        <v>0</v>
      </c>
      <c r="R409">
        <v>0</v>
      </c>
      <c r="S409" t="s">
        <v>40</v>
      </c>
      <c r="T409">
        <v>261</v>
      </c>
      <c r="W409"/>
      <c r="Y409" t="s">
        <v>377</v>
      </c>
      <c r="Z409" t="s">
        <v>378</v>
      </c>
      <c r="AA409" t="s">
        <v>379</v>
      </c>
      <c r="AB409" t="s">
        <v>907</v>
      </c>
      <c r="AC409" t="s">
        <v>41</v>
      </c>
      <c r="AD409" t="s">
        <v>41</v>
      </c>
      <c r="AE409" t="s">
        <v>41</v>
      </c>
      <c r="AF409" t="s">
        <v>41</v>
      </c>
      <c r="AK409"/>
    </row>
    <row r="410" spans="1:38" x14ac:dyDescent="0.25">
      <c r="A410" t="s">
        <v>47</v>
      </c>
      <c r="B410">
        <v>45935.100763888891</v>
      </c>
      <c r="C410">
        <v>92392</v>
      </c>
      <c r="D410" t="s">
        <v>531</v>
      </c>
      <c r="E410">
        <v>4497115</v>
      </c>
      <c r="F410">
        <v>2310276</v>
      </c>
      <c r="G410" t="s">
        <v>908</v>
      </c>
      <c r="H410" t="s">
        <v>582</v>
      </c>
      <c r="I410">
        <v>7.5</v>
      </c>
      <c r="J410" t="b">
        <v>1</v>
      </c>
      <c r="K410">
        <v>4.807692307692308E-2</v>
      </c>
      <c r="L410">
        <v>2310277</v>
      </c>
      <c r="M410" t="s">
        <v>909</v>
      </c>
      <c r="N410">
        <v>156</v>
      </c>
      <c r="O410">
        <v>388</v>
      </c>
      <c r="P410"/>
      <c r="Q410">
        <v>134976</v>
      </c>
      <c r="R410">
        <v>1</v>
      </c>
      <c r="S410" t="s">
        <v>40</v>
      </c>
      <c r="T410">
        <v>261</v>
      </c>
      <c r="W410"/>
      <c r="Y410" t="s">
        <v>377</v>
      </c>
      <c r="Z410" t="s">
        <v>378</v>
      </c>
      <c r="AA410" t="s">
        <v>379</v>
      </c>
      <c r="AB410" t="s">
        <v>584</v>
      </c>
      <c r="AC410" t="s">
        <v>41</v>
      </c>
      <c r="AD410" t="s">
        <v>41</v>
      </c>
      <c r="AE410" t="s">
        <v>41</v>
      </c>
      <c r="AF410" t="s">
        <v>41</v>
      </c>
      <c r="AK410"/>
    </row>
    <row r="411" spans="1:38" x14ac:dyDescent="0.25">
      <c r="A411" t="s">
        <v>37</v>
      </c>
      <c r="B411">
        <v>45935.106261574074</v>
      </c>
      <c r="C411">
        <v>92364</v>
      </c>
      <c r="D411" t="s">
        <v>531</v>
      </c>
      <c r="E411">
        <v>4499113</v>
      </c>
      <c r="F411">
        <v>124116</v>
      </c>
      <c r="G411" t="s">
        <v>723</v>
      </c>
      <c r="H411" t="s">
        <v>742</v>
      </c>
      <c r="I411">
        <v>5</v>
      </c>
      <c r="J411" t="b">
        <v>1</v>
      </c>
      <c r="K411">
        <v>2.3923444976076555E-2</v>
      </c>
      <c r="L411">
        <v>124117</v>
      </c>
      <c r="M411" t="s">
        <v>724</v>
      </c>
      <c r="N411">
        <v>209</v>
      </c>
      <c r="O411">
        <v>152</v>
      </c>
      <c r="P411"/>
      <c r="Q411">
        <v>0</v>
      </c>
      <c r="R411">
        <v>0</v>
      </c>
      <c r="S411" t="s">
        <v>40</v>
      </c>
      <c r="T411">
        <v>261</v>
      </c>
      <c r="W411"/>
      <c r="Y411" t="s">
        <v>377</v>
      </c>
      <c r="Z411" t="s">
        <v>378</v>
      </c>
      <c r="AA411" t="s">
        <v>379</v>
      </c>
      <c r="AB411" t="s">
        <v>895</v>
      </c>
      <c r="AC411" t="s">
        <v>41</v>
      </c>
      <c r="AD411" t="s">
        <v>41</v>
      </c>
      <c r="AE411" t="s">
        <v>41</v>
      </c>
      <c r="AF411" t="s">
        <v>41</v>
      </c>
      <c r="AK411"/>
    </row>
    <row r="412" spans="1:38" x14ac:dyDescent="0.25">
      <c r="A412" t="s">
        <v>38</v>
      </c>
      <c r="B412">
        <v>45935.111574074072</v>
      </c>
      <c r="C412">
        <v>92183</v>
      </c>
      <c r="D412" t="s">
        <v>531</v>
      </c>
      <c r="E412">
        <v>4498524</v>
      </c>
      <c r="F412">
        <v>2104881</v>
      </c>
      <c r="G412" t="s">
        <v>600</v>
      </c>
      <c r="H412" t="s">
        <v>910</v>
      </c>
      <c r="I412">
        <v>10</v>
      </c>
      <c r="J412" t="b">
        <v>1</v>
      </c>
      <c r="K412">
        <v>2.5</v>
      </c>
      <c r="L412">
        <v>2106201</v>
      </c>
      <c r="M412" t="s">
        <v>602</v>
      </c>
      <c r="N412">
        <v>4</v>
      </c>
      <c r="O412">
        <v>4</v>
      </c>
      <c r="P412"/>
      <c r="Q412">
        <v>134905</v>
      </c>
      <c r="R412">
        <v>1</v>
      </c>
      <c r="S412" t="s">
        <v>40</v>
      </c>
      <c r="T412">
        <v>261</v>
      </c>
      <c r="U412">
        <v>147664</v>
      </c>
      <c r="V412">
        <v>24</v>
      </c>
      <c r="W412" t="s">
        <v>40</v>
      </c>
      <c r="X412">
        <v>261</v>
      </c>
      <c r="Y412" t="s">
        <v>377</v>
      </c>
      <c r="Z412" t="s">
        <v>378</v>
      </c>
      <c r="AA412" t="s">
        <v>379</v>
      </c>
      <c r="AB412" t="s">
        <v>384</v>
      </c>
      <c r="AC412" t="s">
        <v>41</v>
      </c>
      <c r="AD412" t="s">
        <v>41</v>
      </c>
      <c r="AE412" t="s">
        <v>41</v>
      </c>
      <c r="AF412" t="s">
        <v>41</v>
      </c>
      <c r="AK412"/>
    </row>
    <row r="413" spans="1:38" x14ac:dyDescent="0.25">
      <c r="A413" t="s">
        <v>38</v>
      </c>
      <c r="B413">
        <v>45935.113182870373</v>
      </c>
      <c r="C413">
        <v>92183</v>
      </c>
      <c r="D413" t="s">
        <v>531</v>
      </c>
      <c r="E413">
        <v>4498525</v>
      </c>
      <c r="F413">
        <v>2104881</v>
      </c>
      <c r="G413" t="s">
        <v>600</v>
      </c>
      <c r="H413" t="s">
        <v>910</v>
      </c>
      <c r="I413">
        <v>10</v>
      </c>
      <c r="J413" t="b">
        <v>1</v>
      </c>
      <c r="K413">
        <v>2</v>
      </c>
      <c r="L413">
        <v>2106201</v>
      </c>
      <c r="M413" t="s">
        <v>602</v>
      </c>
      <c r="N413">
        <v>5</v>
      </c>
      <c r="O413">
        <v>5</v>
      </c>
      <c r="P413"/>
      <c r="Q413">
        <v>134905</v>
      </c>
      <c r="R413">
        <v>1</v>
      </c>
      <c r="S413" t="s">
        <v>40</v>
      </c>
      <c r="T413">
        <v>261</v>
      </c>
      <c r="U413">
        <v>147664</v>
      </c>
      <c r="V413">
        <v>24</v>
      </c>
      <c r="W413" t="s">
        <v>40</v>
      </c>
      <c r="X413">
        <v>261</v>
      </c>
      <c r="Y413" t="s">
        <v>377</v>
      </c>
      <c r="Z413" t="s">
        <v>378</v>
      </c>
      <c r="AA413" t="s">
        <v>379</v>
      </c>
      <c r="AB413" t="s">
        <v>559</v>
      </c>
      <c r="AC413" t="s">
        <v>41</v>
      </c>
      <c r="AD413" t="s">
        <v>41</v>
      </c>
      <c r="AE413" t="s">
        <v>41</v>
      </c>
      <c r="AF413" t="s">
        <v>41</v>
      </c>
      <c r="AK413"/>
    </row>
    <row r="414" spans="1:38" x14ac:dyDescent="0.25">
      <c r="A414" t="s">
        <v>44</v>
      </c>
      <c r="B414">
        <v>45935.115995370368</v>
      </c>
      <c r="C414">
        <v>92304</v>
      </c>
      <c r="D414" t="s">
        <v>531</v>
      </c>
      <c r="E414">
        <v>4495302</v>
      </c>
      <c r="F414">
        <v>120138</v>
      </c>
      <c r="G414" t="s">
        <v>911</v>
      </c>
      <c r="H414" t="s">
        <v>912</v>
      </c>
      <c r="I414">
        <v>14</v>
      </c>
      <c r="J414" t="b">
        <v>1</v>
      </c>
      <c r="K414">
        <v>1.75</v>
      </c>
      <c r="L414">
        <v>156315</v>
      </c>
      <c r="M414" t="s">
        <v>901</v>
      </c>
      <c r="N414">
        <v>8</v>
      </c>
      <c r="O414">
        <v>10</v>
      </c>
      <c r="P414"/>
      <c r="Q414">
        <v>134905</v>
      </c>
      <c r="R414">
        <v>2</v>
      </c>
      <c r="S414" t="s">
        <v>40</v>
      </c>
      <c r="T414">
        <v>261</v>
      </c>
      <c r="U414">
        <v>147664</v>
      </c>
      <c r="V414">
        <v>48</v>
      </c>
      <c r="W414" t="s">
        <v>40</v>
      </c>
      <c r="X414">
        <v>261</v>
      </c>
      <c r="Y414" t="s">
        <v>377</v>
      </c>
      <c r="Z414" t="s">
        <v>378</v>
      </c>
      <c r="AA414" t="s">
        <v>384</v>
      </c>
      <c r="AB414" t="s">
        <v>384</v>
      </c>
      <c r="AC414" t="s">
        <v>41</v>
      </c>
      <c r="AD414" t="s">
        <v>41</v>
      </c>
      <c r="AE414" t="s">
        <v>41</v>
      </c>
      <c r="AF414" t="s">
        <v>41</v>
      </c>
      <c r="AK414"/>
    </row>
    <row r="415" spans="1:38" x14ac:dyDescent="0.25">
      <c r="A415" t="s">
        <v>39</v>
      </c>
      <c r="B415">
        <v>45935.370706018519</v>
      </c>
      <c r="C415">
        <v>92394</v>
      </c>
      <c r="D415" t="s">
        <v>866</v>
      </c>
      <c r="E415">
        <v>4498431</v>
      </c>
      <c r="F415">
        <v>2116456</v>
      </c>
      <c r="G415" t="s">
        <v>913</v>
      </c>
      <c r="H415" t="s">
        <v>582</v>
      </c>
      <c r="I415">
        <v>1.5</v>
      </c>
      <c r="J415" t="b">
        <v>1</v>
      </c>
      <c r="K415">
        <v>5.3003533568904597E-3</v>
      </c>
      <c r="L415">
        <v>2117613</v>
      </c>
      <c r="M415" t="s">
        <v>914</v>
      </c>
      <c r="N415">
        <v>283</v>
      </c>
      <c r="O415">
        <v>283</v>
      </c>
      <c r="P415"/>
      <c r="Q415">
        <v>134976</v>
      </c>
      <c r="R415">
        <v>1</v>
      </c>
      <c r="S415" t="s">
        <v>40</v>
      </c>
      <c r="T415">
        <v>261</v>
      </c>
      <c r="W415"/>
      <c r="Y415" t="s">
        <v>377</v>
      </c>
      <c r="Z415" t="s">
        <v>378</v>
      </c>
      <c r="AA415" t="s">
        <v>379</v>
      </c>
      <c r="AB415" t="s">
        <v>915</v>
      </c>
      <c r="AC415" t="s">
        <v>41</v>
      </c>
      <c r="AD415" t="s">
        <v>41</v>
      </c>
      <c r="AE415" t="s">
        <v>41</v>
      </c>
      <c r="AF415" t="s">
        <v>41</v>
      </c>
      <c r="AK415"/>
    </row>
    <row r="416" spans="1:38" x14ac:dyDescent="0.25">
      <c r="A416" t="s">
        <v>43</v>
      </c>
      <c r="B416">
        <v>45935.467858796299</v>
      </c>
      <c r="C416">
        <v>92310</v>
      </c>
      <c r="D416" t="s">
        <v>866</v>
      </c>
      <c r="E416">
        <v>4499379</v>
      </c>
      <c r="F416">
        <v>156316</v>
      </c>
      <c r="G416" t="s">
        <v>899</v>
      </c>
      <c r="H416" t="s">
        <v>912</v>
      </c>
      <c r="I416">
        <v>14</v>
      </c>
      <c r="J416" t="b">
        <v>1</v>
      </c>
      <c r="K416">
        <v>3.5</v>
      </c>
      <c r="L416">
        <v>156315</v>
      </c>
      <c r="M416" t="s">
        <v>901</v>
      </c>
      <c r="N416">
        <v>4</v>
      </c>
      <c r="O416">
        <v>4</v>
      </c>
      <c r="P416"/>
      <c r="Q416">
        <v>134905</v>
      </c>
      <c r="R416">
        <v>1</v>
      </c>
      <c r="S416" t="s">
        <v>40</v>
      </c>
      <c r="T416">
        <v>261</v>
      </c>
      <c r="U416">
        <v>147664</v>
      </c>
      <c r="V416">
        <v>24</v>
      </c>
      <c r="W416" t="s">
        <v>40</v>
      </c>
      <c r="X416">
        <v>261</v>
      </c>
      <c r="Y416" t="s">
        <v>377</v>
      </c>
      <c r="Z416" t="s">
        <v>378</v>
      </c>
      <c r="AA416" t="s">
        <v>379</v>
      </c>
      <c r="AB416" t="s">
        <v>384</v>
      </c>
      <c r="AC416" t="s">
        <v>41</v>
      </c>
      <c r="AD416" t="s">
        <v>41</v>
      </c>
      <c r="AE416" t="s">
        <v>41</v>
      </c>
      <c r="AF416" t="s">
        <v>41</v>
      </c>
      <c r="AK416"/>
    </row>
    <row r="417" spans="1:37" x14ac:dyDescent="0.25">
      <c r="A417" t="s">
        <v>43</v>
      </c>
      <c r="B417">
        <v>45935.468530092592</v>
      </c>
      <c r="C417">
        <v>92310</v>
      </c>
      <c r="D417" t="s">
        <v>866</v>
      </c>
      <c r="E417">
        <v>4499378</v>
      </c>
      <c r="F417">
        <v>156316</v>
      </c>
      <c r="G417" t="s">
        <v>899</v>
      </c>
      <c r="H417" t="s">
        <v>912</v>
      </c>
      <c r="I417">
        <v>14</v>
      </c>
      <c r="J417" t="b">
        <v>1</v>
      </c>
      <c r="K417">
        <v>3.5</v>
      </c>
      <c r="L417">
        <v>156315</v>
      </c>
      <c r="M417" t="s">
        <v>901</v>
      </c>
      <c r="N417">
        <v>4</v>
      </c>
      <c r="O417">
        <v>4</v>
      </c>
      <c r="P417"/>
      <c r="Q417">
        <v>134905</v>
      </c>
      <c r="R417">
        <v>1</v>
      </c>
      <c r="S417" t="s">
        <v>40</v>
      </c>
      <c r="T417">
        <v>261</v>
      </c>
      <c r="U417">
        <v>147664</v>
      </c>
      <c r="V417">
        <v>24</v>
      </c>
      <c r="W417" t="s">
        <v>40</v>
      </c>
      <c r="X417">
        <v>261</v>
      </c>
      <c r="Y417" t="s">
        <v>377</v>
      </c>
      <c r="Z417" t="s">
        <v>378</v>
      </c>
      <c r="AA417" t="s">
        <v>379</v>
      </c>
      <c r="AB417" t="s">
        <v>384</v>
      </c>
      <c r="AC417" t="s">
        <v>41</v>
      </c>
      <c r="AD417" t="s">
        <v>41</v>
      </c>
      <c r="AE417" t="s">
        <v>41</v>
      </c>
      <c r="AF417" t="s">
        <v>41</v>
      </c>
      <c r="AK417"/>
    </row>
    <row r="418" spans="1:37" x14ac:dyDescent="0.25">
      <c r="A418" t="s">
        <v>37</v>
      </c>
      <c r="B418">
        <v>45935.555497685185</v>
      </c>
      <c r="C418">
        <v>92395</v>
      </c>
      <c r="D418" t="s">
        <v>866</v>
      </c>
      <c r="E418">
        <v>4498431</v>
      </c>
      <c r="F418">
        <v>2116456</v>
      </c>
      <c r="G418" t="s">
        <v>913</v>
      </c>
      <c r="H418" t="s">
        <v>582</v>
      </c>
      <c r="I418">
        <v>1.5</v>
      </c>
      <c r="J418" t="b">
        <v>1</v>
      </c>
      <c r="K418">
        <v>3.6585365853658534E-2</v>
      </c>
      <c r="L418">
        <v>2117613</v>
      </c>
      <c r="M418" t="s">
        <v>914</v>
      </c>
      <c r="N418">
        <v>41</v>
      </c>
      <c r="O418">
        <v>41</v>
      </c>
      <c r="P418"/>
      <c r="Q418">
        <v>134976</v>
      </c>
      <c r="R418">
        <v>1</v>
      </c>
      <c r="S418" t="s">
        <v>40</v>
      </c>
      <c r="T418">
        <v>261</v>
      </c>
      <c r="W418"/>
      <c r="Y418" t="s">
        <v>377</v>
      </c>
      <c r="Z418" t="s">
        <v>378</v>
      </c>
      <c r="AA418" t="s">
        <v>379</v>
      </c>
      <c r="AB418" t="s">
        <v>916</v>
      </c>
      <c r="AC418" t="s">
        <v>41</v>
      </c>
      <c r="AD418" t="s">
        <v>41</v>
      </c>
      <c r="AE418" t="s">
        <v>41</v>
      </c>
      <c r="AF418" t="s">
        <v>41</v>
      </c>
      <c r="AK418"/>
    </row>
    <row r="419" spans="1:37" x14ac:dyDescent="0.25">
      <c r="A419" t="s">
        <v>42</v>
      </c>
      <c r="B419">
        <v>45935.696261574078</v>
      </c>
      <c r="C419">
        <v>92275</v>
      </c>
      <c r="D419" t="s">
        <v>866</v>
      </c>
      <c r="E419">
        <v>4498408</v>
      </c>
      <c r="F419">
        <v>2104855</v>
      </c>
      <c r="G419" t="s">
        <v>885</v>
      </c>
      <c r="H419" t="s">
        <v>796</v>
      </c>
      <c r="I419">
        <v>10</v>
      </c>
      <c r="J419" t="b">
        <v>1</v>
      </c>
      <c r="K419">
        <v>1.25</v>
      </c>
      <c r="L419">
        <v>2106173</v>
      </c>
      <c r="M419" t="s">
        <v>886</v>
      </c>
      <c r="N419">
        <v>8</v>
      </c>
      <c r="O419">
        <v>8</v>
      </c>
      <c r="P419"/>
      <c r="Q419">
        <v>134906</v>
      </c>
      <c r="R419">
        <v>1</v>
      </c>
      <c r="S419" t="s">
        <v>40</v>
      </c>
      <c r="T419">
        <v>261</v>
      </c>
      <c r="U419">
        <v>147664</v>
      </c>
      <c r="V419">
        <v>24</v>
      </c>
      <c r="W419" t="s">
        <v>40</v>
      </c>
      <c r="X419">
        <v>261</v>
      </c>
      <c r="Y419" t="s">
        <v>377</v>
      </c>
      <c r="Z419" t="s">
        <v>378</v>
      </c>
      <c r="AA419" t="s">
        <v>379</v>
      </c>
      <c r="AB419" t="s">
        <v>400</v>
      </c>
      <c r="AC419" t="s">
        <v>41</v>
      </c>
      <c r="AD419" t="s">
        <v>41</v>
      </c>
      <c r="AE419" t="s">
        <v>41</v>
      </c>
      <c r="AF419" t="s">
        <v>41</v>
      </c>
      <c r="AK419"/>
    </row>
    <row r="420" spans="1:37" x14ac:dyDescent="0.25">
      <c r="A420" t="s">
        <v>42</v>
      </c>
      <c r="B420">
        <v>45935.69703703704</v>
      </c>
      <c r="C420">
        <v>92275</v>
      </c>
      <c r="D420" t="s">
        <v>866</v>
      </c>
      <c r="E420">
        <v>4498407</v>
      </c>
      <c r="F420">
        <v>2104855</v>
      </c>
      <c r="G420" t="s">
        <v>885</v>
      </c>
      <c r="H420" t="s">
        <v>796</v>
      </c>
      <c r="I420">
        <v>10</v>
      </c>
      <c r="J420" t="b">
        <v>1</v>
      </c>
      <c r="K420">
        <v>2.5</v>
      </c>
      <c r="L420">
        <v>2106173</v>
      </c>
      <c r="M420" t="s">
        <v>886</v>
      </c>
      <c r="N420">
        <v>4</v>
      </c>
      <c r="O420">
        <v>4</v>
      </c>
      <c r="P420"/>
      <c r="Q420">
        <v>134906</v>
      </c>
      <c r="R420">
        <v>1</v>
      </c>
      <c r="S420" t="s">
        <v>40</v>
      </c>
      <c r="T420">
        <v>261</v>
      </c>
      <c r="U420">
        <v>147664</v>
      </c>
      <c r="V420">
        <v>24</v>
      </c>
      <c r="W420" t="s">
        <v>40</v>
      </c>
      <c r="X420">
        <v>261</v>
      </c>
      <c r="Y420" t="s">
        <v>377</v>
      </c>
      <c r="Z420" t="s">
        <v>378</v>
      </c>
      <c r="AA420" t="s">
        <v>379</v>
      </c>
      <c r="AB420" t="s">
        <v>384</v>
      </c>
      <c r="AC420" t="s">
        <v>41</v>
      </c>
      <c r="AD420" t="s">
        <v>41</v>
      </c>
      <c r="AE420" t="s">
        <v>41</v>
      </c>
      <c r="AF420" t="s">
        <v>41</v>
      </c>
      <c r="AK420"/>
    </row>
    <row r="421" spans="1:37" x14ac:dyDescent="0.25">
      <c r="A421" t="s">
        <v>39</v>
      </c>
      <c r="B421">
        <v>45935.713310185187</v>
      </c>
      <c r="C421">
        <v>92365</v>
      </c>
      <c r="D421" t="s">
        <v>866</v>
      </c>
      <c r="E421">
        <v>4495476</v>
      </c>
      <c r="F421">
        <v>2105604</v>
      </c>
      <c r="G421" t="s">
        <v>917</v>
      </c>
      <c r="H421" t="s">
        <v>618</v>
      </c>
      <c r="I421">
        <v>2.5</v>
      </c>
      <c r="J421" t="b">
        <v>1</v>
      </c>
      <c r="K421">
        <v>3.4722222222222224E-2</v>
      </c>
      <c r="L421">
        <v>2106871</v>
      </c>
      <c r="M421" t="s">
        <v>918</v>
      </c>
      <c r="N421">
        <v>72</v>
      </c>
      <c r="O421">
        <v>72</v>
      </c>
      <c r="P421"/>
      <c r="Q421">
        <v>134976</v>
      </c>
      <c r="R421">
        <v>1</v>
      </c>
      <c r="S421" t="s">
        <v>40</v>
      </c>
      <c r="T421">
        <v>261</v>
      </c>
      <c r="W421"/>
      <c r="Y421" t="s">
        <v>377</v>
      </c>
      <c r="Z421" t="s">
        <v>378</v>
      </c>
      <c r="AA421" t="s">
        <v>379</v>
      </c>
      <c r="AB421" t="s">
        <v>919</v>
      </c>
      <c r="AC421" t="s">
        <v>41</v>
      </c>
      <c r="AD421" t="s">
        <v>41</v>
      </c>
      <c r="AE421" t="s">
        <v>41</v>
      </c>
      <c r="AF421" t="s">
        <v>41</v>
      </c>
      <c r="AK421"/>
    </row>
    <row r="422" spans="1:37" x14ac:dyDescent="0.25">
      <c r="A422" t="s">
        <v>38</v>
      </c>
      <c r="B422">
        <v>45935.991435185184</v>
      </c>
      <c r="C422">
        <v>92185</v>
      </c>
      <c r="D422" t="s">
        <v>545</v>
      </c>
      <c r="E422">
        <v>4499318</v>
      </c>
      <c r="F422">
        <v>2104881</v>
      </c>
      <c r="G422" t="s">
        <v>600</v>
      </c>
      <c r="H422" t="s">
        <v>920</v>
      </c>
      <c r="I422">
        <v>6</v>
      </c>
      <c r="J422" t="b">
        <v>1</v>
      </c>
      <c r="K422">
        <v>1.2</v>
      </c>
      <c r="L422">
        <v>2106201</v>
      </c>
      <c r="M422" t="s">
        <v>602</v>
      </c>
      <c r="N422">
        <v>5</v>
      </c>
      <c r="O422">
        <v>5</v>
      </c>
      <c r="P422"/>
      <c r="Q422">
        <v>134905</v>
      </c>
      <c r="R422">
        <v>1</v>
      </c>
      <c r="S422" t="s">
        <v>40</v>
      </c>
      <c r="T422">
        <v>261</v>
      </c>
      <c r="U422">
        <v>147664</v>
      </c>
      <c r="V422">
        <v>24</v>
      </c>
      <c r="W422" t="s">
        <v>40</v>
      </c>
      <c r="X422">
        <v>261</v>
      </c>
      <c r="Y422" t="s">
        <v>377</v>
      </c>
      <c r="Z422" t="s">
        <v>378</v>
      </c>
      <c r="AA422" t="s">
        <v>379</v>
      </c>
      <c r="AB422" t="s">
        <v>559</v>
      </c>
      <c r="AC422" t="s">
        <v>41</v>
      </c>
      <c r="AD422" t="s">
        <v>41</v>
      </c>
      <c r="AE422" t="s">
        <v>41</v>
      </c>
      <c r="AF422" t="s">
        <v>41</v>
      </c>
      <c r="AK422"/>
    </row>
    <row r="423" spans="1:37" x14ac:dyDescent="0.25">
      <c r="A423" t="s">
        <v>38</v>
      </c>
      <c r="B423">
        <v>45935.992013888892</v>
      </c>
      <c r="C423">
        <v>92185</v>
      </c>
      <c r="D423" t="s">
        <v>545</v>
      </c>
      <c r="E423">
        <v>4499319</v>
      </c>
      <c r="F423">
        <v>2104881</v>
      </c>
      <c r="G423" t="s">
        <v>600</v>
      </c>
      <c r="H423" t="s">
        <v>920</v>
      </c>
      <c r="I423">
        <v>6</v>
      </c>
      <c r="J423" t="b">
        <v>1</v>
      </c>
      <c r="K423">
        <v>1.5</v>
      </c>
      <c r="L423">
        <v>2106201</v>
      </c>
      <c r="M423" t="s">
        <v>602</v>
      </c>
      <c r="N423">
        <v>4</v>
      </c>
      <c r="O423">
        <v>4</v>
      </c>
      <c r="P423"/>
      <c r="Q423">
        <v>134905</v>
      </c>
      <c r="R423">
        <v>1</v>
      </c>
      <c r="S423" t="s">
        <v>40</v>
      </c>
      <c r="T423">
        <v>261</v>
      </c>
      <c r="U423">
        <v>147664</v>
      </c>
      <c r="V423">
        <v>24</v>
      </c>
      <c r="W423" t="s">
        <v>40</v>
      </c>
      <c r="X423">
        <v>261</v>
      </c>
      <c r="Y423" t="s">
        <v>377</v>
      </c>
      <c r="Z423" t="s">
        <v>378</v>
      </c>
      <c r="AA423" t="s">
        <v>379</v>
      </c>
      <c r="AB423" t="s">
        <v>384</v>
      </c>
      <c r="AC423" t="s">
        <v>41</v>
      </c>
      <c r="AD423" t="s">
        <v>41</v>
      </c>
      <c r="AE423" t="s">
        <v>41</v>
      </c>
      <c r="AF423" t="s">
        <v>41</v>
      </c>
      <c r="AK423"/>
    </row>
    <row r="424" spans="1:37" x14ac:dyDescent="0.25">
      <c r="A424" t="s">
        <v>45</v>
      </c>
      <c r="B424">
        <v>45936.036504629628</v>
      </c>
      <c r="C424">
        <v>92502</v>
      </c>
      <c r="D424" t="s">
        <v>545</v>
      </c>
      <c r="E424">
        <v>4498824</v>
      </c>
      <c r="F424">
        <v>133168</v>
      </c>
      <c r="G424" t="s">
        <v>863</v>
      </c>
      <c r="H424" t="s">
        <v>921</v>
      </c>
      <c r="I424">
        <v>66</v>
      </c>
      <c r="J424" t="b">
        <v>1</v>
      </c>
      <c r="K424">
        <v>0.77647058823529413</v>
      </c>
      <c r="L424">
        <v>144374</v>
      </c>
      <c r="M424" t="s">
        <v>865</v>
      </c>
      <c r="N424">
        <v>85</v>
      </c>
      <c r="O424">
        <v>85</v>
      </c>
      <c r="P424"/>
      <c r="Q424">
        <v>134908</v>
      </c>
      <c r="R424">
        <v>1</v>
      </c>
      <c r="S424" t="s">
        <v>40</v>
      </c>
      <c r="T424">
        <v>261</v>
      </c>
      <c r="U424">
        <v>147664</v>
      </c>
      <c r="V424">
        <v>24</v>
      </c>
      <c r="W424" t="s">
        <v>40</v>
      </c>
      <c r="X424">
        <v>261</v>
      </c>
      <c r="Y424" t="s">
        <v>377</v>
      </c>
      <c r="Z424" t="s">
        <v>378</v>
      </c>
      <c r="AA424" t="s">
        <v>379</v>
      </c>
      <c r="AB424" t="s">
        <v>841</v>
      </c>
      <c r="AC424" t="s">
        <v>41</v>
      </c>
      <c r="AD424" t="s">
        <v>41</v>
      </c>
      <c r="AE424" t="s">
        <v>41</v>
      </c>
      <c r="AF424" t="s">
        <v>41</v>
      </c>
      <c r="AK424"/>
    </row>
    <row r="425" spans="1:37" x14ac:dyDescent="0.25">
      <c r="A425" t="s">
        <v>44</v>
      </c>
      <c r="B425">
        <v>45936.169479166667</v>
      </c>
      <c r="C425">
        <v>92353</v>
      </c>
      <c r="D425" t="s">
        <v>545</v>
      </c>
      <c r="E425">
        <v>4492512</v>
      </c>
      <c r="F425">
        <v>2304754</v>
      </c>
      <c r="G425" t="s">
        <v>381</v>
      </c>
      <c r="H425" t="s">
        <v>922</v>
      </c>
      <c r="I425">
        <v>16</v>
      </c>
      <c r="J425" t="b">
        <v>1</v>
      </c>
      <c r="K425">
        <v>2</v>
      </c>
      <c r="L425">
        <v>2304755</v>
      </c>
      <c r="M425" t="s">
        <v>383</v>
      </c>
      <c r="N425">
        <v>8</v>
      </c>
      <c r="O425">
        <v>8</v>
      </c>
      <c r="P425"/>
      <c r="Q425">
        <v>134905</v>
      </c>
      <c r="R425">
        <v>2</v>
      </c>
      <c r="S425" t="s">
        <v>40</v>
      </c>
      <c r="T425">
        <v>261</v>
      </c>
      <c r="U425">
        <v>147664</v>
      </c>
      <c r="V425">
        <v>48</v>
      </c>
      <c r="W425" t="s">
        <v>40</v>
      </c>
      <c r="X425">
        <v>261</v>
      </c>
      <c r="Y425" t="s">
        <v>377</v>
      </c>
      <c r="Z425" t="s">
        <v>378</v>
      </c>
      <c r="AA425" t="s">
        <v>384</v>
      </c>
      <c r="AB425" t="s">
        <v>384</v>
      </c>
      <c r="AC425" t="s">
        <v>41</v>
      </c>
      <c r="AD425" t="s">
        <v>41</v>
      </c>
      <c r="AE425" t="s">
        <v>41</v>
      </c>
      <c r="AF425" t="s">
        <v>41</v>
      </c>
      <c r="AK425"/>
    </row>
    <row r="426" spans="1:37" x14ac:dyDescent="0.25">
      <c r="A426" t="s">
        <v>42</v>
      </c>
      <c r="B426">
        <v>45936.296851851854</v>
      </c>
      <c r="C426">
        <v>90422</v>
      </c>
      <c r="D426" t="s">
        <v>669</v>
      </c>
      <c r="E426">
        <v>4498410</v>
      </c>
      <c r="F426">
        <v>2104855</v>
      </c>
      <c r="G426" t="s">
        <v>885</v>
      </c>
      <c r="H426" t="s">
        <v>809</v>
      </c>
      <c r="I426">
        <v>10</v>
      </c>
      <c r="J426" t="b">
        <v>1</v>
      </c>
      <c r="K426">
        <v>1.25</v>
      </c>
      <c r="L426">
        <v>2106173</v>
      </c>
      <c r="M426" t="s">
        <v>886</v>
      </c>
      <c r="N426">
        <v>8</v>
      </c>
      <c r="O426">
        <v>8</v>
      </c>
      <c r="P426"/>
      <c r="Q426">
        <v>134906</v>
      </c>
      <c r="R426">
        <v>1</v>
      </c>
      <c r="S426" t="s">
        <v>40</v>
      </c>
      <c r="T426">
        <v>261</v>
      </c>
      <c r="U426">
        <v>147664</v>
      </c>
      <c r="V426">
        <v>24</v>
      </c>
      <c r="W426" t="s">
        <v>40</v>
      </c>
      <c r="X426">
        <v>261</v>
      </c>
      <c r="Y426" t="s">
        <v>377</v>
      </c>
      <c r="Z426" t="s">
        <v>378</v>
      </c>
      <c r="AA426" t="s">
        <v>379</v>
      </c>
      <c r="AB426" t="s">
        <v>400</v>
      </c>
      <c r="AC426" t="s">
        <v>41</v>
      </c>
      <c r="AD426" t="s">
        <v>41</v>
      </c>
      <c r="AE426" t="s">
        <v>41</v>
      </c>
      <c r="AF426" t="s">
        <v>41</v>
      </c>
      <c r="AK426"/>
    </row>
    <row r="427" spans="1:37" x14ac:dyDescent="0.25">
      <c r="A427" t="s">
        <v>42</v>
      </c>
      <c r="B427">
        <v>45936.298194444447</v>
      </c>
      <c r="C427">
        <v>90422</v>
      </c>
      <c r="D427" t="s">
        <v>669</v>
      </c>
      <c r="E427">
        <v>4498409</v>
      </c>
      <c r="F427">
        <v>2104855</v>
      </c>
      <c r="G427" t="s">
        <v>885</v>
      </c>
      <c r="H427" t="s">
        <v>809</v>
      </c>
      <c r="I427">
        <v>10</v>
      </c>
      <c r="J427" t="b">
        <v>1</v>
      </c>
      <c r="K427">
        <v>2.5</v>
      </c>
      <c r="L427">
        <v>2106173</v>
      </c>
      <c r="M427" t="s">
        <v>886</v>
      </c>
      <c r="N427">
        <v>4</v>
      </c>
      <c r="O427">
        <v>4</v>
      </c>
      <c r="P427"/>
      <c r="Q427">
        <v>134906</v>
      </c>
      <c r="R427">
        <v>1</v>
      </c>
      <c r="S427" t="s">
        <v>40</v>
      </c>
      <c r="T427">
        <v>261</v>
      </c>
      <c r="U427">
        <v>147664</v>
      </c>
      <c r="V427">
        <v>24</v>
      </c>
      <c r="W427" t="s">
        <v>40</v>
      </c>
      <c r="X427">
        <v>261</v>
      </c>
      <c r="Y427" t="s">
        <v>377</v>
      </c>
      <c r="Z427" t="s">
        <v>378</v>
      </c>
      <c r="AA427" t="s">
        <v>379</v>
      </c>
      <c r="AB427" t="s">
        <v>384</v>
      </c>
      <c r="AC427" t="s">
        <v>41</v>
      </c>
      <c r="AD427" t="s">
        <v>41</v>
      </c>
      <c r="AE427" t="s">
        <v>41</v>
      </c>
      <c r="AF427" t="s">
        <v>41</v>
      </c>
      <c r="AK427"/>
    </row>
    <row r="428" spans="1:37" x14ac:dyDescent="0.25">
      <c r="A428" t="s">
        <v>48</v>
      </c>
      <c r="B428">
        <v>45936.461273148147</v>
      </c>
      <c r="C428">
        <v>92503</v>
      </c>
      <c r="D428" t="s">
        <v>669</v>
      </c>
      <c r="E428">
        <v>4498825</v>
      </c>
      <c r="F428">
        <v>133168</v>
      </c>
      <c r="G428" t="s">
        <v>863</v>
      </c>
      <c r="H428" t="s">
        <v>695</v>
      </c>
      <c r="I428">
        <v>64.3</v>
      </c>
      <c r="J428" t="b">
        <v>1</v>
      </c>
      <c r="K428">
        <v>0.75647058823529412</v>
      </c>
      <c r="L428">
        <v>144374</v>
      </c>
      <c r="M428" t="s">
        <v>865</v>
      </c>
      <c r="N428">
        <v>85</v>
      </c>
      <c r="O428">
        <v>85</v>
      </c>
      <c r="P428"/>
      <c r="Q428">
        <v>134908</v>
      </c>
      <c r="R428">
        <v>1</v>
      </c>
      <c r="S428" t="s">
        <v>40</v>
      </c>
      <c r="T428">
        <v>261</v>
      </c>
      <c r="U428">
        <v>147664</v>
      </c>
      <c r="V428">
        <v>24</v>
      </c>
      <c r="W428" t="s">
        <v>40</v>
      </c>
      <c r="X428">
        <v>261</v>
      </c>
      <c r="Y428" t="s">
        <v>377</v>
      </c>
      <c r="Z428" t="s">
        <v>378</v>
      </c>
      <c r="AA428" t="s">
        <v>379</v>
      </c>
      <c r="AB428" t="s">
        <v>841</v>
      </c>
      <c r="AC428" t="s">
        <v>41</v>
      </c>
      <c r="AD428" t="s">
        <v>41</v>
      </c>
      <c r="AE428" t="s">
        <v>41</v>
      </c>
      <c r="AF428" t="s">
        <v>41</v>
      </c>
      <c r="AK428"/>
    </row>
    <row r="429" spans="1:37" x14ac:dyDescent="0.25">
      <c r="A429" t="s">
        <v>43</v>
      </c>
      <c r="B429">
        <v>45936.736168981479</v>
      </c>
      <c r="C429">
        <v>92186</v>
      </c>
      <c r="D429" t="s">
        <v>669</v>
      </c>
      <c r="E429">
        <v>4499361</v>
      </c>
      <c r="F429">
        <v>2104881</v>
      </c>
      <c r="G429" t="s">
        <v>600</v>
      </c>
      <c r="H429" t="s">
        <v>905</v>
      </c>
      <c r="I429">
        <v>10</v>
      </c>
      <c r="J429" t="b">
        <v>1</v>
      </c>
      <c r="K429">
        <v>2</v>
      </c>
      <c r="L429">
        <v>2106201</v>
      </c>
      <c r="M429" t="s">
        <v>602</v>
      </c>
      <c r="N429">
        <v>5</v>
      </c>
      <c r="O429">
        <v>9</v>
      </c>
      <c r="P429"/>
      <c r="Q429">
        <v>134905</v>
      </c>
      <c r="R429">
        <v>1</v>
      </c>
      <c r="S429" t="s">
        <v>40</v>
      </c>
      <c r="T429">
        <v>261</v>
      </c>
      <c r="U429">
        <v>147664</v>
      </c>
      <c r="V429">
        <v>24</v>
      </c>
      <c r="W429" t="s">
        <v>40</v>
      </c>
      <c r="X429">
        <v>261</v>
      </c>
      <c r="Y429" t="s">
        <v>377</v>
      </c>
      <c r="Z429" t="s">
        <v>378</v>
      </c>
      <c r="AA429" t="s">
        <v>379</v>
      </c>
      <c r="AB429" t="s">
        <v>559</v>
      </c>
      <c r="AC429" t="s">
        <v>41</v>
      </c>
      <c r="AD429" t="s">
        <v>41</v>
      </c>
      <c r="AE429" t="s">
        <v>41</v>
      </c>
      <c r="AF429" t="s">
        <v>41</v>
      </c>
      <c r="AK429"/>
    </row>
    <row r="430" spans="1:37" x14ac:dyDescent="0.25">
      <c r="A430" t="s">
        <v>43</v>
      </c>
      <c r="B430">
        <v>45936.737824074073</v>
      </c>
      <c r="C430">
        <v>92186</v>
      </c>
      <c r="D430" t="s">
        <v>669</v>
      </c>
      <c r="E430">
        <v>4499320</v>
      </c>
      <c r="F430">
        <v>2104881</v>
      </c>
      <c r="G430" t="s">
        <v>600</v>
      </c>
      <c r="H430" t="s">
        <v>905</v>
      </c>
      <c r="I430">
        <v>10</v>
      </c>
      <c r="J430" t="b">
        <v>1</v>
      </c>
      <c r="K430">
        <v>2.5</v>
      </c>
      <c r="L430">
        <v>2106201</v>
      </c>
      <c r="M430" t="s">
        <v>602</v>
      </c>
      <c r="N430">
        <v>4</v>
      </c>
      <c r="O430">
        <v>4</v>
      </c>
      <c r="P430"/>
      <c r="Q430">
        <v>134905</v>
      </c>
      <c r="R430">
        <v>1</v>
      </c>
      <c r="S430" t="s">
        <v>40</v>
      </c>
      <c r="T430">
        <v>261</v>
      </c>
      <c r="U430">
        <v>147664</v>
      </c>
      <c r="V430">
        <v>24</v>
      </c>
      <c r="W430" t="s">
        <v>40</v>
      </c>
      <c r="X430">
        <v>261</v>
      </c>
      <c r="Y430" t="s">
        <v>377</v>
      </c>
      <c r="Z430" t="s">
        <v>378</v>
      </c>
      <c r="AA430" t="s">
        <v>379</v>
      </c>
      <c r="AB430" t="s">
        <v>384</v>
      </c>
      <c r="AC430" t="s">
        <v>41</v>
      </c>
      <c r="AD430" t="s">
        <v>41</v>
      </c>
      <c r="AE430" t="s">
        <v>41</v>
      </c>
      <c r="AF430" t="s">
        <v>41</v>
      </c>
      <c r="AK430"/>
    </row>
    <row r="431" spans="1:37" x14ac:dyDescent="0.25">
      <c r="A431" t="s">
        <v>39</v>
      </c>
      <c r="B431">
        <v>45936.801712962966</v>
      </c>
      <c r="C431">
        <v>92354</v>
      </c>
      <c r="D431" t="s">
        <v>745</v>
      </c>
      <c r="E431">
        <v>4492513</v>
      </c>
      <c r="F431">
        <v>2304754</v>
      </c>
      <c r="G431" t="s">
        <v>381</v>
      </c>
      <c r="H431" t="s">
        <v>923</v>
      </c>
      <c r="I431">
        <v>14</v>
      </c>
      <c r="J431" t="b">
        <v>1</v>
      </c>
      <c r="K431">
        <v>1.75</v>
      </c>
      <c r="L431">
        <v>2304755</v>
      </c>
      <c r="M431" t="s">
        <v>383</v>
      </c>
      <c r="N431">
        <v>8</v>
      </c>
      <c r="O431">
        <v>8</v>
      </c>
      <c r="P431"/>
      <c r="Q431">
        <v>134905</v>
      </c>
      <c r="R431">
        <v>2</v>
      </c>
      <c r="S431" t="s">
        <v>40</v>
      </c>
      <c r="T431">
        <v>261</v>
      </c>
      <c r="U431">
        <v>147664</v>
      </c>
      <c r="V431">
        <v>48</v>
      </c>
      <c r="W431" t="s">
        <v>40</v>
      </c>
      <c r="X431">
        <v>261</v>
      </c>
      <c r="Y431" t="s">
        <v>377</v>
      </c>
      <c r="Z431" t="s">
        <v>378</v>
      </c>
      <c r="AA431" t="s">
        <v>384</v>
      </c>
      <c r="AB431" t="s">
        <v>384</v>
      </c>
      <c r="AC431" t="s">
        <v>41</v>
      </c>
      <c r="AD431" t="s">
        <v>41</v>
      </c>
      <c r="AE431" t="s">
        <v>41</v>
      </c>
      <c r="AF431" t="s">
        <v>41</v>
      </c>
      <c r="AK431"/>
    </row>
    <row r="432" spans="1:37" x14ac:dyDescent="0.25">
      <c r="A432" t="s">
        <v>45</v>
      </c>
      <c r="B432">
        <v>45936.854907407411</v>
      </c>
      <c r="C432">
        <v>92400</v>
      </c>
      <c r="D432" t="s">
        <v>745</v>
      </c>
      <c r="E432">
        <v>4488843</v>
      </c>
      <c r="F432">
        <v>133947</v>
      </c>
      <c r="G432" t="s">
        <v>442</v>
      </c>
      <c r="H432" t="s">
        <v>924</v>
      </c>
      <c r="I432">
        <v>1.5</v>
      </c>
      <c r="J432" t="b">
        <v>1</v>
      </c>
      <c r="K432">
        <v>1.4999999999999999E-2</v>
      </c>
      <c r="L432">
        <v>133948</v>
      </c>
      <c r="M432" t="s">
        <v>443</v>
      </c>
      <c r="N432">
        <v>100</v>
      </c>
      <c r="O432">
        <v>100</v>
      </c>
      <c r="P432" t="s">
        <v>748</v>
      </c>
      <c r="Q432">
        <v>0</v>
      </c>
      <c r="R432">
        <v>0</v>
      </c>
      <c r="S432" t="s">
        <v>40</v>
      </c>
      <c r="T432">
        <v>261</v>
      </c>
      <c r="W432"/>
      <c r="Y432" t="s">
        <v>377</v>
      </c>
      <c r="Z432" t="s">
        <v>378</v>
      </c>
      <c r="AA432" t="s">
        <v>379</v>
      </c>
      <c r="AB432" t="s">
        <v>773</v>
      </c>
      <c r="AC432" t="s">
        <v>41</v>
      </c>
      <c r="AD432" t="s">
        <v>41</v>
      </c>
      <c r="AE432" t="s">
        <v>41</v>
      </c>
      <c r="AF432" t="s">
        <v>41</v>
      </c>
      <c r="AK432"/>
    </row>
    <row r="433" spans="1:38" x14ac:dyDescent="0.25">
      <c r="A433" t="s">
        <v>42</v>
      </c>
      <c r="B433">
        <v>45937.029814814814</v>
      </c>
      <c r="C433">
        <v>92398</v>
      </c>
      <c r="D433" t="s">
        <v>745</v>
      </c>
      <c r="E433">
        <v>4488843</v>
      </c>
      <c r="F433">
        <v>133947</v>
      </c>
      <c r="G433" t="s">
        <v>442</v>
      </c>
      <c r="H433" t="s">
        <v>924</v>
      </c>
      <c r="I433">
        <v>1.5</v>
      </c>
      <c r="J433" t="b">
        <v>1</v>
      </c>
      <c r="K433">
        <v>4.807692307692308E-3</v>
      </c>
      <c r="L433">
        <v>133948</v>
      </c>
      <c r="M433" t="s">
        <v>443</v>
      </c>
      <c r="N433">
        <v>312</v>
      </c>
      <c r="O433">
        <v>312</v>
      </c>
      <c r="P433" t="s">
        <v>748</v>
      </c>
      <c r="Q433">
        <v>0</v>
      </c>
      <c r="R433">
        <v>0</v>
      </c>
      <c r="S433" t="s">
        <v>40</v>
      </c>
      <c r="T433">
        <v>261</v>
      </c>
      <c r="W433"/>
      <c r="Y433" t="s">
        <v>377</v>
      </c>
      <c r="Z433" t="s">
        <v>378</v>
      </c>
      <c r="AA433" t="s">
        <v>379</v>
      </c>
      <c r="AB433" t="s">
        <v>925</v>
      </c>
      <c r="AC433" t="s">
        <v>41</v>
      </c>
      <c r="AD433" t="s">
        <v>41</v>
      </c>
      <c r="AE433" t="s">
        <v>41</v>
      </c>
      <c r="AF433" t="s">
        <v>41</v>
      </c>
      <c r="AK433"/>
    </row>
    <row r="434" spans="1:38" x14ac:dyDescent="0.25">
      <c r="A434" t="s">
        <v>38</v>
      </c>
      <c r="B434">
        <v>45937.034537037034</v>
      </c>
      <c r="C434">
        <v>92312</v>
      </c>
      <c r="D434" t="s">
        <v>745</v>
      </c>
      <c r="E434">
        <v>4474948</v>
      </c>
      <c r="F434">
        <v>113677</v>
      </c>
      <c r="G434" t="s">
        <v>687</v>
      </c>
      <c r="H434" t="s">
        <v>740</v>
      </c>
      <c r="I434">
        <v>14</v>
      </c>
      <c r="J434" t="b">
        <v>1</v>
      </c>
      <c r="K434">
        <v>1.75</v>
      </c>
      <c r="L434">
        <v>113679</v>
      </c>
      <c r="M434" t="s">
        <v>689</v>
      </c>
      <c r="N434">
        <v>8</v>
      </c>
      <c r="O434">
        <v>8</v>
      </c>
      <c r="P434"/>
      <c r="Q434">
        <v>134905</v>
      </c>
      <c r="R434">
        <v>2</v>
      </c>
      <c r="S434" t="s">
        <v>40</v>
      </c>
      <c r="T434">
        <v>261</v>
      </c>
      <c r="U434">
        <v>147664</v>
      </c>
      <c r="V434">
        <v>48</v>
      </c>
      <c r="W434" t="s">
        <v>40</v>
      </c>
      <c r="X434">
        <v>261</v>
      </c>
      <c r="Y434" t="s">
        <v>377</v>
      </c>
      <c r="Z434" t="s">
        <v>378</v>
      </c>
      <c r="AA434" t="s">
        <v>384</v>
      </c>
      <c r="AB434" t="s">
        <v>400</v>
      </c>
      <c r="AC434" t="s">
        <v>41</v>
      </c>
      <c r="AD434" t="s">
        <v>41</v>
      </c>
      <c r="AE434" t="s">
        <v>41</v>
      </c>
      <c r="AF434" t="s">
        <v>41</v>
      </c>
      <c r="AK434"/>
    </row>
    <row r="435" spans="1:38" x14ac:dyDescent="0.25">
      <c r="A435" t="s">
        <v>42</v>
      </c>
      <c r="B435">
        <v>45937.199733796297</v>
      </c>
      <c r="C435">
        <v>92401</v>
      </c>
      <c r="D435" t="s">
        <v>745</v>
      </c>
      <c r="E435">
        <v>4492536</v>
      </c>
      <c r="F435">
        <v>133947</v>
      </c>
      <c r="G435" t="s">
        <v>442</v>
      </c>
      <c r="H435" t="s">
        <v>926</v>
      </c>
      <c r="I435">
        <v>1.5</v>
      </c>
      <c r="J435" t="b">
        <v>1</v>
      </c>
      <c r="K435">
        <v>1.8749999999999999E-2</v>
      </c>
      <c r="L435">
        <v>133948</v>
      </c>
      <c r="M435" t="s">
        <v>443</v>
      </c>
      <c r="N435">
        <v>80</v>
      </c>
      <c r="O435">
        <v>80</v>
      </c>
      <c r="P435" t="s">
        <v>748</v>
      </c>
      <c r="Q435">
        <v>0</v>
      </c>
      <c r="R435">
        <v>0</v>
      </c>
      <c r="S435" t="s">
        <v>40</v>
      </c>
      <c r="T435">
        <v>261</v>
      </c>
      <c r="W435"/>
      <c r="Y435" t="s">
        <v>377</v>
      </c>
      <c r="Z435" t="s">
        <v>378</v>
      </c>
      <c r="AA435" t="s">
        <v>379</v>
      </c>
      <c r="AB435" t="s">
        <v>576</v>
      </c>
      <c r="AC435" t="s">
        <v>41</v>
      </c>
      <c r="AD435" t="s">
        <v>41</v>
      </c>
      <c r="AE435" t="s">
        <v>41</v>
      </c>
      <c r="AF435" t="s">
        <v>41</v>
      </c>
      <c r="AK435"/>
    </row>
    <row r="436" spans="1:38" x14ac:dyDescent="0.25">
      <c r="A436" t="s">
        <v>43</v>
      </c>
      <c r="B436">
        <v>45937.512129629627</v>
      </c>
      <c r="C436">
        <v>92189</v>
      </c>
      <c r="D436" t="s">
        <v>401</v>
      </c>
      <c r="E436">
        <v>4498487</v>
      </c>
      <c r="F436">
        <v>2106199</v>
      </c>
      <c r="G436" t="s">
        <v>558</v>
      </c>
      <c r="H436" t="s">
        <v>927</v>
      </c>
      <c r="I436">
        <v>14</v>
      </c>
      <c r="J436" t="b">
        <v>1</v>
      </c>
      <c r="K436">
        <v>2.8</v>
      </c>
      <c r="L436">
        <v>2106199</v>
      </c>
      <c r="M436" t="s">
        <v>558</v>
      </c>
      <c r="N436">
        <v>5</v>
      </c>
      <c r="O436">
        <v>5</v>
      </c>
      <c r="P436"/>
      <c r="Q436">
        <v>134971</v>
      </c>
      <c r="R436">
        <v>2</v>
      </c>
      <c r="S436" t="s">
        <v>40</v>
      </c>
      <c r="T436">
        <v>261</v>
      </c>
      <c r="U436">
        <v>147664</v>
      </c>
      <c r="V436">
        <v>48</v>
      </c>
      <c r="W436" t="s">
        <v>40</v>
      </c>
      <c r="X436">
        <v>261</v>
      </c>
      <c r="Y436" t="s">
        <v>377</v>
      </c>
      <c r="Z436" t="s">
        <v>378</v>
      </c>
      <c r="AA436" t="s">
        <v>379</v>
      </c>
      <c r="AB436" t="s">
        <v>559</v>
      </c>
      <c r="AC436" t="s">
        <v>41</v>
      </c>
      <c r="AD436" t="s">
        <v>41</v>
      </c>
      <c r="AE436" t="s">
        <v>41</v>
      </c>
      <c r="AF436" t="s">
        <v>41</v>
      </c>
      <c r="AK436"/>
    </row>
    <row r="437" spans="1:38" x14ac:dyDescent="0.25">
      <c r="A437" t="s">
        <v>43</v>
      </c>
      <c r="B437">
        <v>45937.514421296299</v>
      </c>
      <c r="C437">
        <v>9219</v>
      </c>
      <c r="D437" t="s">
        <v>401</v>
      </c>
      <c r="E437">
        <v>4498530</v>
      </c>
      <c r="F437">
        <v>2104879</v>
      </c>
      <c r="G437" t="s">
        <v>556</v>
      </c>
      <c r="H437" t="s">
        <v>927</v>
      </c>
      <c r="I437">
        <v>6</v>
      </c>
      <c r="J437" t="b">
        <v>1</v>
      </c>
      <c r="K437">
        <v>1.5</v>
      </c>
      <c r="L437">
        <v>2106199</v>
      </c>
      <c r="M437" t="s">
        <v>558</v>
      </c>
      <c r="N437">
        <v>4</v>
      </c>
      <c r="O437">
        <v>4</v>
      </c>
      <c r="P437"/>
      <c r="Q437">
        <v>0</v>
      </c>
      <c r="R437">
        <v>0</v>
      </c>
      <c r="S437" t="s">
        <v>40</v>
      </c>
      <c r="T437">
        <v>261</v>
      </c>
      <c r="W437"/>
      <c r="Y437" t="s">
        <v>377</v>
      </c>
      <c r="Z437" t="s">
        <v>378</v>
      </c>
      <c r="AA437" t="s">
        <v>379</v>
      </c>
      <c r="AB437" t="s">
        <v>384</v>
      </c>
      <c r="AC437" t="s">
        <v>41</v>
      </c>
      <c r="AD437" t="s">
        <v>41</v>
      </c>
      <c r="AE437" t="s">
        <v>41</v>
      </c>
      <c r="AF437" t="s">
        <v>41</v>
      </c>
      <c r="AK437"/>
    </row>
    <row r="438" spans="1:38" x14ac:dyDescent="0.25">
      <c r="A438" t="s">
        <v>39</v>
      </c>
      <c r="B438">
        <v>45937.608483796299</v>
      </c>
      <c r="C438">
        <v>92355</v>
      </c>
      <c r="D438" t="s">
        <v>401</v>
      </c>
      <c r="E438">
        <v>4494857</v>
      </c>
      <c r="F438">
        <v>2304755</v>
      </c>
      <c r="G438" t="s">
        <v>383</v>
      </c>
      <c r="H438" t="s">
        <v>928</v>
      </c>
      <c r="I438">
        <v>14</v>
      </c>
      <c r="J438" t="b">
        <v>1</v>
      </c>
      <c r="K438">
        <v>1.75</v>
      </c>
      <c r="L438">
        <v>2304755</v>
      </c>
      <c r="M438" t="s">
        <v>383</v>
      </c>
      <c r="N438">
        <v>8</v>
      </c>
      <c r="O438">
        <v>8</v>
      </c>
      <c r="P438"/>
      <c r="Q438">
        <v>134905</v>
      </c>
      <c r="R438">
        <v>2</v>
      </c>
      <c r="S438" t="s">
        <v>40</v>
      </c>
      <c r="T438">
        <v>261</v>
      </c>
      <c r="U438">
        <v>147664</v>
      </c>
      <c r="V438">
        <v>48</v>
      </c>
      <c r="W438" t="s">
        <v>40</v>
      </c>
      <c r="X438">
        <v>261</v>
      </c>
      <c r="Y438" t="s">
        <v>377</v>
      </c>
      <c r="Z438" t="s">
        <v>378</v>
      </c>
      <c r="AA438" t="s">
        <v>384</v>
      </c>
      <c r="AB438" t="s">
        <v>384</v>
      </c>
      <c r="AC438" t="s">
        <v>41</v>
      </c>
      <c r="AD438" t="s">
        <v>41</v>
      </c>
      <c r="AE438" t="s">
        <v>41</v>
      </c>
      <c r="AF438" t="s">
        <v>41</v>
      </c>
      <c r="AK438"/>
    </row>
    <row r="439" spans="1:38" x14ac:dyDescent="0.25">
      <c r="A439" t="s">
        <v>42</v>
      </c>
      <c r="B439">
        <v>45937.65834490741</v>
      </c>
      <c r="C439">
        <v>92402</v>
      </c>
      <c r="D439" t="s">
        <v>401</v>
      </c>
      <c r="E439">
        <v>4488798</v>
      </c>
      <c r="F439">
        <v>2116538</v>
      </c>
      <c r="G439" t="s">
        <v>929</v>
      </c>
      <c r="H439" t="s">
        <v>930</v>
      </c>
      <c r="I439">
        <v>3</v>
      </c>
      <c r="J439" t="b">
        <v>1</v>
      </c>
      <c r="K439">
        <v>1.3636363636363636E-2</v>
      </c>
      <c r="L439">
        <v>2117690</v>
      </c>
      <c r="M439" t="s">
        <v>931</v>
      </c>
      <c r="N439">
        <v>220</v>
      </c>
      <c r="O439">
        <v>220</v>
      </c>
      <c r="P439"/>
      <c r="Q439">
        <v>134976</v>
      </c>
      <c r="R439">
        <v>1</v>
      </c>
      <c r="S439" t="s">
        <v>40</v>
      </c>
      <c r="T439">
        <v>261</v>
      </c>
      <c r="W439"/>
      <c r="Y439" t="s">
        <v>377</v>
      </c>
      <c r="Z439" t="s">
        <v>378</v>
      </c>
      <c r="AA439" t="s">
        <v>379</v>
      </c>
      <c r="AB439" t="s">
        <v>932</v>
      </c>
      <c r="AC439" t="s">
        <v>41</v>
      </c>
      <c r="AD439" t="s">
        <v>41</v>
      </c>
      <c r="AE439" t="s">
        <v>41</v>
      </c>
      <c r="AF439" t="s">
        <v>41</v>
      </c>
      <c r="AK439"/>
    </row>
    <row r="440" spans="1:38" x14ac:dyDescent="0.25">
      <c r="A440" t="s">
        <v>38</v>
      </c>
      <c r="B440">
        <v>45937.874386574076</v>
      </c>
      <c r="C440">
        <v>90423</v>
      </c>
      <c r="D440" t="s">
        <v>563</v>
      </c>
      <c r="E440">
        <v>4498805</v>
      </c>
      <c r="F440">
        <v>153561</v>
      </c>
      <c r="G440" t="s">
        <v>933</v>
      </c>
      <c r="H440" t="s">
        <v>803</v>
      </c>
      <c r="I440">
        <v>10</v>
      </c>
      <c r="J440" t="b">
        <v>1</v>
      </c>
      <c r="K440">
        <v>0.83333333333333337</v>
      </c>
      <c r="L440">
        <v>153567</v>
      </c>
      <c r="M440" t="s">
        <v>934</v>
      </c>
      <c r="N440">
        <v>12</v>
      </c>
      <c r="O440">
        <v>21</v>
      </c>
      <c r="P440"/>
      <c r="Q440">
        <v>134905</v>
      </c>
      <c r="R440">
        <v>2</v>
      </c>
      <c r="S440" t="s">
        <v>40</v>
      </c>
      <c r="T440">
        <v>261</v>
      </c>
      <c r="U440">
        <v>147664</v>
      </c>
      <c r="V440">
        <v>48</v>
      </c>
      <c r="W440" t="s">
        <v>40</v>
      </c>
      <c r="X440">
        <v>261</v>
      </c>
      <c r="Y440" t="s">
        <v>377</v>
      </c>
      <c r="Z440" t="s">
        <v>378</v>
      </c>
      <c r="AA440" t="s">
        <v>379</v>
      </c>
      <c r="AB440" t="s">
        <v>400</v>
      </c>
      <c r="AC440" t="s">
        <v>379</v>
      </c>
      <c r="AD440" t="s">
        <v>384</v>
      </c>
      <c r="AE440" t="s">
        <v>41</v>
      </c>
      <c r="AF440" t="s">
        <v>41</v>
      </c>
      <c r="AK440"/>
    </row>
    <row r="441" spans="1:38" x14ac:dyDescent="0.25">
      <c r="A441" t="s">
        <v>47</v>
      </c>
      <c r="B441">
        <v>45937.980405092596</v>
      </c>
      <c r="C441">
        <v>92504</v>
      </c>
      <c r="D441" t="s">
        <v>843</v>
      </c>
      <c r="E441">
        <v>4499310</v>
      </c>
      <c r="F441">
        <v>133168</v>
      </c>
      <c r="G441" t="s">
        <v>863</v>
      </c>
      <c r="H441" t="s">
        <v>928</v>
      </c>
      <c r="I441">
        <v>64.3</v>
      </c>
      <c r="J441" t="b">
        <v>1</v>
      </c>
      <c r="K441">
        <v>0.75647058823529412</v>
      </c>
      <c r="L441">
        <v>144374</v>
      </c>
      <c r="M441" t="s">
        <v>865</v>
      </c>
      <c r="N441">
        <v>85</v>
      </c>
      <c r="O441">
        <v>85</v>
      </c>
      <c r="P441"/>
      <c r="Q441">
        <v>134908</v>
      </c>
      <c r="R441">
        <v>1</v>
      </c>
      <c r="S441" t="s">
        <v>40</v>
      </c>
      <c r="T441">
        <v>261</v>
      </c>
      <c r="U441">
        <v>147664</v>
      </c>
      <c r="V441">
        <v>24</v>
      </c>
      <c r="W441" t="s">
        <v>40</v>
      </c>
      <c r="X441">
        <v>261</v>
      </c>
      <c r="Y441" t="s">
        <v>377</v>
      </c>
      <c r="Z441" t="s">
        <v>378</v>
      </c>
      <c r="AA441" t="s">
        <v>379</v>
      </c>
      <c r="AB441" t="s">
        <v>841</v>
      </c>
      <c r="AC441" t="s">
        <v>41</v>
      </c>
      <c r="AD441" t="s">
        <v>41</v>
      </c>
      <c r="AE441" t="s">
        <v>41</v>
      </c>
      <c r="AF441" t="s">
        <v>41</v>
      </c>
      <c r="AK441"/>
    </row>
    <row r="442" spans="1:38" x14ac:dyDescent="0.25">
      <c r="A442" t="s">
        <v>48</v>
      </c>
      <c r="B442">
        <v>45938.061736111114</v>
      </c>
      <c r="C442">
        <v>92191</v>
      </c>
      <c r="D442" t="s">
        <v>843</v>
      </c>
      <c r="E442">
        <v>4498532</v>
      </c>
      <c r="F442">
        <v>2104879</v>
      </c>
      <c r="G442" t="s">
        <v>556</v>
      </c>
      <c r="H442" t="s">
        <v>935</v>
      </c>
      <c r="I442">
        <v>12</v>
      </c>
      <c r="J442" t="b">
        <v>1</v>
      </c>
      <c r="K442">
        <v>3</v>
      </c>
      <c r="L442">
        <v>2106199</v>
      </c>
      <c r="M442" t="s">
        <v>558</v>
      </c>
      <c r="N442">
        <v>4</v>
      </c>
      <c r="O442">
        <v>4</v>
      </c>
      <c r="P442"/>
      <c r="Q442">
        <v>134971</v>
      </c>
      <c r="R442">
        <v>1</v>
      </c>
      <c r="S442" t="s">
        <v>40</v>
      </c>
      <c r="T442">
        <v>261</v>
      </c>
      <c r="U442">
        <v>147664</v>
      </c>
      <c r="V442">
        <v>24</v>
      </c>
      <c r="W442" t="s">
        <v>40</v>
      </c>
      <c r="X442">
        <v>261</v>
      </c>
      <c r="Y442" t="s">
        <v>377</v>
      </c>
      <c r="Z442" t="s">
        <v>378</v>
      </c>
      <c r="AA442" t="s">
        <v>379</v>
      </c>
      <c r="AB442" t="s">
        <v>384</v>
      </c>
      <c r="AC442" t="s">
        <v>41</v>
      </c>
      <c r="AD442" t="s">
        <v>41</v>
      </c>
      <c r="AE442" t="s">
        <v>41</v>
      </c>
      <c r="AF442" t="s">
        <v>41</v>
      </c>
      <c r="AK442"/>
    </row>
    <row r="443" spans="1:38" x14ac:dyDescent="0.25">
      <c r="A443" t="s">
        <v>48</v>
      </c>
      <c r="B443">
        <v>45938.072476851848</v>
      </c>
      <c r="C443">
        <v>92191</v>
      </c>
      <c r="D443" t="s">
        <v>843</v>
      </c>
      <c r="E443">
        <v>4498533</v>
      </c>
      <c r="F443">
        <v>2104879</v>
      </c>
      <c r="G443" t="s">
        <v>556</v>
      </c>
      <c r="H443" t="s">
        <v>935</v>
      </c>
      <c r="I443">
        <v>12</v>
      </c>
      <c r="J443" t="b">
        <v>1</v>
      </c>
      <c r="K443">
        <v>2.4</v>
      </c>
      <c r="L443">
        <v>2106199</v>
      </c>
      <c r="M443" t="s">
        <v>558</v>
      </c>
      <c r="N443">
        <v>5</v>
      </c>
      <c r="O443">
        <v>5</v>
      </c>
      <c r="P443"/>
      <c r="Q443">
        <v>134907</v>
      </c>
      <c r="R443">
        <v>1</v>
      </c>
      <c r="S443" t="s">
        <v>40</v>
      </c>
      <c r="T443">
        <v>261</v>
      </c>
      <c r="U443">
        <v>147664</v>
      </c>
      <c r="V443">
        <v>24</v>
      </c>
      <c r="W443" t="s">
        <v>40</v>
      </c>
      <c r="X443">
        <v>261</v>
      </c>
      <c r="Y443" t="s">
        <v>377</v>
      </c>
      <c r="Z443" t="s">
        <v>378</v>
      </c>
      <c r="AA443" t="s">
        <v>379</v>
      </c>
      <c r="AB443" t="s">
        <v>559</v>
      </c>
      <c r="AC443" t="s">
        <v>41</v>
      </c>
      <c r="AD443" t="s">
        <v>41</v>
      </c>
      <c r="AE443" t="s">
        <v>41</v>
      </c>
      <c r="AF443" t="s">
        <v>41</v>
      </c>
      <c r="AK443"/>
    </row>
    <row r="444" spans="1:38" x14ac:dyDescent="0.25">
      <c r="A444" t="s">
        <v>43</v>
      </c>
      <c r="B444">
        <v>45938.233761574076</v>
      </c>
      <c r="C444">
        <v>92313</v>
      </c>
      <c r="D444" t="s">
        <v>563</v>
      </c>
      <c r="E444">
        <v>4474946</v>
      </c>
      <c r="F444">
        <v>113677</v>
      </c>
      <c r="G444" t="s">
        <v>687</v>
      </c>
      <c r="H444" t="s">
        <v>936</v>
      </c>
      <c r="I444">
        <v>14</v>
      </c>
      <c r="J444" t="b">
        <v>1</v>
      </c>
      <c r="K444">
        <v>1.75</v>
      </c>
      <c r="L444">
        <v>113679</v>
      </c>
      <c r="M444" t="s">
        <v>689</v>
      </c>
      <c r="N444">
        <v>8</v>
      </c>
      <c r="O444">
        <v>8</v>
      </c>
      <c r="P444"/>
      <c r="Q444">
        <v>134905</v>
      </c>
      <c r="R444">
        <v>1</v>
      </c>
      <c r="S444" t="s">
        <v>40</v>
      </c>
      <c r="T444">
        <v>261</v>
      </c>
      <c r="U444">
        <v>147664</v>
      </c>
      <c r="V444">
        <v>48</v>
      </c>
      <c r="W444" t="s">
        <v>40</v>
      </c>
      <c r="X444">
        <v>261</v>
      </c>
      <c r="Y444" t="s">
        <v>377</v>
      </c>
      <c r="Z444" t="s">
        <v>378</v>
      </c>
      <c r="AA444" t="s">
        <v>384</v>
      </c>
      <c r="AB444" t="s">
        <v>384</v>
      </c>
      <c r="AC444" t="s">
        <v>41</v>
      </c>
      <c r="AD444" t="s">
        <v>41</v>
      </c>
      <c r="AE444" t="s">
        <v>41</v>
      </c>
      <c r="AF444" t="s">
        <v>41</v>
      </c>
      <c r="AI444">
        <v>134905</v>
      </c>
      <c r="AJ444">
        <v>1</v>
      </c>
      <c r="AK444" t="s">
        <v>40</v>
      </c>
      <c r="AL444">
        <v>261</v>
      </c>
    </row>
    <row r="445" spans="1:38" x14ac:dyDescent="0.25">
      <c r="A445" t="s">
        <v>42</v>
      </c>
      <c r="B445">
        <v>45938.439282407409</v>
      </c>
      <c r="C445">
        <v>92314</v>
      </c>
      <c r="D445" t="s">
        <v>866</v>
      </c>
      <c r="E445">
        <v>4496408</v>
      </c>
      <c r="F445">
        <v>2310305</v>
      </c>
      <c r="G445" t="s">
        <v>937</v>
      </c>
      <c r="H445" t="s">
        <v>582</v>
      </c>
      <c r="I445">
        <v>14</v>
      </c>
      <c r="J445" t="b">
        <v>1</v>
      </c>
      <c r="K445">
        <v>3.5</v>
      </c>
      <c r="L445">
        <v>2310305</v>
      </c>
      <c r="M445" t="s">
        <v>937</v>
      </c>
      <c r="N445">
        <v>4</v>
      </c>
      <c r="O445">
        <v>4</v>
      </c>
      <c r="P445"/>
      <c r="Q445">
        <v>2301936</v>
      </c>
      <c r="R445">
        <v>1</v>
      </c>
      <c r="S445" t="s">
        <v>40</v>
      </c>
      <c r="T445">
        <v>261</v>
      </c>
      <c r="U445">
        <v>147664</v>
      </c>
      <c r="V445">
        <v>24</v>
      </c>
      <c r="W445" t="s">
        <v>40</v>
      </c>
      <c r="X445">
        <v>261</v>
      </c>
      <c r="Y445" t="s">
        <v>377</v>
      </c>
      <c r="Z445" t="s">
        <v>378</v>
      </c>
      <c r="AA445" t="s">
        <v>379</v>
      </c>
      <c r="AB445" t="s">
        <v>384</v>
      </c>
      <c r="AC445" t="s">
        <v>41</v>
      </c>
      <c r="AD445" t="s">
        <v>41</v>
      </c>
      <c r="AE445" t="s">
        <v>41</v>
      </c>
      <c r="AF445" t="s">
        <v>41</v>
      </c>
      <c r="AK445"/>
    </row>
    <row r="446" spans="1:38" x14ac:dyDescent="0.25">
      <c r="A446" t="s">
        <v>39</v>
      </c>
      <c r="B446">
        <v>45938.494583333333</v>
      </c>
      <c r="C446">
        <v>92357</v>
      </c>
      <c r="D446" t="s">
        <v>866</v>
      </c>
      <c r="E446">
        <v>4492514</v>
      </c>
      <c r="F446">
        <v>2304754</v>
      </c>
      <c r="G446" t="s">
        <v>381</v>
      </c>
      <c r="H446" t="s">
        <v>938</v>
      </c>
      <c r="I446">
        <v>14</v>
      </c>
      <c r="J446" t="b">
        <v>1</v>
      </c>
      <c r="K446">
        <v>1.75</v>
      </c>
      <c r="L446">
        <v>2304755</v>
      </c>
      <c r="M446" t="s">
        <v>383</v>
      </c>
      <c r="N446">
        <v>8</v>
      </c>
      <c r="O446">
        <v>8</v>
      </c>
      <c r="P446"/>
      <c r="Q446">
        <v>134906</v>
      </c>
      <c r="R446">
        <v>1</v>
      </c>
      <c r="S446" t="s">
        <v>40</v>
      </c>
      <c r="T446">
        <v>261</v>
      </c>
      <c r="U446">
        <v>147664</v>
      </c>
      <c r="V446">
        <v>48</v>
      </c>
      <c r="W446" t="s">
        <v>40</v>
      </c>
      <c r="X446">
        <v>261</v>
      </c>
      <c r="Y446" t="s">
        <v>377</v>
      </c>
      <c r="Z446" t="s">
        <v>378</v>
      </c>
      <c r="AA446" t="s">
        <v>384</v>
      </c>
      <c r="AB446" t="s">
        <v>384</v>
      </c>
      <c r="AC446" t="s">
        <v>41</v>
      </c>
      <c r="AD446" t="s">
        <v>41</v>
      </c>
      <c r="AE446" t="s">
        <v>41</v>
      </c>
      <c r="AF446" t="s">
        <v>41</v>
      </c>
      <c r="AI446">
        <v>134905</v>
      </c>
      <c r="AJ446">
        <v>1</v>
      </c>
      <c r="AK446" t="s">
        <v>40</v>
      </c>
      <c r="AL446">
        <v>261</v>
      </c>
    </row>
    <row r="447" spans="1:38" x14ac:dyDescent="0.25">
      <c r="A447" t="s">
        <v>37</v>
      </c>
      <c r="B447">
        <v>45938.609143518515</v>
      </c>
      <c r="C447">
        <v>2505</v>
      </c>
      <c r="D447" t="s">
        <v>939</v>
      </c>
      <c r="E447">
        <v>4499311</v>
      </c>
      <c r="F447">
        <v>133168</v>
      </c>
      <c r="G447" t="s">
        <v>863</v>
      </c>
      <c r="H447" t="s">
        <v>938</v>
      </c>
      <c r="I447">
        <v>64.3</v>
      </c>
      <c r="J447" t="b">
        <v>1</v>
      </c>
      <c r="K447">
        <v>0.75647058823529412</v>
      </c>
      <c r="L447">
        <v>144374</v>
      </c>
      <c r="M447" t="s">
        <v>865</v>
      </c>
      <c r="N447">
        <v>85</v>
      </c>
      <c r="O447">
        <v>85</v>
      </c>
      <c r="P447"/>
      <c r="Q447">
        <v>134908</v>
      </c>
      <c r="R447">
        <v>1</v>
      </c>
      <c r="S447" t="s">
        <v>40</v>
      </c>
      <c r="T447">
        <v>261</v>
      </c>
      <c r="U447">
        <v>147664</v>
      </c>
      <c r="V447">
        <v>24</v>
      </c>
      <c r="W447" t="s">
        <v>40</v>
      </c>
      <c r="X447">
        <v>261</v>
      </c>
      <c r="Y447" t="s">
        <v>377</v>
      </c>
      <c r="Z447" t="s">
        <v>378</v>
      </c>
      <c r="AA447" t="s">
        <v>379</v>
      </c>
      <c r="AB447" t="s">
        <v>841</v>
      </c>
      <c r="AC447" t="s">
        <v>41</v>
      </c>
      <c r="AD447" t="s">
        <v>41</v>
      </c>
      <c r="AE447" t="s">
        <v>41</v>
      </c>
      <c r="AF447" t="s">
        <v>41</v>
      </c>
      <c r="AK447"/>
    </row>
    <row r="448" spans="1:38" x14ac:dyDescent="0.25">
      <c r="A448" t="s">
        <v>38</v>
      </c>
      <c r="B448">
        <v>45938.683437500003</v>
      </c>
      <c r="C448">
        <v>92403</v>
      </c>
      <c r="D448" t="s">
        <v>939</v>
      </c>
      <c r="E448">
        <v>4494701</v>
      </c>
      <c r="F448">
        <v>2303833</v>
      </c>
      <c r="G448" t="s">
        <v>940</v>
      </c>
      <c r="H448" t="s">
        <v>930</v>
      </c>
      <c r="I448">
        <v>3</v>
      </c>
      <c r="J448" t="b">
        <v>1</v>
      </c>
      <c r="K448">
        <v>1.3953488372093023E-2</v>
      </c>
      <c r="L448">
        <v>2303834</v>
      </c>
      <c r="M448" t="s">
        <v>941</v>
      </c>
      <c r="N448">
        <v>215</v>
      </c>
      <c r="O448">
        <v>215</v>
      </c>
      <c r="P448"/>
      <c r="Q448">
        <v>134976</v>
      </c>
      <c r="R448">
        <v>1</v>
      </c>
      <c r="S448" t="s">
        <v>40</v>
      </c>
      <c r="T448">
        <v>261</v>
      </c>
      <c r="W448"/>
      <c r="Y448" t="s">
        <v>377</v>
      </c>
      <c r="Z448" t="s">
        <v>378</v>
      </c>
      <c r="AA448" t="s">
        <v>379</v>
      </c>
      <c r="AB448" t="s">
        <v>489</v>
      </c>
      <c r="AC448" t="s">
        <v>41</v>
      </c>
      <c r="AD448" t="s">
        <v>41</v>
      </c>
      <c r="AE448" t="s">
        <v>41</v>
      </c>
      <c r="AF448" t="s">
        <v>41</v>
      </c>
      <c r="AK448"/>
    </row>
    <row r="449" spans="1:38" x14ac:dyDescent="0.25">
      <c r="A449" t="s">
        <v>42</v>
      </c>
      <c r="B449">
        <v>45939.13354166667</v>
      </c>
      <c r="C449">
        <v>90424</v>
      </c>
      <c r="D449" t="s">
        <v>590</v>
      </c>
      <c r="E449">
        <v>4498806</v>
      </c>
      <c r="F449">
        <v>153561</v>
      </c>
      <c r="G449" t="s">
        <v>933</v>
      </c>
      <c r="H449" t="s">
        <v>819</v>
      </c>
      <c r="I449">
        <v>10</v>
      </c>
      <c r="J449" t="b">
        <v>1</v>
      </c>
      <c r="K449">
        <v>0.83333333333333337</v>
      </c>
      <c r="L449">
        <v>153567</v>
      </c>
      <c r="M449" t="s">
        <v>934</v>
      </c>
      <c r="N449">
        <v>12</v>
      </c>
      <c r="O449">
        <v>12</v>
      </c>
      <c r="P449"/>
      <c r="Q449">
        <v>134906</v>
      </c>
      <c r="R449">
        <v>2</v>
      </c>
      <c r="S449" t="s">
        <v>40</v>
      </c>
      <c r="T449">
        <v>261</v>
      </c>
      <c r="U449">
        <v>147664</v>
      </c>
      <c r="V449">
        <v>48</v>
      </c>
      <c r="W449" t="s">
        <v>40</v>
      </c>
      <c r="X449">
        <v>261</v>
      </c>
      <c r="Y449" t="s">
        <v>377</v>
      </c>
      <c r="Z449" t="s">
        <v>378</v>
      </c>
      <c r="AA449" t="s">
        <v>379</v>
      </c>
      <c r="AB449" t="s">
        <v>400</v>
      </c>
      <c r="AC449" t="s">
        <v>379</v>
      </c>
      <c r="AD449" t="s">
        <v>384</v>
      </c>
      <c r="AE449" t="s">
        <v>41</v>
      </c>
      <c r="AF449" t="s">
        <v>41</v>
      </c>
      <c r="AK449"/>
    </row>
    <row r="450" spans="1:38" x14ac:dyDescent="0.25">
      <c r="A450" t="s">
        <v>43</v>
      </c>
      <c r="B450">
        <v>45939.135844907411</v>
      </c>
      <c r="C450">
        <v>92192</v>
      </c>
      <c r="D450" t="s">
        <v>590</v>
      </c>
      <c r="E450">
        <v>4499366</v>
      </c>
      <c r="F450">
        <v>2104881</v>
      </c>
      <c r="G450" t="s">
        <v>600</v>
      </c>
      <c r="H450" t="s">
        <v>922</v>
      </c>
      <c r="I450">
        <v>12</v>
      </c>
      <c r="J450" t="b">
        <v>1</v>
      </c>
      <c r="K450">
        <v>3</v>
      </c>
      <c r="L450">
        <v>2106201</v>
      </c>
      <c r="M450" t="s">
        <v>602</v>
      </c>
      <c r="N450">
        <v>4</v>
      </c>
      <c r="O450">
        <v>4</v>
      </c>
      <c r="P450"/>
      <c r="Q450">
        <v>134905</v>
      </c>
      <c r="R450">
        <v>1</v>
      </c>
      <c r="S450" t="s">
        <v>40</v>
      </c>
      <c r="T450">
        <v>261</v>
      </c>
      <c r="U450">
        <v>147664</v>
      </c>
      <c r="V450">
        <v>24</v>
      </c>
      <c r="W450" t="s">
        <v>40</v>
      </c>
      <c r="X450">
        <v>261</v>
      </c>
      <c r="Y450" t="s">
        <v>377</v>
      </c>
      <c r="Z450" t="s">
        <v>378</v>
      </c>
      <c r="AA450" t="s">
        <v>379</v>
      </c>
      <c r="AB450" t="s">
        <v>384</v>
      </c>
      <c r="AC450" t="s">
        <v>41</v>
      </c>
      <c r="AD450" t="s">
        <v>41</v>
      </c>
      <c r="AE450" t="s">
        <v>41</v>
      </c>
      <c r="AF450" t="s">
        <v>41</v>
      </c>
      <c r="AK450"/>
    </row>
    <row r="451" spans="1:38" x14ac:dyDescent="0.25">
      <c r="A451" t="s">
        <v>43</v>
      </c>
      <c r="B451">
        <v>45939.136944444443</v>
      </c>
      <c r="C451">
        <v>92192</v>
      </c>
      <c r="D451" t="s">
        <v>590</v>
      </c>
      <c r="E451">
        <v>4499367</v>
      </c>
      <c r="F451">
        <v>2104881</v>
      </c>
      <c r="G451" t="s">
        <v>600</v>
      </c>
      <c r="H451" t="s">
        <v>922</v>
      </c>
      <c r="I451">
        <v>12</v>
      </c>
      <c r="J451" t="b">
        <v>1</v>
      </c>
      <c r="K451">
        <v>2.4</v>
      </c>
      <c r="L451">
        <v>2106201</v>
      </c>
      <c r="M451" t="s">
        <v>602</v>
      </c>
      <c r="N451">
        <v>5</v>
      </c>
      <c r="O451">
        <v>5</v>
      </c>
      <c r="P451"/>
      <c r="Q451">
        <v>134905</v>
      </c>
      <c r="R451">
        <v>1</v>
      </c>
      <c r="S451" t="s">
        <v>40</v>
      </c>
      <c r="T451">
        <v>261</v>
      </c>
      <c r="U451">
        <v>147664</v>
      </c>
      <c r="V451">
        <v>24</v>
      </c>
      <c r="W451" t="s">
        <v>40</v>
      </c>
      <c r="X451">
        <v>261</v>
      </c>
      <c r="Y451" t="s">
        <v>377</v>
      </c>
      <c r="Z451" t="s">
        <v>378</v>
      </c>
      <c r="AA451" t="s">
        <v>379</v>
      </c>
      <c r="AB451" t="s">
        <v>559</v>
      </c>
      <c r="AC451" t="s">
        <v>41</v>
      </c>
      <c r="AD451" t="s">
        <v>41</v>
      </c>
      <c r="AE451" t="s">
        <v>41</v>
      </c>
      <c r="AF451" t="s">
        <v>41</v>
      </c>
      <c r="AK451"/>
    </row>
    <row r="452" spans="1:38" x14ac:dyDescent="0.25">
      <c r="A452" t="s">
        <v>39</v>
      </c>
      <c r="B452">
        <v>45939.139328703706</v>
      </c>
      <c r="C452">
        <v>92405</v>
      </c>
      <c r="D452" t="s">
        <v>590</v>
      </c>
      <c r="E452">
        <v>4495393</v>
      </c>
      <c r="F452">
        <v>2301964</v>
      </c>
      <c r="G452" t="s">
        <v>942</v>
      </c>
      <c r="H452" t="s">
        <v>930</v>
      </c>
      <c r="I452">
        <v>10</v>
      </c>
      <c r="J452" t="b">
        <v>1</v>
      </c>
      <c r="K452">
        <v>5.2083333333333336E-2</v>
      </c>
      <c r="L452">
        <v>2301965</v>
      </c>
      <c r="M452" t="s">
        <v>943</v>
      </c>
      <c r="N452">
        <v>192</v>
      </c>
      <c r="O452">
        <v>374</v>
      </c>
      <c r="P452"/>
      <c r="Q452">
        <v>134976</v>
      </c>
      <c r="R452">
        <v>1</v>
      </c>
      <c r="S452" t="s">
        <v>40</v>
      </c>
      <c r="T452">
        <v>261</v>
      </c>
      <c r="W452"/>
      <c r="Y452" t="s">
        <v>672</v>
      </c>
      <c r="Z452" t="s">
        <v>378</v>
      </c>
      <c r="AA452" t="s">
        <v>379</v>
      </c>
      <c r="AB452" t="s">
        <v>944</v>
      </c>
      <c r="AC452" t="s">
        <v>41</v>
      </c>
      <c r="AD452" t="s">
        <v>41</v>
      </c>
      <c r="AE452" t="s">
        <v>41</v>
      </c>
      <c r="AF452" t="s">
        <v>41</v>
      </c>
      <c r="AK452"/>
    </row>
    <row r="453" spans="1:38" x14ac:dyDescent="0.25">
      <c r="A453" t="s">
        <v>42</v>
      </c>
      <c r="B453">
        <v>45939.419768518521</v>
      </c>
      <c r="C453">
        <v>92314</v>
      </c>
      <c r="D453" t="s">
        <v>457</v>
      </c>
      <c r="E453">
        <v>4496406</v>
      </c>
      <c r="F453">
        <v>2310304</v>
      </c>
      <c r="G453" t="s">
        <v>945</v>
      </c>
      <c r="H453" t="s">
        <v>582</v>
      </c>
      <c r="I453">
        <v>14</v>
      </c>
      <c r="J453" t="b">
        <v>1</v>
      </c>
      <c r="K453">
        <v>3.5</v>
      </c>
      <c r="L453">
        <v>2310305</v>
      </c>
      <c r="M453" t="s">
        <v>937</v>
      </c>
      <c r="N453">
        <v>4</v>
      </c>
      <c r="O453">
        <v>4</v>
      </c>
      <c r="P453"/>
      <c r="Q453">
        <v>2301936</v>
      </c>
      <c r="R453">
        <v>1</v>
      </c>
      <c r="S453" t="s">
        <v>40</v>
      </c>
      <c r="T453">
        <v>261</v>
      </c>
      <c r="U453">
        <v>147664</v>
      </c>
      <c r="V453">
        <v>24</v>
      </c>
      <c r="W453" t="s">
        <v>40</v>
      </c>
      <c r="X453">
        <v>261</v>
      </c>
      <c r="Y453" t="s">
        <v>551</v>
      </c>
      <c r="Z453" t="s">
        <v>378</v>
      </c>
      <c r="AA453" t="s">
        <v>379</v>
      </c>
      <c r="AB453" t="s">
        <v>384</v>
      </c>
      <c r="AC453" t="s">
        <v>41</v>
      </c>
      <c r="AD453" t="s">
        <v>41</v>
      </c>
      <c r="AE453" t="s">
        <v>41</v>
      </c>
      <c r="AF453" t="s">
        <v>41</v>
      </c>
      <c r="AK453"/>
    </row>
    <row r="454" spans="1:38" x14ac:dyDescent="0.25">
      <c r="A454" t="s">
        <v>38</v>
      </c>
      <c r="B454">
        <v>45939.504178240742</v>
      </c>
      <c r="C454">
        <v>92343</v>
      </c>
      <c r="D454" t="s">
        <v>866</v>
      </c>
      <c r="E454">
        <v>4495272</v>
      </c>
      <c r="F454">
        <v>2304758</v>
      </c>
      <c r="G454" t="s">
        <v>402</v>
      </c>
      <c r="H454" t="s">
        <v>829</v>
      </c>
      <c r="I454">
        <v>14</v>
      </c>
      <c r="J454" t="b">
        <v>1</v>
      </c>
      <c r="K454">
        <v>7</v>
      </c>
      <c r="L454">
        <v>2304759</v>
      </c>
      <c r="M454" t="s">
        <v>404</v>
      </c>
      <c r="N454">
        <v>2</v>
      </c>
      <c r="O454">
        <v>2</v>
      </c>
      <c r="P454"/>
      <c r="Q454">
        <v>155687</v>
      </c>
      <c r="R454">
        <v>1</v>
      </c>
      <c r="S454" t="s">
        <v>40</v>
      </c>
      <c r="T454">
        <v>261</v>
      </c>
      <c r="U454">
        <v>147664</v>
      </c>
      <c r="V454">
        <v>24</v>
      </c>
      <c r="W454" t="s">
        <v>40</v>
      </c>
      <c r="X454">
        <v>261</v>
      </c>
      <c r="Y454" t="s">
        <v>377</v>
      </c>
      <c r="Z454" t="s">
        <v>378</v>
      </c>
      <c r="AA454" t="s">
        <v>379</v>
      </c>
      <c r="AB454" t="s">
        <v>379</v>
      </c>
      <c r="AC454" t="s">
        <v>41</v>
      </c>
      <c r="AD454" t="s">
        <v>41</v>
      </c>
      <c r="AE454" t="s">
        <v>41</v>
      </c>
      <c r="AF454" t="s">
        <v>41</v>
      </c>
      <c r="AK454"/>
    </row>
    <row r="455" spans="1:38" x14ac:dyDescent="0.25">
      <c r="A455" t="s">
        <v>37</v>
      </c>
      <c r="B455">
        <v>45939.523287037038</v>
      </c>
      <c r="C455">
        <v>92406</v>
      </c>
      <c r="D455" t="s">
        <v>866</v>
      </c>
      <c r="E455">
        <v>4497802</v>
      </c>
      <c r="F455">
        <v>2105127</v>
      </c>
      <c r="G455" t="s">
        <v>946</v>
      </c>
      <c r="H455" t="s">
        <v>930</v>
      </c>
      <c r="I455">
        <v>10</v>
      </c>
      <c r="J455" t="b">
        <v>1</v>
      </c>
      <c r="K455">
        <v>4.7393364928909949E-2</v>
      </c>
      <c r="L455">
        <v>2116857</v>
      </c>
      <c r="M455" t="s">
        <v>947</v>
      </c>
      <c r="N455">
        <v>211</v>
      </c>
      <c r="O455">
        <v>216</v>
      </c>
      <c r="P455"/>
      <c r="Q455">
        <v>134976</v>
      </c>
      <c r="R455">
        <v>1</v>
      </c>
      <c r="S455" t="s">
        <v>40</v>
      </c>
      <c r="T455">
        <v>261</v>
      </c>
      <c r="V455">
        <v>0</v>
      </c>
      <c r="W455"/>
      <c r="Y455" t="s">
        <v>377</v>
      </c>
      <c r="Z455" t="s">
        <v>378</v>
      </c>
      <c r="AA455" t="s">
        <v>379</v>
      </c>
      <c r="AB455" t="s">
        <v>676</v>
      </c>
      <c r="AC455" t="s">
        <v>379</v>
      </c>
      <c r="AD455" t="s">
        <v>948</v>
      </c>
      <c r="AE455" t="s">
        <v>41</v>
      </c>
      <c r="AF455" t="s">
        <v>41</v>
      </c>
      <c r="AI455">
        <v>134976</v>
      </c>
      <c r="AJ455">
        <v>1</v>
      </c>
      <c r="AK455" t="s">
        <v>40</v>
      </c>
      <c r="AL455">
        <v>261</v>
      </c>
    </row>
    <row r="456" spans="1:38" x14ac:dyDescent="0.25">
      <c r="A456" t="s">
        <v>44</v>
      </c>
      <c r="B456">
        <v>45939.589907407404</v>
      </c>
      <c r="C456">
        <v>92358</v>
      </c>
      <c r="D456" t="s">
        <v>866</v>
      </c>
      <c r="E456">
        <v>4497505</v>
      </c>
      <c r="F456">
        <v>2304988</v>
      </c>
      <c r="G456" t="s">
        <v>887</v>
      </c>
      <c r="H456" t="s">
        <v>949</v>
      </c>
      <c r="I456">
        <v>14</v>
      </c>
      <c r="J456" t="b">
        <v>1</v>
      </c>
      <c r="K456">
        <v>1.75</v>
      </c>
      <c r="L456">
        <v>2304989</v>
      </c>
      <c r="M456" t="s">
        <v>888</v>
      </c>
      <c r="N456">
        <v>8</v>
      </c>
      <c r="O456">
        <v>8</v>
      </c>
      <c r="P456"/>
      <c r="Q456">
        <v>155687</v>
      </c>
      <c r="R456">
        <v>1</v>
      </c>
      <c r="S456" t="s">
        <v>40</v>
      </c>
      <c r="T456">
        <v>261</v>
      </c>
      <c r="U456">
        <v>147664</v>
      </c>
      <c r="V456">
        <v>48</v>
      </c>
      <c r="W456" t="s">
        <v>40</v>
      </c>
      <c r="X456">
        <v>261</v>
      </c>
      <c r="Y456" t="s">
        <v>377</v>
      </c>
      <c r="Z456" t="s">
        <v>378</v>
      </c>
      <c r="AA456" t="s">
        <v>384</v>
      </c>
      <c r="AB456" t="s">
        <v>384</v>
      </c>
      <c r="AC456" t="s">
        <v>41</v>
      </c>
      <c r="AD456" t="s">
        <v>41</v>
      </c>
      <c r="AE456" t="s">
        <v>41</v>
      </c>
      <c r="AF456" t="s">
        <v>41</v>
      </c>
      <c r="AI456">
        <v>155687</v>
      </c>
      <c r="AJ456">
        <v>1</v>
      </c>
      <c r="AK456" t="s">
        <v>40</v>
      </c>
      <c r="AL456">
        <v>261</v>
      </c>
    </row>
    <row r="457" spans="1:38" x14ac:dyDescent="0.25">
      <c r="A457" t="s">
        <v>39</v>
      </c>
      <c r="B457">
        <v>45939.700462962966</v>
      </c>
      <c r="C457">
        <v>90425</v>
      </c>
      <c r="D457" t="s">
        <v>866</v>
      </c>
      <c r="E457">
        <v>4498807</v>
      </c>
      <c r="F457">
        <v>153561</v>
      </c>
      <c r="G457" t="s">
        <v>933</v>
      </c>
      <c r="H457" t="s">
        <v>787</v>
      </c>
      <c r="I457">
        <v>10</v>
      </c>
      <c r="J457" t="b">
        <v>1</v>
      </c>
      <c r="K457">
        <v>0.83333333333333337</v>
      </c>
      <c r="L457">
        <v>153567</v>
      </c>
      <c r="M457" t="s">
        <v>934</v>
      </c>
      <c r="N457">
        <v>12</v>
      </c>
      <c r="O457">
        <v>12</v>
      </c>
      <c r="P457"/>
      <c r="Q457">
        <v>134906</v>
      </c>
      <c r="R457">
        <v>1</v>
      </c>
      <c r="S457" t="s">
        <v>40</v>
      </c>
      <c r="T457">
        <v>261</v>
      </c>
      <c r="U457">
        <v>147664</v>
      </c>
      <c r="V457">
        <v>48</v>
      </c>
      <c r="W457" t="s">
        <v>40</v>
      </c>
      <c r="X457">
        <v>261</v>
      </c>
      <c r="Y457" t="s">
        <v>377</v>
      </c>
      <c r="Z457" t="s">
        <v>378</v>
      </c>
      <c r="AA457" t="s">
        <v>379</v>
      </c>
      <c r="AB457" t="s">
        <v>400</v>
      </c>
      <c r="AC457" t="s">
        <v>379</v>
      </c>
      <c r="AD457" t="s">
        <v>384</v>
      </c>
      <c r="AE457" t="s">
        <v>41</v>
      </c>
      <c r="AF457" t="s">
        <v>41</v>
      </c>
      <c r="AI457">
        <v>134906</v>
      </c>
      <c r="AJ457">
        <v>1</v>
      </c>
      <c r="AK457" t="s">
        <v>40</v>
      </c>
      <c r="AL457">
        <v>261</v>
      </c>
    </row>
    <row r="458" spans="1:38" x14ac:dyDescent="0.25">
      <c r="A458" t="s">
        <v>45</v>
      </c>
      <c r="B458">
        <v>45940.139872685184</v>
      </c>
      <c r="C458">
        <v>92506</v>
      </c>
      <c r="D458" t="s">
        <v>590</v>
      </c>
      <c r="E458">
        <v>4499312</v>
      </c>
      <c r="F458">
        <v>133168</v>
      </c>
      <c r="G458" t="s">
        <v>863</v>
      </c>
      <c r="H458" t="s">
        <v>950</v>
      </c>
      <c r="I458">
        <v>64.3</v>
      </c>
      <c r="J458" t="b">
        <v>1</v>
      </c>
      <c r="K458">
        <v>0.75647058823529412</v>
      </c>
      <c r="L458">
        <v>144374</v>
      </c>
      <c r="M458" t="s">
        <v>865</v>
      </c>
      <c r="N458">
        <v>85</v>
      </c>
      <c r="O458">
        <v>85</v>
      </c>
      <c r="P458"/>
      <c r="Q458">
        <v>134908</v>
      </c>
      <c r="R458">
        <v>1</v>
      </c>
      <c r="S458" t="s">
        <v>40</v>
      </c>
      <c r="T458">
        <v>261</v>
      </c>
      <c r="U458">
        <v>147664</v>
      </c>
      <c r="V458">
        <v>24</v>
      </c>
      <c r="W458" t="s">
        <v>40</v>
      </c>
      <c r="X458">
        <v>261</v>
      </c>
      <c r="Y458" t="s">
        <v>377</v>
      </c>
      <c r="Z458" t="s">
        <v>378</v>
      </c>
      <c r="AA458" t="s">
        <v>379</v>
      </c>
      <c r="AB458" t="s">
        <v>841</v>
      </c>
      <c r="AC458" t="s">
        <v>41</v>
      </c>
      <c r="AD458" t="s">
        <v>41</v>
      </c>
      <c r="AE458" t="s">
        <v>41</v>
      </c>
      <c r="AF458" t="s">
        <v>41</v>
      </c>
      <c r="AK458"/>
    </row>
    <row r="459" spans="1:38" x14ac:dyDescent="0.25">
      <c r="A459" t="s">
        <v>38</v>
      </c>
      <c r="B459">
        <v>45940.221041666664</v>
      </c>
      <c r="C459">
        <v>92193</v>
      </c>
      <c r="D459" t="s">
        <v>590</v>
      </c>
      <c r="E459">
        <v>4499369</v>
      </c>
      <c r="F459">
        <v>2104881</v>
      </c>
      <c r="G459" t="s">
        <v>600</v>
      </c>
      <c r="H459" t="s">
        <v>923</v>
      </c>
      <c r="I459">
        <v>10</v>
      </c>
      <c r="J459" t="b">
        <v>1</v>
      </c>
      <c r="K459">
        <v>2.5</v>
      </c>
      <c r="L459">
        <v>2106201</v>
      </c>
      <c r="M459" t="s">
        <v>602</v>
      </c>
      <c r="N459">
        <v>4</v>
      </c>
      <c r="O459">
        <v>8</v>
      </c>
      <c r="P459"/>
      <c r="Q459">
        <v>134905</v>
      </c>
      <c r="R459">
        <v>1</v>
      </c>
      <c r="S459" t="s">
        <v>40</v>
      </c>
      <c r="T459">
        <v>261</v>
      </c>
      <c r="U459">
        <v>147664</v>
      </c>
      <c r="V459">
        <v>24</v>
      </c>
      <c r="W459" t="s">
        <v>40</v>
      </c>
      <c r="X459">
        <v>261</v>
      </c>
      <c r="Y459" t="s">
        <v>377</v>
      </c>
      <c r="Z459" t="s">
        <v>378</v>
      </c>
      <c r="AA459" t="s">
        <v>379</v>
      </c>
      <c r="AB459" t="s">
        <v>384</v>
      </c>
      <c r="AC459" t="s">
        <v>41</v>
      </c>
      <c r="AD459" t="s">
        <v>41</v>
      </c>
      <c r="AE459" t="s">
        <v>41</v>
      </c>
      <c r="AF459" t="s">
        <v>41</v>
      </c>
      <c r="AK459"/>
    </row>
    <row r="460" spans="1:38" x14ac:dyDescent="0.25">
      <c r="A460" t="s">
        <v>38</v>
      </c>
      <c r="B460">
        <v>45940.222349537034</v>
      </c>
      <c r="C460">
        <v>92193</v>
      </c>
      <c r="D460" t="s">
        <v>590</v>
      </c>
      <c r="E460">
        <v>4499368</v>
      </c>
      <c r="F460">
        <v>2104881</v>
      </c>
      <c r="G460" t="s">
        <v>600</v>
      </c>
      <c r="H460" t="s">
        <v>923</v>
      </c>
      <c r="I460">
        <v>10</v>
      </c>
      <c r="J460" t="b">
        <v>1</v>
      </c>
      <c r="K460">
        <v>2.5</v>
      </c>
      <c r="L460">
        <v>2106201</v>
      </c>
      <c r="M460" t="s">
        <v>602</v>
      </c>
      <c r="N460">
        <v>4</v>
      </c>
      <c r="O460">
        <v>4</v>
      </c>
      <c r="P460"/>
      <c r="Q460">
        <v>134905</v>
      </c>
      <c r="R460">
        <v>1</v>
      </c>
      <c r="S460" t="s">
        <v>40</v>
      </c>
      <c r="T460">
        <v>261</v>
      </c>
      <c r="U460">
        <v>147664</v>
      </c>
      <c r="V460">
        <v>24</v>
      </c>
      <c r="W460" t="s">
        <v>40</v>
      </c>
      <c r="X460">
        <v>261</v>
      </c>
      <c r="Y460" t="s">
        <v>377</v>
      </c>
      <c r="Z460" t="s">
        <v>378</v>
      </c>
      <c r="AA460" t="s">
        <v>379</v>
      </c>
      <c r="AB460" t="s">
        <v>384</v>
      </c>
      <c r="AC460" t="s">
        <v>41</v>
      </c>
      <c r="AD460" t="s">
        <v>41</v>
      </c>
      <c r="AE460" t="s">
        <v>41</v>
      </c>
      <c r="AF460" t="s">
        <v>41</v>
      </c>
      <c r="AK460"/>
    </row>
    <row r="461" spans="1:38" x14ac:dyDescent="0.25">
      <c r="A461" t="s">
        <v>37</v>
      </c>
      <c r="B461">
        <v>45940.420219907406</v>
      </c>
      <c r="C461">
        <v>92174</v>
      </c>
      <c r="D461" t="s">
        <v>457</v>
      </c>
      <c r="E461">
        <v>4498490</v>
      </c>
      <c r="F461">
        <v>131173</v>
      </c>
      <c r="G461" t="s">
        <v>856</v>
      </c>
      <c r="H461" t="s">
        <v>618</v>
      </c>
      <c r="I461">
        <v>10</v>
      </c>
      <c r="J461" t="b">
        <v>1</v>
      </c>
      <c r="K461">
        <v>1.25</v>
      </c>
      <c r="L461">
        <v>131174</v>
      </c>
      <c r="M461" t="s">
        <v>857</v>
      </c>
      <c r="N461">
        <v>8</v>
      </c>
      <c r="O461">
        <v>8</v>
      </c>
      <c r="P461"/>
      <c r="Q461">
        <v>134971</v>
      </c>
      <c r="R461">
        <v>2</v>
      </c>
      <c r="S461" t="s">
        <v>40</v>
      </c>
      <c r="T461">
        <v>261</v>
      </c>
      <c r="U461">
        <v>147664</v>
      </c>
      <c r="V461">
        <v>48</v>
      </c>
      <c r="W461" t="s">
        <v>40</v>
      </c>
      <c r="X461">
        <v>261</v>
      </c>
      <c r="Y461" t="s">
        <v>377</v>
      </c>
      <c r="Z461" t="s">
        <v>378</v>
      </c>
      <c r="AA461" t="s">
        <v>379</v>
      </c>
      <c r="AB461" t="s">
        <v>400</v>
      </c>
      <c r="AC461" t="s">
        <v>41</v>
      </c>
      <c r="AD461" t="s">
        <v>41</v>
      </c>
      <c r="AE461" t="s">
        <v>41</v>
      </c>
      <c r="AF461" t="s">
        <v>41</v>
      </c>
      <c r="AK461"/>
    </row>
    <row r="462" spans="1:38" x14ac:dyDescent="0.25">
      <c r="A462" t="s">
        <v>37</v>
      </c>
      <c r="B462">
        <v>45940.44703703704</v>
      </c>
      <c r="C462">
        <v>92407</v>
      </c>
      <c r="D462" t="s">
        <v>459</v>
      </c>
      <c r="E462">
        <v>4495439</v>
      </c>
      <c r="F462">
        <v>2116517</v>
      </c>
      <c r="G462" t="s">
        <v>659</v>
      </c>
      <c r="H462" t="s">
        <v>951</v>
      </c>
      <c r="I462">
        <v>1.5</v>
      </c>
      <c r="J462" t="b">
        <v>0</v>
      </c>
      <c r="K462">
        <v>3.7220843672456576E-3</v>
      </c>
      <c r="L462">
        <v>2117670</v>
      </c>
      <c r="M462" t="s">
        <v>660</v>
      </c>
      <c r="N462">
        <v>403</v>
      </c>
      <c r="O462">
        <v>260</v>
      </c>
      <c r="P462"/>
      <c r="Q462">
        <v>134976</v>
      </c>
      <c r="R462">
        <v>1</v>
      </c>
      <c r="S462" t="s">
        <v>40</v>
      </c>
      <c r="T462">
        <v>261</v>
      </c>
      <c r="V462">
        <v>0</v>
      </c>
      <c r="W462"/>
      <c r="Y462" t="s">
        <v>377</v>
      </c>
      <c r="Z462" t="s">
        <v>378</v>
      </c>
      <c r="AA462" t="s">
        <v>379</v>
      </c>
      <c r="AB462" t="s">
        <v>952</v>
      </c>
      <c r="AC462" t="s">
        <v>379</v>
      </c>
      <c r="AD462" t="s">
        <v>953</v>
      </c>
      <c r="AE462" t="s">
        <v>41</v>
      </c>
      <c r="AF462" t="s">
        <v>41</v>
      </c>
      <c r="AI462">
        <v>134976</v>
      </c>
      <c r="AJ462">
        <v>1</v>
      </c>
      <c r="AK462" t="s">
        <v>40</v>
      </c>
      <c r="AL462">
        <v>261</v>
      </c>
    </row>
    <row r="463" spans="1:38" x14ac:dyDescent="0.25">
      <c r="A463" t="s">
        <v>37</v>
      </c>
      <c r="B463">
        <v>45940.451006944444</v>
      </c>
      <c r="C463">
        <v>92407</v>
      </c>
      <c r="D463" t="s">
        <v>459</v>
      </c>
      <c r="E463">
        <v>4495439</v>
      </c>
      <c r="F463">
        <v>2116517</v>
      </c>
      <c r="G463" t="s">
        <v>659</v>
      </c>
      <c r="H463" t="s">
        <v>951</v>
      </c>
      <c r="I463">
        <v>1.5</v>
      </c>
      <c r="J463" t="b">
        <v>1</v>
      </c>
      <c r="K463">
        <v>3.7220843672456576E-3</v>
      </c>
      <c r="L463">
        <v>2117670</v>
      </c>
      <c r="M463" t="s">
        <v>660</v>
      </c>
      <c r="N463">
        <v>403</v>
      </c>
      <c r="O463">
        <v>260</v>
      </c>
      <c r="P463"/>
      <c r="Q463">
        <v>134976</v>
      </c>
      <c r="R463">
        <v>1</v>
      </c>
      <c r="S463" t="s">
        <v>40</v>
      </c>
      <c r="T463">
        <v>261</v>
      </c>
      <c r="V463">
        <v>0</v>
      </c>
      <c r="W463"/>
      <c r="Y463" t="s">
        <v>377</v>
      </c>
      <c r="Z463" t="s">
        <v>378</v>
      </c>
      <c r="AA463" t="s">
        <v>379</v>
      </c>
      <c r="AB463" t="s">
        <v>548</v>
      </c>
      <c r="AC463" t="s">
        <v>379</v>
      </c>
      <c r="AD463" t="s">
        <v>953</v>
      </c>
      <c r="AE463" t="s">
        <v>41</v>
      </c>
      <c r="AF463" t="s">
        <v>41</v>
      </c>
      <c r="AI463">
        <v>134976</v>
      </c>
      <c r="AJ463">
        <v>1</v>
      </c>
      <c r="AK463" t="s">
        <v>40</v>
      </c>
      <c r="AL463">
        <v>261</v>
      </c>
    </row>
    <row r="464" spans="1:38" x14ac:dyDescent="0.25">
      <c r="A464" t="s">
        <v>43</v>
      </c>
      <c r="B464">
        <v>45940.615243055552</v>
      </c>
      <c r="C464">
        <v>90427</v>
      </c>
      <c r="D464" t="s">
        <v>459</v>
      </c>
      <c r="E464">
        <v>4498815</v>
      </c>
      <c r="F464">
        <v>2104855</v>
      </c>
      <c r="G464" t="s">
        <v>885</v>
      </c>
      <c r="H464" t="s">
        <v>823</v>
      </c>
      <c r="I464">
        <v>10</v>
      </c>
      <c r="J464" t="b">
        <v>1</v>
      </c>
      <c r="K464">
        <v>0.83333333333333337</v>
      </c>
      <c r="L464">
        <v>2106173</v>
      </c>
      <c r="M464" t="s">
        <v>886</v>
      </c>
      <c r="N464">
        <v>12</v>
      </c>
      <c r="O464">
        <v>12</v>
      </c>
      <c r="P464"/>
      <c r="Q464">
        <v>134905</v>
      </c>
      <c r="R464">
        <v>2</v>
      </c>
      <c r="S464" t="s">
        <v>40</v>
      </c>
      <c r="T464">
        <v>261</v>
      </c>
      <c r="U464">
        <v>147664</v>
      </c>
      <c r="V464">
        <v>48</v>
      </c>
      <c r="W464" t="s">
        <v>40</v>
      </c>
      <c r="X464">
        <v>261</v>
      </c>
      <c r="Y464" t="s">
        <v>377</v>
      </c>
      <c r="Z464" t="s">
        <v>378</v>
      </c>
      <c r="AA464" t="s">
        <v>379</v>
      </c>
      <c r="AB464" t="s">
        <v>400</v>
      </c>
      <c r="AC464" t="s">
        <v>379</v>
      </c>
      <c r="AD464" t="s">
        <v>384</v>
      </c>
      <c r="AE464" t="s">
        <v>41</v>
      </c>
      <c r="AF464" t="s">
        <v>41</v>
      </c>
      <c r="AK464"/>
    </row>
    <row r="465" spans="1:38" x14ac:dyDescent="0.25">
      <c r="A465" t="s">
        <v>44</v>
      </c>
      <c r="B465">
        <v>45940.78052083333</v>
      </c>
      <c r="C465">
        <v>92194</v>
      </c>
      <c r="D465" t="s">
        <v>560</v>
      </c>
      <c r="E465">
        <v>4499370</v>
      </c>
      <c r="F465">
        <v>2104881</v>
      </c>
      <c r="G465" t="s">
        <v>600</v>
      </c>
      <c r="H465" t="s">
        <v>928</v>
      </c>
      <c r="I465">
        <v>5</v>
      </c>
      <c r="J465" t="b">
        <v>1</v>
      </c>
      <c r="K465">
        <v>1.25</v>
      </c>
      <c r="L465">
        <v>2106201</v>
      </c>
      <c r="M465" t="s">
        <v>602</v>
      </c>
      <c r="N465">
        <v>4</v>
      </c>
      <c r="O465">
        <v>4</v>
      </c>
      <c r="P465"/>
      <c r="Q465">
        <v>134905</v>
      </c>
      <c r="R465">
        <v>1</v>
      </c>
      <c r="S465" t="s">
        <v>40</v>
      </c>
      <c r="T465">
        <v>261</v>
      </c>
      <c r="U465">
        <v>147664</v>
      </c>
      <c r="V465">
        <v>24</v>
      </c>
      <c r="W465" t="s">
        <v>40</v>
      </c>
      <c r="X465">
        <v>261</v>
      </c>
      <c r="Y465" t="s">
        <v>377</v>
      </c>
      <c r="Z465" t="s">
        <v>378</v>
      </c>
      <c r="AA465" t="s">
        <v>379</v>
      </c>
      <c r="AB465" t="s">
        <v>384</v>
      </c>
      <c r="AC465" t="s">
        <v>41</v>
      </c>
      <c r="AD465" t="s">
        <v>41</v>
      </c>
      <c r="AE465" t="s">
        <v>41</v>
      </c>
      <c r="AF465" t="s">
        <v>41</v>
      </c>
      <c r="AK465"/>
    </row>
    <row r="466" spans="1:38" x14ac:dyDescent="0.25">
      <c r="A466" t="s">
        <v>44</v>
      </c>
      <c r="B466">
        <v>45940.781319444446</v>
      </c>
      <c r="C466">
        <v>92194</v>
      </c>
      <c r="D466" t="s">
        <v>560</v>
      </c>
      <c r="E466">
        <v>4499371</v>
      </c>
      <c r="F466">
        <v>2104881</v>
      </c>
      <c r="G466" t="s">
        <v>600</v>
      </c>
      <c r="H466" t="s">
        <v>928</v>
      </c>
      <c r="I466">
        <v>5</v>
      </c>
      <c r="J466" t="b">
        <v>1</v>
      </c>
      <c r="K466">
        <v>1</v>
      </c>
      <c r="L466">
        <v>2106201</v>
      </c>
      <c r="M466" t="s">
        <v>602</v>
      </c>
      <c r="N466">
        <v>5</v>
      </c>
      <c r="O466">
        <v>5</v>
      </c>
      <c r="P466"/>
      <c r="Q466">
        <v>134905</v>
      </c>
      <c r="R466">
        <v>1</v>
      </c>
      <c r="S466" t="s">
        <v>40</v>
      </c>
      <c r="T466">
        <v>261</v>
      </c>
      <c r="U466">
        <v>147664</v>
      </c>
      <c r="V466">
        <v>24</v>
      </c>
      <c r="W466" t="s">
        <v>40</v>
      </c>
      <c r="X466">
        <v>261</v>
      </c>
      <c r="Y466" t="s">
        <v>377</v>
      </c>
      <c r="Z466" t="s">
        <v>378</v>
      </c>
      <c r="AA466" t="s">
        <v>379</v>
      </c>
      <c r="AB466" t="s">
        <v>559</v>
      </c>
      <c r="AC466" t="s">
        <v>41</v>
      </c>
      <c r="AD466" t="s">
        <v>41</v>
      </c>
      <c r="AE466" t="s">
        <v>41</v>
      </c>
      <c r="AF466" t="s">
        <v>41</v>
      </c>
      <c r="AK466"/>
    </row>
    <row r="467" spans="1:38" x14ac:dyDescent="0.25">
      <c r="A467" t="s">
        <v>47</v>
      </c>
      <c r="B467">
        <v>45941.110972222225</v>
      </c>
      <c r="C467">
        <v>92507</v>
      </c>
      <c r="D467" t="s">
        <v>682</v>
      </c>
      <c r="E467">
        <v>4499313</v>
      </c>
      <c r="F467">
        <v>133168</v>
      </c>
      <c r="G467" t="s">
        <v>863</v>
      </c>
      <c r="H467" t="s">
        <v>954</v>
      </c>
      <c r="I467">
        <v>64.3</v>
      </c>
      <c r="J467" t="b">
        <v>1</v>
      </c>
      <c r="K467">
        <v>0.75647058823529412</v>
      </c>
      <c r="L467">
        <v>144374</v>
      </c>
      <c r="M467" t="s">
        <v>865</v>
      </c>
      <c r="N467">
        <v>85</v>
      </c>
      <c r="O467">
        <v>85</v>
      </c>
      <c r="P467"/>
      <c r="Q467">
        <v>134908</v>
      </c>
      <c r="R467">
        <v>1</v>
      </c>
      <c r="S467" t="s">
        <v>40</v>
      </c>
      <c r="T467">
        <v>261</v>
      </c>
      <c r="U467">
        <v>147664</v>
      </c>
      <c r="V467">
        <v>24</v>
      </c>
      <c r="W467" t="s">
        <v>40</v>
      </c>
      <c r="X467">
        <v>261</v>
      </c>
      <c r="Y467" t="s">
        <v>377</v>
      </c>
      <c r="Z467" t="s">
        <v>378</v>
      </c>
      <c r="AA467" t="s">
        <v>379</v>
      </c>
      <c r="AB467" t="s">
        <v>841</v>
      </c>
      <c r="AC467" t="s">
        <v>41</v>
      </c>
      <c r="AD467" t="s">
        <v>41</v>
      </c>
      <c r="AE467" t="s">
        <v>41</v>
      </c>
      <c r="AF467" t="s">
        <v>41</v>
      </c>
      <c r="AK467"/>
    </row>
    <row r="468" spans="1:38" x14ac:dyDescent="0.25">
      <c r="A468" t="s">
        <v>38</v>
      </c>
      <c r="B468">
        <v>45941.147581018522</v>
      </c>
      <c r="C468">
        <v>92359</v>
      </c>
      <c r="D468" t="s">
        <v>682</v>
      </c>
      <c r="E468">
        <v>4497506</v>
      </c>
      <c r="F468">
        <v>2304988</v>
      </c>
      <c r="G468" t="s">
        <v>887</v>
      </c>
      <c r="H468" t="s">
        <v>955</v>
      </c>
      <c r="I468">
        <v>14</v>
      </c>
      <c r="J468" t="b">
        <v>1</v>
      </c>
      <c r="K468">
        <v>1.75</v>
      </c>
      <c r="L468">
        <v>2304989</v>
      </c>
      <c r="M468" t="s">
        <v>888</v>
      </c>
      <c r="N468">
        <v>8</v>
      </c>
      <c r="O468">
        <v>8</v>
      </c>
      <c r="P468"/>
      <c r="Q468">
        <v>134906</v>
      </c>
      <c r="R468">
        <v>1</v>
      </c>
      <c r="S468" t="s">
        <v>40</v>
      </c>
      <c r="T468">
        <v>261</v>
      </c>
      <c r="U468">
        <v>147664</v>
      </c>
      <c r="V468">
        <v>48</v>
      </c>
      <c r="W468" t="s">
        <v>40</v>
      </c>
      <c r="X468">
        <v>261</v>
      </c>
      <c r="Y468" t="s">
        <v>377</v>
      </c>
      <c r="Z468" t="s">
        <v>378</v>
      </c>
      <c r="AA468" t="s">
        <v>379</v>
      </c>
      <c r="AB468" t="s">
        <v>400</v>
      </c>
      <c r="AC468" t="s">
        <v>41</v>
      </c>
      <c r="AD468" t="s">
        <v>41</v>
      </c>
      <c r="AE468" t="s">
        <v>41</v>
      </c>
      <c r="AF468" t="s">
        <v>41</v>
      </c>
      <c r="AI468">
        <v>134906</v>
      </c>
      <c r="AJ468">
        <v>1</v>
      </c>
      <c r="AK468" t="s">
        <v>40</v>
      </c>
      <c r="AL468">
        <v>261</v>
      </c>
    </row>
    <row r="469" spans="1:38" x14ac:dyDescent="0.25">
      <c r="A469" t="s">
        <v>42</v>
      </c>
      <c r="B469">
        <v>45941.1716087963</v>
      </c>
      <c r="C469">
        <v>90426</v>
      </c>
      <c r="D469" t="s">
        <v>682</v>
      </c>
      <c r="E469">
        <v>4498816</v>
      </c>
      <c r="F469">
        <v>2104855</v>
      </c>
      <c r="G469" t="s">
        <v>885</v>
      </c>
      <c r="H469" t="s">
        <v>824</v>
      </c>
      <c r="I469">
        <v>10</v>
      </c>
      <c r="J469" t="b">
        <v>1</v>
      </c>
      <c r="K469">
        <v>0.83333333333333337</v>
      </c>
      <c r="L469">
        <v>2106173</v>
      </c>
      <c r="M469"/>
      <c r="N469">
        <v>12</v>
      </c>
      <c r="O469">
        <v>12</v>
      </c>
      <c r="P469"/>
      <c r="Q469">
        <v>134906</v>
      </c>
      <c r="R469">
        <v>1</v>
      </c>
      <c r="S469" t="s">
        <v>40</v>
      </c>
      <c r="T469">
        <v>261</v>
      </c>
      <c r="U469">
        <v>147664</v>
      </c>
      <c r="V469">
        <v>24</v>
      </c>
      <c r="W469" t="s">
        <v>40</v>
      </c>
      <c r="X469">
        <v>261</v>
      </c>
      <c r="Y469" t="s">
        <v>377</v>
      </c>
      <c r="Z469" t="s">
        <v>378</v>
      </c>
      <c r="AA469" t="s">
        <v>379</v>
      </c>
      <c r="AB469" t="s">
        <v>400</v>
      </c>
      <c r="AC469" t="s">
        <v>379</v>
      </c>
      <c r="AD469" t="s">
        <v>384</v>
      </c>
      <c r="AE469" t="s">
        <v>41</v>
      </c>
      <c r="AF469" t="s">
        <v>41</v>
      </c>
      <c r="AK469"/>
    </row>
    <row r="470" spans="1:38" x14ac:dyDescent="0.25">
      <c r="A470" t="s">
        <v>42</v>
      </c>
      <c r="B470">
        <v>45941.495451388888</v>
      </c>
      <c r="C470">
        <v>92409</v>
      </c>
      <c r="D470" t="s">
        <v>866</v>
      </c>
      <c r="E470">
        <v>4495440</v>
      </c>
      <c r="F470">
        <v>2116517</v>
      </c>
      <c r="G470" t="s">
        <v>659</v>
      </c>
      <c r="H470" t="s">
        <v>924</v>
      </c>
      <c r="I470">
        <v>3</v>
      </c>
      <c r="J470" t="b">
        <v>1</v>
      </c>
      <c r="K470">
        <v>7.7922077922077922E-3</v>
      </c>
      <c r="L470">
        <v>2117670</v>
      </c>
      <c r="M470" t="s">
        <v>660</v>
      </c>
      <c r="N470">
        <v>385</v>
      </c>
      <c r="O470">
        <v>385</v>
      </c>
      <c r="P470"/>
      <c r="Q470">
        <v>134976</v>
      </c>
      <c r="R470">
        <v>1</v>
      </c>
      <c r="S470" t="s">
        <v>40</v>
      </c>
      <c r="T470">
        <v>261</v>
      </c>
      <c r="V470">
        <v>0</v>
      </c>
      <c r="W470"/>
      <c r="Y470" t="s">
        <v>377</v>
      </c>
      <c r="Z470" t="s">
        <v>378</v>
      </c>
      <c r="AA470" t="s">
        <v>379</v>
      </c>
      <c r="AB470" t="s">
        <v>956</v>
      </c>
      <c r="AC470" t="s">
        <v>379</v>
      </c>
      <c r="AD470" t="s">
        <v>957</v>
      </c>
      <c r="AE470" t="s">
        <v>41</v>
      </c>
      <c r="AF470" t="s">
        <v>41</v>
      </c>
      <c r="AI470">
        <v>134976</v>
      </c>
      <c r="AJ470">
        <v>1</v>
      </c>
      <c r="AK470" t="s">
        <v>40</v>
      </c>
      <c r="AL470">
        <v>261</v>
      </c>
    </row>
    <row r="471" spans="1:38" x14ac:dyDescent="0.25">
      <c r="A471" t="s">
        <v>44</v>
      </c>
      <c r="B471">
        <v>45941.601550925923</v>
      </c>
      <c r="C471">
        <v>92317</v>
      </c>
      <c r="D471" t="s">
        <v>866</v>
      </c>
      <c r="E471">
        <v>4474947</v>
      </c>
      <c r="F471">
        <v>113677</v>
      </c>
      <c r="G471" t="s">
        <v>687</v>
      </c>
      <c r="H471" t="s">
        <v>958</v>
      </c>
      <c r="I471">
        <v>14</v>
      </c>
      <c r="J471" t="b">
        <v>1</v>
      </c>
      <c r="K471">
        <v>1.75</v>
      </c>
      <c r="L471">
        <v>113679</v>
      </c>
      <c r="M471" t="s">
        <v>689</v>
      </c>
      <c r="N471">
        <v>8</v>
      </c>
      <c r="O471">
        <v>8</v>
      </c>
      <c r="P471"/>
      <c r="Q471">
        <v>134905</v>
      </c>
      <c r="R471">
        <v>1</v>
      </c>
      <c r="S471" t="s">
        <v>40</v>
      </c>
      <c r="T471">
        <v>261</v>
      </c>
      <c r="U471">
        <v>147664</v>
      </c>
      <c r="V471">
        <v>48</v>
      </c>
      <c r="W471" t="s">
        <v>40</v>
      </c>
      <c r="X471">
        <v>261</v>
      </c>
      <c r="Y471" t="s">
        <v>377</v>
      </c>
      <c r="Z471" t="s">
        <v>378</v>
      </c>
      <c r="AA471" t="s">
        <v>379</v>
      </c>
      <c r="AB471" t="s">
        <v>384</v>
      </c>
      <c r="AC471" t="s">
        <v>379</v>
      </c>
      <c r="AD471" t="s">
        <v>384</v>
      </c>
      <c r="AE471" t="s">
        <v>41</v>
      </c>
      <c r="AF471" t="s">
        <v>41</v>
      </c>
      <c r="AI471">
        <v>134905</v>
      </c>
      <c r="AJ471">
        <v>1</v>
      </c>
      <c r="AK471" t="s">
        <v>40</v>
      </c>
      <c r="AL471">
        <v>261</v>
      </c>
    </row>
    <row r="472" spans="1:38" x14ac:dyDescent="0.25">
      <c r="A472" t="s">
        <v>43</v>
      </c>
      <c r="B472">
        <v>45941.659884259258</v>
      </c>
      <c r="C472">
        <v>91909</v>
      </c>
      <c r="D472" t="s">
        <v>866</v>
      </c>
      <c r="E472">
        <v>4499373</v>
      </c>
      <c r="F472">
        <v>2104881</v>
      </c>
      <c r="G472" t="s">
        <v>600</v>
      </c>
      <c r="H472" t="s">
        <v>938</v>
      </c>
      <c r="I472">
        <v>10</v>
      </c>
      <c r="J472" t="b">
        <v>1</v>
      </c>
      <c r="K472">
        <v>2</v>
      </c>
      <c r="L472">
        <v>2106201</v>
      </c>
      <c r="M472" t="s">
        <v>602</v>
      </c>
      <c r="N472">
        <v>5</v>
      </c>
      <c r="O472">
        <v>5</v>
      </c>
      <c r="P472"/>
      <c r="Q472">
        <v>134905</v>
      </c>
      <c r="R472">
        <v>1</v>
      </c>
      <c r="S472" t="s">
        <v>40</v>
      </c>
      <c r="T472">
        <v>261</v>
      </c>
      <c r="U472">
        <v>147664</v>
      </c>
      <c r="V472">
        <v>24</v>
      </c>
      <c r="W472" t="s">
        <v>40</v>
      </c>
      <c r="X472">
        <v>261</v>
      </c>
      <c r="Y472" t="s">
        <v>377</v>
      </c>
      <c r="Z472" t="s">
        <v>378</v>
      </c>
      <c r="AA472" t="s">
        <v>379</v>
      </c>
      <c r="AB472" t="s">
        <v>559</v>
      </c>
      <c r="AC472" t="s">
        <v>41</v>
      </c>
      <c r="AD472" t="s">
        <v>41</v>
      </c>
      <c r="AE472" t="s">
        <v>41</v>
      </c>
      <c r="AF472" t="s">
        <v>41</v>
      </c>
      <c r="AK472"/>
    </row>
    <row r="473" spans="1:38" x14ac:dyDescent="0.25">
      <c r="A473" t="s">
        <v>43</v>
      </c>
      <c r="B473">
        <v>45941.662303240744</v>
      </c>
      <c r="C473">
        <v>91909</v>
      </c>
      <c r="D473" t="s">
        <v>866</v>
      </c>
      <c r="E473">
        <v>4499372</v>
      </c>
      <c r="F473">
        <v>2104881</v>
      </c>
      <c r="G473" t="s">
        <v>600</v>
      </c>
      <c r="H473" t="s">
        <v>938</v>
      </c>
      <c r="I473">
        <v>10</v>
      </c>
      <c r="J473" t="b">
        <v>1</v>
      </c>
      <c r="K473">
        <v>2.5</v>
      </c>
      <c r="L473">
        <v>2106201</v>
      </c>
      <c r="M473" t="s">
        <v>602</v>
      </c>
      <c r="N473">
        <v>4</v>
      </c>
      <c r="O473">
        <v>4</v>
      </c>
      <c r="P473"/>
      <c r="Q473">
        <v>134905</v>
      </c>
      <c r="R473">
        <v>1</v>
      </c>
      <c r="S473" t="s">
        <v>40</v>
      </c>
      <c r="T473">
        <v>261</v>
      </c>
      <c r="U473">
        <v>147664</v>
      </c>
      <c r="V473">
        <v>24</v>
      </c>
      <c r="W473" t="s">
        <v>40</v>
      </c>
      <c r="X473">
        <v>261</v>
      </c>
      <c r="Y473" t="s">
        <v>377</v>
      </c>
      <c r="Z473" t="s">
        <v>378</v>
      </c>
      <c r="AA473" t="s">
        <v>379</v>
      </c>
      <c r="AB473" t="s">
        <v>384</v>
      </c>
      <c r="AC473" t="s">
        <v>41</v>
      </c>
      <c r="AD473" t="s">
        <v>41</v>
      </c>
      <c r="AE473" t="s">
        <v>41</v>
      </c>
      <c r="AF473" t="s">
        <v>41</v>
      </c>
      <c r="AK473"/>
    </row>
    <row r="474" spans="1:38" x14ac:dyDescent="0.25">
      <c r="A474" t="s">
        <v>39</v>
      </c>
      <c r="B474">
        <v>45941.704548611109</v>
      </c>
      <c r="C474">
        <v>91706</v>
      </c>
      <c r="D474" t="s">
        <v>866</v>
      </c>
      <c r="E474">
        <v>4492515</v>
      </c>
      <c r="F474">
        <v>2304754</v>
      </c>
      <c r="G474" t="s">
        <v>381</v>
      </c>
      <c r="H474" t="s">
        <v>950</v>
      </c>
      <c r="I474">
        <v>14</v>
      </c>
      <c r="J474" t="b">
        <v>1</v>
      </c>
      <c r="K474">
        <v>1.75</v>
      </c>
      <c r="L474">
        <v>2304755</v>
      </c>
      <c r="M474" t="s">
        <v>383</v>
      </c>
      <c r="N474">
        <v>8</v>
      </c>
      <c r="O474">
        <v>8</v>
      </c>
      <c r="P474"/>
      <c r="Q474">
        <v>134906</v>
      </c>
      <c r="R474">
        <v>1</v>
      </c>
      <c r="S474" t="s">
        <v>40</v>
      </c>
      <c r="T474">
        <v>261</v>
      </c>
      <c r="U474">
        <v>147664</v>
      </c>
      <c r="V474">
        <v>48</v>
      </c>
      <c r="W474" t="s">
        <v>40</v>
      </c>
      <c r="X474">
        <v>261</v>
      </c>
      <c r="Y474" t="s">
        <v>377</v>
      </c>
      <c r="Z474" t="s">
        <v>378</v>
      </c>
      <c r="AA474" t="s">
        <v>379</v>
      </c>
      <c r="AB474" t="s">
        <v>384</v>
      </c>
      <c r="AC474" t="s">
        <v>379</v>
      </c>
      <c r="AD474" t="s">
        <v>384</v>
      </c>
      <c r="AE474" t="s">
        <v>41</v>
      </c>
      <c r="AF474" t="s">
        <v>41</v>
      </c>
      <c r="AI474">
        <v>134906</v>
      </c>
      <c r="AJ474">
        <v>1</v>
      </c>
      <c r="AK474" t="s">
        <v>40</v>
      </c>
      <c r="AL474">
        <v>261</v>
      </c>
    </row>
    <row r="475" spans="1:38" x14ac:dyDescent="0.25">
      <c r="A475" t="s">
        <v>37</v>
      </c>
      <c r="B475">
        <v>45942.11109953704</v>
      </c>
      <c r="C475">
        <v>90428</v>
      </c>
      <c r="D475" t="s">
        <v>563</v>
      </c>
      <c r="E475">
        <v>4498817</v>
      </c>
      <c r="F475">
        <v>2104855</v>
      </c>
      <c r="G475" t="s">
        <v>885</v>
      </c>
      <c r="H475" t="s">
        <v>884</v>
      </c>
      <c r="I475">
        <v>10</v>
      </c>
      <c r="J475" t="b">
        <v>1</v>
      </c>
      <c r="K475">
        <v>0.83333333333333337</v>
      </c>
      <c r="L475">
        <v>2106173</v>
      </c>
      <c r="M475" t="s">
        <v>886</v>
      </c>
      <c r="N475">
        <v>12</v>
      </c>
      <c r="O475">
        <v>12</v>
      </c>
      <c r="P475"/>
      <c r="Q475">
        <v>134905</v>
      </c>
      <c r="R475">
        <v>1</v>
      </c>
      <c r="S475" t="s">
        <v>40</v>
      </c>
      <c r="T475">
        <v>261</v>
      </c>
      <c r="U475">
        <v>147664</v>
      </c>
      <c r="V475">
        <v>48</v>
      </c>
      <c r="W475" t="s">
        <v>40</v>
      </c>
      <c r="X475">
        <v>261</v>
      </c>
      <c r="Y475" t="s">
        <v>377</v>
      </c>
      <c r="Z475" t="s">
        <v>378</v>
      </c>
      <c r="AA475" t="s">
        <v>379</v>
      </c>
      <c r="AB475" t="s">
        <v>400</v>
      </c>
      <c r="AC475" t="s">
        <v>379</v>
      </c>
      <c r="AD475" t="s">
        <v>384</v>
      </c>
      <c r="AE475" t="s">
        <v>41</v>
      </c>
      <c r="AF475" t="s">
        <v>41</v>
      </c>
      <c r="AI475">
        <v>134905</v>
      </c>
      <c r="AJ475">
        <v>1</v>
      </c>
      <c r="AK475" t="s">
        <v>40</v>
      </c>
      <c r="AL475">
        <v>261</v>
      </c>
    </row>
    <row r="476" spans="1:38" x14ac:dyDescent="0.25">
      <c r="A476" t="s">
        <v>43</v>
      </c>
      <c r="B476">
        <v>45942.359340277777</v>
      </c>
      <c r="C476">
        <v>91910</v>
      </c>
      <c r="D476" t="s">
        <v>866</v>
      </c>
      <c r="E476">
        <v>4499789</v>
      </c>
      <c r="F476">
        <v>2104880</v>
      </c>
      <c r="G476" t="s">
        <v>577</v>
      </c>
      <c r="H476" t="s">
        <v>959</v>
      </c>
      <c r="I476">
        <v>10</v>
      </c>
      <c r="J476" t="b">
        <v>1</v>
      </c>
      <c r="K476">
        <v>2</v>
      </c>
      <c r="L476">
        <v>2106200</v>
      </c>
      <c r="M476" t="s">
        <v>579</v>
      </c>
      <c r="N476">
        <v>5</v>
      </c>
      <c r="O476">
        <v>5</v>
      </c>
      <c r="P476"/>
      <c r="Q476">
        <v>134907</v>
      </c>
      <c r="R476">
        <v>1</v>
      </c>
      <c r="S476" t="s">
        <v>40</v>
      </c>
      <c r="T476">
        <v>261</v>
      </c>
      <c r="U476">
        <v>147664</v>
      </c>
      <c r="V476">
        <v>24</v>
      </c>
      <c r="W476" t="s">
        <v>40</v>
      </c>
      <c r="X476">
        <v>261</v>
      </c>
      <c r="Y476" t="s">
        <v>377</v>
      </c>
      <c r="Z476" t="s">
        <v>378</v>
      </c>
      <c r="AA476" t="s">
        <v>379</v>
      </c>
      <c r="AB476" t="s">
        <v>559</v>
      </c>
      <c r="AC476" t="s">
        <v>41</v>
      </c>
      <c r="AD476" t="s">
        <v>41</v>
      </c>
      <c r="AE476" t="s">
        <v>41</v>
      </c>
      <c r="AF476" t="s">
        <v>41</v>
      </c>
      <c r="AK476"/>
    </row>
    <row r="477" spans="1:38" x14ac:dyDescent="0.25">
      <c r="A477" t="s">
        <v>43</v>
      </c>
      <c r="B477">
        <v>45942.36173611111</v>
      </c>
      <c r="C477">
        <v>91910</v>
      </c>
      <c r="D477" t="s">
        <v>866</v>
      </c>
      <c r="E477">
        <v>4499788</v>
      </c>
      <c r="F477">
        <v>2104880</v>
      </c>
      <c r="G477" t="s">
        <v>577</v>
      </c>
      <c r="H477" t="s">
        <v>959</v>
      </c>
      <c r="I477">
        <v>10</v>
      </c>
      <c r="J477" t="b">
        <v>1</v>
      </c>
      <c r="K477">
        <v>2.5</v>
      </c>
      <c r="L477">
        <v>2106200</v>
      </c>
      <c r="M477" t="s">
        <v>579</v>
      </c>
      <c r="N477">
        <v>4</v>
      </c>
      <c r="O477">
        <v>4</v>
      </c>
      <c r="P477"/>
      <c r="Q477">
        <v>134907</v>
      </c>
      <c r="R477">
        <v>1</v>
      </c>
      <c r="S477" t="s">
        <v>40</v>
      </c>
      <c r="T477">
        <v>261</v>
      </c>
      <c r="U477">
        <v>147664</v>
      </c>
      <c r="V477">
        <v>24</v>
      </c>
      <c r="W477" t="s">
        <v>40</v>
      </c>
      <c r="X477">
        <v>261</v>
      </c>
      <c r="Y477" t="s">
        <v>377</v>
      </c>
      <c r="Z477" t="s">
        <v>378</v>
      </c>
      <c r="AA477" t="s">
        <v>379</v>
      </c>
      <c r="AB477" t="s">
        <v>384</v>
      </c>
      <c r="AC477" t="s">
        <v>41</v>
      </c>
      <c r="AD477" t="s">
        <v>41</v>
      </c>
      <c r="AE477" t="s">
        <v>41</v>
      </c>
      <c r="AF477" t="s">
        <v>41</v>
      </c>
      <c r="AK477"/>
    </row>
    <row r="478" spans="1:38" x14ac:dyDescent="0.25">
      <c r="A478" t="s">
        <v>48</v>
      </c>
      <c r="B478">
        <v>45942.407523148147</v>
      </c>
      <c r="C478">
        <v>92510</v>
      </c>
      <c r="D478" t="s">
        <v>866</v>
      </c>
      <c r="E478">
        <v>4499314</v>
      </c>
      <c r="F478">
        <v>133168</v>
      </c>
      <c r="G478" t="s">
        <v>863</v>
      </c>
      <c r="H478" t="s">
        <v>960</v>
      </c>
      <c r="I478">
        <v>64.3</v>
      </c>
      <c r="J478" t="b">
        <v>1</v>
      </c>
      <c r="K478">
        <v>0.75647058823529412</v>
      </c>
      <c r="L478">
        <v>144374</v>
      </c>
      <c r="M478" t="s">
        <v>865</v>
      </c>
      <c r="N478">
        <v>85</v>
      </c>
      <c r="O478">
        <v>85</v>
      </c>
      <c r="P478"/>
      <c r="Q478">
        <v>134908</v>
      </c>
      <c r="R478">
        <v>1</v>
      </c>
      <c r="S478" t="s">
        <v>40</v>
      </c>
      <c r="T478">
        <v>261</v>
      </c>
      <c r="U478">
        <v>147664</v>
      </c>
      <c r="V478">
        <v>24</v>
      </c>
      <c r="W478" t="s">
        <v>40</v>
      </c>
      <c r="X478">
        <v>261</v>
      </c>
      <c r="Y478" t="s">
        <v>377</v>
      </c>
      <c r="Z478" t="s">
        <v>378</v>
      </c>
      <c r="AA478" t="s">
        <v>379</v>
      </c>
      <c r="AB478" t="s">
        <v>841</v>
      </c>
      <c r="AC478" t="s">
        <v>41</v>
      </c>
      <c r="AD478" t="s">
        <v>41</v>
      </c>
      <c r="AE478" t="s">
        <v>41</v>
      </c>
      <c r="AF478" t="s">
        <v>41</v>
      </c>
      <c r="AK478"/>
    </row>
    <row r="479" spans="1:38" x14ac:dyDescent="0.25">
      <c r="A479" t="s">
        <v>39</v>
      </c>
      <c r="B479">
        <v>45942.554328703707</v>
      </c>
      <c r="C479">
        <v>92411</v>
      </c>
      <c r="D479" t="s">
        <v>866</v>
      </c>
      <c r="E479">
        <v>4495441</v>
      </c>
      <c r="F479">
        <v>2116517</v>
      </c>
      <c r="G479" t="s">
        <v>659</v>
      </c>
      <c r="H479" t="s">
        <v>926</v>
      </c>
      <c r="I479">
        <v>1.5</v>
      </c>
      <c r="J479" t="b">
        <v>1</v>
      </c>
      <c r="K479">
        <v>3.7974683544303796E-3</v>
      </c>
      <c r="L479">
        <v>2117670</v>
      </c>
      <c r="M479" t="s">
        <v>660</v>
      </c>
      <c r="N479">
        <v>395</v>
      </c>
      <c r="O479">
        <v>395</v>
      </c>
      <c r="P479"/>
      <c r="Q479">
        <v>134975</v>
      </c>
      <c r="R479">
        <v>1</v>
      </c>
      <c r="S479" t="s">
        <v>40</v>
      </c>
      <c r="T479">
        <v>261</v>
      </c>
      <c r="V479">
        <v>0</v>
      </c>
      <c r="W479"/>
      <c r="Y479" t="s">
        <v>377</v>
      </c>
      <c r="Z479" t="s">
        <v>378</v>
      </c>
      <c r="AA479" t="s">
        <v>379</v>
      </c>
      <c r="AB479" t="s">
        <v>956</v>
      </c>
      <c r="AC479" t="s">
        <v>379</v>
      </c>
      <c r="AD479" t="s">
        <v>647</v>
      </c>
      <c r="AE479" t="s">
        <v>41</v>
      </c>
      <c r="AF479" t="s">
        <v>41</v>
      </c>
      <c r="AI479">
        <v>134975</v>
      </c>
      <c r="AJ479">
        <v>1</v>
      </c>
      <c r="AK479" t="s">
        <v>40</v>
      </c>
      <c r="AL479">
        <v>261</v>
      </c>
    </row>
    <row r="480" spans="1:38" x14ac:dyDescent="0.25">
      <c r="A480" t="s">
        <v>37</v>
      </c>
      <c r="B480">
        <v>45942.640011574076</v>
      </c>
      <c r="C480">
        <v>90430</v>
      </c>
      <c r="D480" t="s">
        <v>866</v>
      </c>
      <c r="E480">
        <v>4498818</v>
      </c>
      <c r="F480">
        <v>2104855</v>
      </c>
      <c r="G480" t="s">
        <v>885</v>
      </c>
      <c r="H480" t="s">
        <v>736</v>
      </c>
      <c r="I480">
        <v>10</v>
      </c>
      <c r="J480" t="b">
        <v>1</v>
      </c>
      <c r="K480">
        <v>0.83333333333333337</v>
      </c>
      <c r="L480">
        <v>2106173</v>
      </c>
      <c r="M480" t="s">
        <v>886</v>
      </c>
      <c r="N480">
        <v>12</v>
      </c>
      <c r="O480">
        <v>12</v>
      </c>
      <c r="P480"/>
      <c r="Q480">
        <v>134907</v>
      </c>
      <c r="R480">
        <v>1</v>
      </c>
      <c r="S480" t="s">
        <v>40</v>
      </c>
      <c r="T480">
        <v>261</v>
      </c>
      <c r="U480">
        <v>147664</v>
      </c>
      <c r="V480">
        <v>48</v>
      </c>
      <c r="W480" t="s">
        <v>40</v>
      </c>
      <c r="X480">
        <v>261</v>
      </c>
      <c r="Y480" t="s">
        <v>377</v>
      </c>
      <c r="Z480" t="s">
        <v>378</v>
      </c>
      <c r="AA480" t="s">
        <v>379</v>
      </c>
      <c r="AB480" t="s">
        <v>400</v>
      </c>
      <c r="AC480" t="s">
        <v>379</v>
      </c>
      <c r="AD480" t="s">
        <v>384</v>
      </c>
      <c r="AE480" t="s">
        <v>41</v>
      </c>
      <c r="AF480" t="s">
        <v>41</v>
      </c>
      <c r="AI480">
        <v>134907</v>
      </c>
      <c r="AJ480">
        <v>1</v>
      </c>
      <c r="AK480" t="s">
        <v>40</v>
      </c>
      <c r="AL480">
        <v>261</v>
      </c>
    </row>
    <row r="481" spans="1:38" x14ac:dyDescent="0.25">
      <c r="A481" t="s">
        <v>44</v>
      </c>
      <c r="B481">
        <v>45942.952048611114</v>
      </c>
      <c r="C481">
        <v>91707</v>
      </c>
      <c r="D481" t="s">
        <v>843</v>
      </c>
      <c r="E481">
        <v>4492516</v>
      </c>
      <c r="F481">
        <v>2304754</v>
      </c>
      <c r="G481" t="s">
        <v>381</v>
      </c>
      <c r="H481" t="s">
        <v>954</v>
      </c>
      <c r="I481">
        <v>14</v>
      </c>
      <c r="J481" t="b">
        <v>1</v>
      </c>
      <c r="K481">
        <v>1.75</v>
      </c>
      <c r="L481">
        <v>2304755</v>
      </c>
      <c r="M481" t="s">
        <v>383</v>
      </c>
      <c r="N481">
        <v>8</v>
      </c>
      <c r="O481">
        <v>8</v>
      </c>
      <c r="P481"/>
      <c r="Q481">
        <v>134906</v>
      </c>
      <c r="R481">
        <v>2</v>
      </c>
      <c r="S481" t="s">
        <v>40</v>
      </c>
      <c r="T481">
        <v>261</v>
      </c>
      <c r="U481">
        <v>147664</v>
      </c>
      <c r="V481">
        <v>48</v>
      </c>
      <c r="W481" t="s">
        <v>40</v>
      </c>
      <c r="X481">
        <v>261</v>
      </c>
      <c r="Y481" t="s">
        <v>377</v>
      </c>
      <c r="Z481" t="s">
        <v>378</v>
      </c>
      <c r="AA481" t="s">
        <v>384</v>
      </c>
      <c r="AB481" t="s">
        <v>384</v>
      </c>
      <c r="AC481" t="s">
        <v>41</v>
      </c>
      <c r="AD481" t="s">
        <v>41</v>
      </c>
      <c r="AE481" t="s">
        <v>41</v>
      </c>
      <c r="AF481" t="s">
        <v>41</v>
      </c>
      <c r="AK481"/>
    </row>
    <row r="482" spans="1:38" x14ac:dyDescent="0.25">
      <c r="A482" t="s">
        <v>42</v>
      </c>
      <c r="B482">
        <v>45943.006724537037</v>
      </c>
      <c r="C482">
        <v>92318</v>
      </c>
      <c r="D482" t="s">
        <v>843</v>
      </c>
      <c r="E482">
        <v>4492652</v>
      </c>
      <c r="F482">
        <v>113677</v>
      </c>
      <c r="G482" t="s">
        <v>687</v>
      </c>
      <c r="H482" t="s">
        <v>961</v>
      </c>
      <c r="I482">
        <v>12</v>
      </c>
      <c r="J482" t="b">
        <v>1</v>
      </c>
      <c r="K482">
        <v>1.5</v>
      </c>
      <c r="L482">
        <v>113679</v>
      </c>
      <c r="M482" t="s">
        <v>689</v>
      </c>
      <c r="N482">
        <v>8</v>
      </c>
      <c r="O482">
        <v>8</v>
      </c>
      <c r="P482"/>
      <c r="Q482">
        <v>134905</v>
      </c>
      <c r="R482">
        <v>1</v>
      </c>
      <c r="S482" t="s">
        <v>40</v>
      </c>
      <c r="T482">
        <v>261</v>
      </c>
      <c r="U482">
        <v>147664</v>
      </c>
      <c r="V482">
        <v>48</v>
      </c>
      <c r="W482" t="s">
        <v>40</v>
      </c>
      <c r="X482">
        <v>261</v>
      </c>
      <c r="Y482" t="s">
        <v>377</v>
      </c>
      <c r="Z482" t="s">
        <v>378</v>
      </c>
      <c r="AA482" t="s">
        <v>384</v>
      </c>
      <c r="AB482" t="s">
        <v>384</v>
      </c>
      <c r="AC482" t="s">
        <v>41</v>
      </c>
      <c r="AD482" t="s">
        <v>41</v>
      </c>
      <c r="AE482" t="s">
        <v>41</v>
      </c>
      <c r="AF482" t="s">
        <v>41</v>
      </c>
      <c r="AI482">
        <v>155687</v>
      </c>
      <c r="AJ482">
        <v>1</v>
      </c>
      <c r="AK482" t="s">
        <v>40</v>
      </c>
      <c r="AL482">
        <v>261</v>
      </c>
    </row>
    <row r="483" spans="1:38" x14ac:dyDescent="0.25">
      <c r="A483" t="s">
        <v>39</v>
      </c>
      <c r="B483">
        <v>45943.057986111111</v>
      </c>
      <c r="C483">
        <v>91911</v>
      </c>
      <c r="D483" t="s">
        <v>843</v>
      </c>
      <c r="E483">
        <v>4499790</v>
      </c>
      <c r="F483">
        <v>2104880</v>
      </c>
      <c r="G483" t="s">
        <v>577</v>
      </c>
      <c r="H483" t="s">
        <v>962</v>
      </c>
      <c r="I483">
        <v>12</v>
      </c>
      <c r="J483" t="b">
        <v>1</v>
      </c>
      <c r="K483">
        <v>3</v>
      </c>
      <c r="L483">
        <v>2106200</v>
      </c>
      <c r="M483" t="s">
        <v>579</v>
      </c>
      <c r="N483">
        <v>4</v>
      </c>
      <c r="O483">
        <v>4</v>
      </c>
      <c r="P483"/>
      <c r="Q483">
        <v>134971</v>
      </c>
      <c r="R483">
        <v>2</v>
      </c>
      <c r="S483" t="s">
        <v>40</v>
      </c>
      <c r="T483">
        <v>261</v>
      </c>
      <c r="U483">
        <v>147664</v>
      </c>
      <c r="V483">
        <v>48</v>
      </c>
      <c r="W483" t="s">
        <v>40</v>
      </c>
      <c r="X483">
        <v>261</v>
      </c>
      <c r="Y483" t="s">
        <v>377</v>
      </c>
      <c r="Z483" t="s">
        <v>378</v>
      </c>
      <c r="AA483" t="s">
        <v>379</v>
      </c>
      <c r="AB483" t="s">
        <v>384</v>
      </c>
      <c r="AC483" t="s">
        <v>41</v>
      </c>
      <c r="AD483" t="s">
        <v>41</v>
      </c>
      <c r="AE483" t="s">
        <v>41</v>
      </c>
      <c r="AF483" t="s">
        <v>41</v>
      </c>
      <c r="AK483"/>
    </row>
    <row r="484" spans="1:38" x14ac:dyDescent="0.25">
      <c r="A484" t="s">
        <v>39</v>
      </c>
      <c r="B484">
        <v>45943.059675925928</v>
      </c>
      <c r="C484">
        <v>91911</v>
      </c>
      <c r="D484" t="s">
        <v>843</v>
      </c>
      <c r="E484">
        <v>4499791</v>
      </c>
      <c r="F484">
        <v>2104880</v>
      </c>
      <c r="G484" t="s">
        <v>577</v>
      </c>
      <c r="H484" t="s">
        <v>962</v>
      </c>
      <c r="I484">
        <v>12</v>
      </c>
      <c r="J484" t="b">
        <v>1</v>
      </c>
      <c r="K484">
        <v>2.4</v>
      </c>
      <c r="L484">
        <v>2106200</v>
      </c>
      <c r="M484" t="s">
        <v>579</v>
      </c>
      <c r="N484">
        <v>5</v>
      </c>
      <c r="O484">
        <v>5</v>
      </c>
      <c r="P484"/>
      <c r="Q484">
        <v>0</v>
      </c>
      <c r="R484">
        <v>0</v>
      </c>
      <c r="S484" t="s">
        <v>40</v>
      </c>
      <c r="T484">
        <v>261</v>
      </c>
      <c r="W484"/>
      <c r="Y484" t="s">
        <v>377</v>
      </c>
      <c r="Z484" t="s">
        <v>378</v>
      </c>
      <c r="AA484" t="s">
        <v>379</v>
      </c>
      <c r="AB484" t="s">
        <v>559</v>
      </c>
      <c r="AC484" t="s">
        <v>41</v>
      </c>
      <c r="AD484" t="s">
        <v>41</v>
      </c>
      <c r="AE484" t="s">
        <v>41</v>
      </c>
      <c r="AF484" t="s">
        <v>41</v>
      </c>
      <c r="AK484"/>
    </row>
    <row r="485" spans="1:38" x14ac:dyDescent="0.25">
      <c r="A485" t="s">
        <v>43</v>
      </c>
      <c r="B485">
        <v>45943.181192129632</v>
      </c>
      <c r="C485">
        <v>90431</v>
      </c>
      <c r="D485" t="s">
        <v>843</v>
      </c>
      <c r="E485">
        <v>4498818</v>
      </c>
      <c r="F485">
        <v>2104855</v>
      </c>
      <c r="G485" t="s">
        <v>885</v>
      </c>
      <c r="H485" t="s">
        <v>736</v>
      </c>
      <c r="I485">
        <v>10</v>
      </c>
      <c r="J485" t="b">
        <v>1</v>
      </c>
      <c r="K485">
        <v>1.25</v>
      </c>
      <c r="L485">
        <v>2106173</v>
      </c>
      <c r="M485" t="s">
        <v>886</v>
      </c>
      <c r="N485">
        <v>8</v>
      </c>
      <c r="O485">
        <v>8</v>
      </c>
      <c r="P485"/>
      <c r="Q485">
        <v>134906</v>
      </c>
      <c r="R485">
        <v>1</v>
      </c>
      <c r="S485" t="s">
        <v>40</v>
      </c>
      <c r="T485">
        <v>261</v>
      </c>
      <c r="U485">
        <v>147664</v>
      </c>
      <c r="V485">
        <v>24</v>
      </c>
      <c r="W485" t="s">
        <v>40</v>
      </c>
      <c r="X485">
        <v>261</v>
      </c>
      <c r="Y485" t="s">
        <v>377</v>
      </c>
      <c r="Z485" t="s">
        <v>378</v>
      </c>
      <c r="AA485" t="s">
        <v>379</v>
      </c>
      <c r="AB485" t="s">
        <v>400</v>
      </c>
      <c r="AC485" t="s">
        <v>41</v>
      </c>
      <c r="AD485" t="s">
        <v>41</v>
      </c>
      <c r="AE485" t="s">
        <v>41</v>
      </c>
      <c r="AF485" t="s">
        <v>41</v>
      </c>
      <c r="AK485"/>
    </row>
    <row r="486" spans="1:38" x14ac:dyDescent="0.25">
      <c r="A486" t="s">
        <v>45</v>
      </c>
      <c r="B486">
        <v>45943.347314814811</v>
      </c>
      <c r="C486">
        <v>92511</v>
      </c>
      <c r="D486" t="s">
        <v>866</v>
      </c>
      <c r="E486">
        <v>4499988</v>
      </c>
      <c r="F486">
        <v>133168</v>
      </c>
      <c r="G486" t="s">
        <v>863</v>
      </c>
      <c r="H486" t="s">
        <v>963</v>
      </c>
      <c r="I486">
        <v>64.3</v>
      </c>
      <c r="J486" t="b">
        <v>1</v>
      </c>
      <c r="K486">
        <v>0.75647058823529412</v>
      </c>
      <c r="L486">
        <v>144374</v>
      </c>
      <c r="M486" t="s">
        <v>865</v>
      </c>
      <c r="N486">
        <v>85</v>
      </c>
      <c r="O486">
        <v>85</v>
      </c>
      <c r="P486"/>
      <c r="Q486">
        <v>134908</v>
      </c>
      <c r="R486">
        <v>1</v>
      </c>
      <c r="S486" t="s">
        <v>40</v>
      </c>
      <c r="T486">
        <v>261</v>
      </c>
      <c r="U486">
        <v>147664</v>
      </c>
      <c r="V486">
        <v>24</v>
      </c>
      <c r="W486" t="s">
        <v>40</v>
      </c>
      <c r="X486">
        <v>261</v>
      </c>
      <c r="Y486" t="s">
        <v>377</v>
      </c>
      <c r="Z486" t="s">
        <v>378</v>
      </c>
      <c r="AA486" t="s">
        <v>379</v>
      </c>
      <c r="AB486" t="s">
        <v>841</v>
      </c>
      <c r="AC486" t="s">
        <v>41</v>
      </c>
      <c r="AD486" t="s">
        <v>41</v>
      </c>
      <c r="AE486" t="s">
        <v>41</v>
      </c>
      <c r="AF486" t="s">
        <v>41</v>
      </c>
      <c r="AK486"/>
    </row>
    <row r="487" spans="1:38" x14ac:dyDescent="0.25">
      <c r="A487" t="s">
        <v>37</v>
      </c>
      <c r="B487">
        <v>45943.381469907406</v>
      </c>
      <c r="C487">
        <v>90261</v>
      </c>
      <c r="D487" t="s">
        <v>866</v>
      </c>
      <c r="E487">
        <v>4498209</v>
      </c>
      <c r="F487">
        <v>2310488</v>
      </c>
      <c r="G487" t="s">
        <v>964</v>
      </c>
      <c r="H487" t="s">
        <v>582</v>
      </c>
      <c r="I487">
        <v>7.5</v>
      </c>
      <c r="J487" t="b">
        <v>1</v>
      </c>
      <c r="K487">
        <v>0.18292682926829268</v>
      </c>
      <c r="L487">
        <v>2310489</v>
      </c>
      <c r="M487" t="s">
        <v>965</v>
      </c>
      <c r="N487">
        <v>41</v>
      </c>
      <c r="O487">
        <v>41</v>
      </c>
      <c r="P487"/>
      <c r="Q487">
        <v>134976</v>
      </c>
      <c r="R487">
        <v>1</v>
      </c>
      <c r="S487" t="s">
        <v>40</v>
      </c>
      <c r="T487">
        <v>261</v>
      </c>
      <c r="W487"/>
      <c r="Y487" t="s">
        <v>551</v>
      </c>
      <c r="Z487" t="s">
        <v>378</v>
      </c>
      <c r="AA487" t="s">
        <v>379</v>
      </c>
      <c r="AB487" t="s">
        <v>916</v>
      </c>
      <c r="AC487" t="s">
        <v>41</v>
      </c>
      <c r="AD487" t="s">
        <v>41</v>
      </c>
      <c r="AE487" t="s">
        <v>41</v>
      </c>
      <c r="AF487" t="s">
        <v>41</v>
      </c>
      <c r="AK487"/>
    </row>
    <row r="488" spans="1:38" x14ac:dyDescent="0.25">
      <c r="A488" t="s">
        <v>37</v>
      </c>
      <c r="B488">
        <v>45943.485983796294</v>
      </c>
      <c r="C488">
        <v>92414</v>
      </c>
      <c r="D488" t="s">
        <v>866</v>
      </c>
      <c r="E488">
        <v>4496417</v>
      </c>
      <c r="F488">
        <v>2302087</v>
      </c>
      <c r="G488" t="s">
        <v>966</v>
      </c>
      <c r="H488" t="s">
        <v>930</v>
      </c>
      <c r="I488">
        <v>10</v>
      </c>
      <c r="J488" t="b">
        <v>1</v>
      </c>
      <c r="K488">
        <v>3.90625E-2</v>
      </c>
      <c r="L488">
        <v>2302088</v>
      </c>
      <c r="M488" t="s">
        <v>967</v>
      </c>
      <c r="N488">
        <v>256</v>
      </c>
      <c r="O488">
        <v>256</v>
      </c>
      <c r="P488"/>
      <c r="Q488">
        <v>134976</v>
      </c>
      <c r="R488">
        <v>1</v>
      </c>
      <c r="S488" t="s">
        <v>40</v>
      </c>
      <c r="T488">
        <v>261</v>
      </c>
      <c r="V488">
        <v>0</v>
      </c>
      <c r="W488"/>
      <c r="Y488" t="s">
        <v>377</v>
      </c>
      <c r="Z488" t="s">
        <v>378</v>
      </c>
      <c r="AA488" t="s">
        <v>379</v>
      </c>
      <c r="AB488" t="s">
        <v>968</v>
      </c>
      <c r="AC488" t="s">
        <v>379</v>
      </c>
      <c r="AD488" t="s">
        <v>543</v>
      </c>
      <c r="AE488" t="s">
        <v>41</v>
      </c>
      <c r="AF488" t="s">
        <v>41</v>
      </c>
      <c r="AI488">
        <v>134976</v>
      </c>
      <c r="AJ488">
        <v>1</v>
      </c>
      <c r="AK488" t="s">
        <v>40</v>
      </c>
      <c r="AL488">
        <v>261</v>
      </c>
    </row>
    <row r="489" spans="1:38" x14ac:dyDescent="0.25">
      <c r="A489" t="s">
        <v>45</v>
      </c>
      <c r="B489">
        <v>45943.521122685182</v>
      </c>
      <c r="C489">
        <v>90261</v>
      </c>
      <c r="D489" t="s">
        <v>457</v>
      </c>
      <c r="E489">
        <v>4498209</v>
      </c>
      <c r="F489">
        <v>2310488</v>
      </c>
      <c r="G489" t="s">
        <v>964</v>
      </c>
      <c r="H489" t="s">
        <v>582</v>
      </c>
      <c r="I489">
        <v>7.5</v>
      </c>
      <c r="J489" t="b">
        <v>1</v>
      </c>
      <c r="K489">
        <v>0.18292682926829268</v>
      </c>
      <c r="L489">
        <v>2310489</v>
      </c>
      <c r="M489" t="s">
        <v>965</v>
      </c>
      <c r="N489">
        <v>41</v>
      </c>
      <c r="O489">
        <v>41</v>
      </c>
      <c r="P489" t="s">
        <v>969</v>
      </c>
      <c r="Q489">
        <v>134978</v>
      </c>
      <c r="R489">
        <v>1</v>
      </c>
      <c r="S489" t="s">
        <v>40</v>
      </c>
      <c r="T489">
        <v>261</v>
      </c>
      <c r="W489"/>
      <c r="Y489" t="s">
        <v>551</v>
      </c>
      <c r="Z489" t="s">
        <v>378</v>
      </c>
      <c r="AA489" t="s">
        <v>379</v>
      </c>
      <c r="AB489" t="s">
        <v>916</v>
      </c>
      <c r="AC489" t="s">
        <v>41</v>
      </c>
      <c r="AD489" t="s">
        <v>41</v>
      </c>
      <c r="AE489" t="s">
        <v>41</v>
      </c>
      <c r="AF489" t="s">
        <v>41</v>
      </c>
      <c r="AK489"/>
    </row>
    <row r="490" spans="1:38" x14ac:dyDescent="0.25">
      <c r="A490" t="s">
        <v>48</v>
      </c>
      <c r="B490">
        <v>45943.59915509259</v>
      </c>
      <c r="C490">
        <v>91721</v>
      </c>
      <c r="D490" t="s">
        <v>866</v>
      </c>
      <c r="E490">
        <v>4494855</v>
      </c>
      <c r="F490">
        <v>2304754</v>
      </c>
      <c r="G490" t="s">
        <v>381</v>
      </c>
      <c r="H490" t="s">
        <v>955</v>
      </c>
      <c r="I490">
        <v>14</v>
      </c>
      <c r="J490" t="b">
        <v>1</v>
      </c>
      <c r="K490">
        <v>1.75</v>
      </c>
      <c r="L490">
        <v>2304989</v>
      </c>
      <c r="M490" t="s">
        <v>888</v>
      </c>
      <c r="N490">
        <v>8</v>
      </c>
      <c r="O490">
        <v>8</v>
      </c>
      <c r="P490"/>
      <c r="Q490">
        <v>134905</v>
      </c>
      <c r="R490">
        <v>1</v>
      </c>
      <c r="S490" t="s">
        <v>40</v>
      </c>
      <c r="T490">
        <v>261</v>
      </c>
      <c r="U490">
        <v>147664</v>
      </c>
      <c r="V490">
        <v>48</v>
      </c>
      <c r="W490" t="s">
        <v>40</v>
      </c>
      <c r="X490">
        <v>261</v>
      </c>
      <c r="Y490" t="s">
        <v>377</v>
      </c>
      <c r="Z490" t="s">
        <v>378</v>
      </c>
      <c r="AA490" t="s">
        <v>379</v>
      </c>
      <c r="AB490" t="s">
        <v>384</v>
      </c>
      <c r="AC490" t="s">
        <v>379</v>
      </c>
      <c r="AD490" t="s">
        <v>384</v>
      </c>
      <c r="AE490" t="s">
        <v>41</v>
      </c>
      <c r="AF490" t="s">
        <v>41</v>
      </c>
      <c r="AI490">
        <v>134905</v>
      </c>
      <c r="AJ490">
        <v>1</v>
      </c>
      <c r="AK490" t="s">
        <v>40</v>
      </c>
      <c r="AL490">
        <v>261</v>
      </c>
    </row>
    <row r="491" spans="1:38" x14ac:dyDescent="0.25">
      <c r="A491" t="s">
        <v>45</v>
      </c>
      <c r="B491">
        <v>45944.015717592592</v>
      </c>
      <c r="C491">
        <v>92416</v>
      </c>
      <c r="D491" t="s">
        <v>494</v>
      </c>
      <c r="E491">
        <v>4494015</v>
      </c>
      <c r="F491">
        <v>2105702</v>
      </c>
      <c r="G491" t="s">
        <v>970</v>
      </c>
      <c r="H491" t="s">
        <v>930</v>
      </c>
      <c r="I491">
        <v>1.5</v>
      </c>
      <c r="J491" t="b">
        <v>1</v>
      </c>
      <c r="K491">
        <v>4.6875E-2</v>
      </c>
      <c r="L491">
        <v>2106961</v>
      </c>
      <c r="M491" t="s">
        <v>971</v>
      </c>
      <c r="N491">
        <v>32</v>
      </c>
      <c r="O491">
        <v>32</v>
      </c>
      <c r="P491"/>
      <c r="Q491">
        <v>134976</v>
      </c>
      <c r="R491">
        <v>1</v>
      </c>
      <c r="S491" t="s">
        <v>40</v>
      </c>
      <c r="T491">
        <v>261</v>
      </c>
      <c r="W491"/>
      <c r="Y491" t="s">
        <v>377</v>
      </c>
      <c r="Z491" t="s">
        <v>378</v>
      </c>
      <c r="AA491" t="s">
        <v>379</v>
      </c>
      <c r="AB491" t="s">
        <v>972</v>
      </c>
      <c r="AC491" t="s">
        <v>41</v>
      </c>
      <c r="AD491" t="s">
        <v>41</v>
      </c>
      <c r="AE491" t="s">
        <v>41</v>
      </c>
      <c r="AF491" t="s">
        <v>41</v>
      </c>
      <c r="AK491"/>
    </row>
    <row r="492" spans="1:38" x14ac:dyDescent="0.25">
      <c r="A492" t="s">
        <v>44</v>
      </c>
      <c r="B492">
        <v>45944.167245370372</v>
      </c>
      <c r="C492">
        <v>91149</v>
      </c>
      <c r="D492" t="s">
        <v>494</v>
      </c>
      <c r="E492">
        <v>4492653</v>
      </c>
      <c r="F492">
        <v>113677</v>
      </c>
      <c r="G492" t="s">
        <v>687</v>
      </c>
      <c r="H492" t="s">
        <v>973</v>
      </c>
      <c r="I492">
        <v>14</v>
      </c>
      <c r="J492" t="b">
        <v>1</v>
      </c>
      <c r="K492">
        <v>1.75</v>
      </c>
      <c r="L492">
        <v>113679</v>
      </c>
      <c r="M492" t="s">
        <v>689</v>
      </c>
      <c r="N492">
        <v>8</v>
      </c>
      <c r="O492">
        <v>8</v>
      </c>
      <c r="P492"/>
      <c r="Q492">
        <v>134905</v>
      </c>
      <c r="R492">
        <v>1</v>
      </c>
      <c r="S492" t="s">
        <v>40</v>
      </c>
      <c r="T492">
        <v>261</v>
      </c>
      <c r="U492">
        <v>147664</v>
      </c>
      <c r="V492">
        <v>24</v>
      </c>
      <c r="W492" t="s">
        <v>40</v>
      </c>
      <c r="X492">
        <v>261</v>
      </c>
      <c r="Y492" t="s">
        <v>377</v>
      </c>
      <c r="Z492" t="s">
        <v>378</v>
      </c>
      <c r="AA492" t="s">
        <v>384</v>
      </c>
      <c r="AB492" t="s">
        <v>384</v>
      </c>
      <c r="AC492" t="s">
        <v>41</v>
      </c>
      <c r="AD492" t="s">
        <v>41</v>
      </c>
      <c r="AE492" t="s">
        <v>41</v>
      </c>
      <c r="AF492" t="s">
        <v>41</v>
      </c>
      <c r="AK492"/>
    </row>
    <row r="493" spans="1:38" x14ac:dyDescent="0.25">
      <c r="A493" t="s">
        <v>37</v>
      </c>
      <c r="B493">
        <v>45944.168599537035</v>
      </c>
      <c r="C493">
        <v>90432</v>
      </c>
      <c r="D493" t="s">
        <v>494</v>
      </c>
      <c r="E493">
        <v>4496389</v>
      </c>
      <c r="F493">
        <v>105457</v>
      </c>
      <c r="G493" t="s">
        <v>974</v>
      </c>
      <c r="H493" t="s">
        <v>582</v>
      </c>
      <c r="I493">
        <v>10</v>
      </c>
      <c r="J493" t="b">
        <v>1</v>
      </c>
      <c r="K493">
        <v>0.83333333333333337</v>
      </c>
      <c r="L493">
        <v>2106231</v>
      </c>
      <c r="M493" t="s">
        <v>975</v>
      </c>
      <c r="N493">
        <v>12</v>
      </c>
      <c r="O493">
        <v>12</v>
      </c>
      <c r="P493"/>
      <c r="Q493">
        <v>134905</v>
      </c>
      <c r="R493">
        <v>2</v>
      </c>
      <c r="S493" t="s">
        <v>40</v>
      </c>
      <c r="T493">
        <v>261</v>
      </c>
      <c r="U493">
        <v>147664</v>
      </c>
      <c r="V493">
        <v>48</v>
      </c>
      <c r="W493" t="s">
        <v>40</v>
      </c>
      <c r="X493">
        <v>261</v>
      </c>
      <c r="Y493" t="s">
        <v>377</v>
      </c>
      <c r="Z493" t="s">
        <v>378</v>
      </c>
      <c r="AA493" t="s">
        <v>379</v>
      </c>
      <c r="AB493" t="s">
        <v>400</v>
      </c>
      <c r="AC493" t="s">
        <v>379</v>
      </c>
      <c r="AD493" t="s">
        <v>384</v>
      </c>
      <c r="AE493" t="s">
        <v>41</v>
      </c>
      <c r="AF493" t="s">
        <v>41</v>
      </c>
      <c r="AK493"/>
    </row>
    <row r="494" spans="1:38" x14ac:dyDescent="0.25">
      <c r="A494" t="s">
        <v>42</v>
      </c>
      <c r="B494">
        <v>45944.521273148152</v>
      </c>
      <c r="C494">
        <v>91912</v>
      </c>
      <c r="D494" t="s">
        <v>866</v>
      </c>
      <c r="E494">
        <v>4499793</v>
      </c>
      <c r="F494">
        <v>2104880</v>
      </c>
      <c r="G494" t="s">
        <v>577</v>
      </c>
      <c r="H494" t="s">
        <v>976</v>
      </c>
      <c r="I494">
        <v>10</v>
      </c>
      <c r="J494" t="b">
        <v>1</v>
      </c>
      <c r="K494">
        <v>2</v>
      </c>
      <c r="L494">
        <v>2106200</v>
      </c>
      <c r="M494" t="s">
        <v>579</v>
      </c>
      <c r="N494">
        <v>5</v>
      </c>
      <c r="O494">
        <v>5</v>
      </c>
      <c r="P494"/>
      <c r="Q494">
        <v>134907</v>
      </c>
      <c r="R494">
        <v>1</v>
      </c>
      <c r="S494" t="s">
        <v>40</v>
      </c>
      <c r="T494">
        <v>261</v>
      </c>
      <c r="U494">
        <v>147664</v>
      </c>
      <c r="V494">
        <v>24</v>
      </c>
      <c r="W494" t="s">
        <v>40</v>
      </c>
      <c r="X494">
        <v>261</v>
      </c>
      <c r="Y494" t="s">
        <v>377</v>
      </c>
      <c r="Z494" t="s">
        <v>378</v>
      </c>
      <c r="AA494" t="s">
        <v>379</v>
      </c>
      <c r="AB494" t="s">
        <v>559</v>
      </c>
      <c r="AC494" t="s">
        <v>41</v>
      </c>
      <c r="AD494" t="s">
        <v>41</v>
      </c>
      <c r="AE494" t="s">
        <v>41</v>
      </c>
      <c r="AF494" t="s">
        <v>41</v>
      </c>
      <c r="AK494"/>
    </row>
    <row r="495" spans="1:38" x14ac:dyDescent="0.25">
      <c r="A495" t="s">
        <v>42</v>
      </c>
      <c r="B495">
        <v>45944.522592592592</v>
      </c>
      <c r="C495">
        <v>91912</v>
      </c>
      <c r="D495" t="s">
        <v>866</v>
      </c>
      <c r="E495">
        <v>4499792</v>
      </c>
      <c r="F495">
        <v>2104880</v>
      </c>
      <c r="G495" t="s">
        <v>577</v>
      </c>
      <c r="H495" t="s">
        <v>976</v>
      </c>
      <c r="I495">
        <v>10</v>
      </c>
      <c r="J495" t="b">
        <v>1</v>
      </c>
      <c r="K495">
        <v>2.5</v>
      </c>
      <c r="L495">
        <v>2106200</v>
      </c>
      <c r="M495" t="s">
        <v>579</v>
      </c>
      <c r="N495">
        <v>4</v>
      </c>
      <c r="O495">
        <v>4</v>
      </c>
      <c r="P495"/>
      <c r="Q495">
        <v>134907</v>
      </c>
      <c r="R495">
        <v>1</v>
      </c>
      <c r="S495" t="s">
        <v>40</v>
      </c>
      <c r="T495">
        <v>261</v>
      </c>
      <c r="U495">
        <v>147664</v>
      </c>
      <c r="V495">
        <v>24</v>
      </c>
      <c r="W495" t="s">
        <v>40</v>
      </c>
      <c r="X495">
        <v>261</v>
      </c>
      <c r="Y495" t="s">
        <v>377</v>
      </c>
      <c r="Z495" t="s">
        <v>378</v>
      </c>
      <c r="AA495" t="s">
        <v>379</v>
      </c>
      <c r="AB495" t="s">
        <v>384</v>
      </c>
      <c r="AC495" t="s">
        <v>41</v>
      </c>
      <c r="AD495" t="s">
        <v>41</v>
      </c>
      <c r="AE495" t="s">
        <v>41</v>
      </c>
      <c r="AF495" t="s">
        <v>41</v>
      </c>
      <c r="AK495"/>
    </row>
    <row r="496" spans="1:38" x14ac:dyDescent="0.25">
      <c r="A496" t="s">
        <v>38</v>
      </c>
      <c r="B496">
        <v>45944.525277777779</v>
      </c>
      <c r="C496">
        <v>92412</v>
      </c>
      <c r="D496" t="s">
        <v>866</v>
      </c>
      <c r="E496">
        <v>4489737</v>
      </c>
      <c r="F496">
        <v>2309881</v>
      </c>
      <c r="G496" t="s">
        <v>977</v>
      </c>
      <c r="H496" t="s">
        <v>930</v>
      </c>
      <c r="I496">
        <v>20</v>
      </c>
      <c r="J496" t="b">
        <v>1</v>
      </c>
      <c r="K496">
        <v>7.4626865671641784E-2</v>
      </c>
      <c r="L496">
        <v>2309882</v>
      </c>
      <c r="M496" t="s">
        <v>978</v>
      </c>
      <c r="N496">
        <v>268</v>
      </c>
      <c r="O496">
        <v>221</v>
      </c>
      <c r="P496"/>
      <c r="Q496">
        <v>134974</v>
      </c>
      <c r="R496">
        <v>1</v>
      </c>
      <c r="S496" t="s">
        <v>40</v>
      </c>
      <c r="T496">
        <v>261</v>
      </c>
      <c r="V496">
        <v>0</v>
      </c>
      <c r="W496"/>
      <c r="Y496" t="s">
        <v>377</v>
      </c>
      <c r="Z496" t="s">
        <v>378</v>
      </c>
      <c r="AA496" t="s">
        <v>379</v>
      </c>
      <c r="AB496" t="s">
        <v>542</v>
      </c>
      <c r="AC496" t="s">
        <v>379</v>
      </c>
      <c r="AD496" t="s">
        <v>757</v>
      </c>
      <c r="AE496" t="s">
        <v>41</v>
      </c>
      <c r="AF496" t="s">
        <v>41</v>
      </c>
      <c r="AI496">
        <v>134974</v>
      </c>
      <c r="AJ496">
        <v>1</v>
      </c>
      <c r="AK496" t="s">
        <v>40</v>
      </c>
      <c r="AL496">
        <v>261</v>
      </c>
    </row>
    <row r="497" spans="1:38" x14ac:dyDescent="0.25">
      <c r="A497" t="s">
        <v>42</v>
      </c>
      <c r="B497">
        <v>45944.526967592596</v>
      </c>
      <c r="C497">
        <v>91763</v>
      </c>
      <c r="D497" t="s">
        <v>866</v>
      </c>
      <c r="E497">
        <v>4489737</v>
      </c>
      <c r="F497">
        <v>2309881</v>
      </c>
      <c r="G497" t="s">
        <v>977</v>
      </c>
      <c r="H497" t="s">
        <v>930</v>
      </c>
      <c r="I497">
        <v>20</v>
      </c>
      <c r="J497" t="b">
        <v>1</v>
      </c>
      <c r="K497">
        <v>8.5470085470085472E-2</v>
      </c>
      <c r="L497">
        <v>2309882</v>
      </c>
      <c r="M497" t="s">
        <v>978</v>
      </c>
      <c r="N497">
        <v>234</v>
      </c>
      <c r="O497">
        <v>252</v>
      </c>
      <c r="P497"/>
      <c r="Q497">
        <v>134974</v>
      </c>
      <c r="R497">
        <v>1</v>
      </c>
      <c r="S497" t="s">
        <v>40</v>
      </c>
      <c r="T497">
        <v>261</v>
      </c>
      <c r="V497">
        <v>0</v>
      </c>
      <c r="W497"/>
      <c r="Y497" t="s">
        <v>377</v>
      </c>
      <c r="Z497" t="s">
        <v>378</v>
      </c>
      <c r="AA497" t="s">
        <v>379</v>
      </c>
      <c r="AB497" t="s">
        <v>749</v>
      </c>
      <c r="AC497" t="s">
        <v>379</v>
      </c>
      <c r="AD497" t="s">
        <v>444</v>
      </c>
      <c r="AE497" t="s">
        <v>41</v>
      </c>
      <c r="AF497" t="s">
        <v>41</v>
      </c>
      <c r="AI497">
        <v>134974</v>
      </c>
      <c r="AJ497">
        <v>1</v>
      </c>
      <c r="AK497" t="s">
        <v>40</v>
      </c>
      <c r="AL497">
        <v>261</v>
      </c>
    </row>
    <row r="498" spans="1:38" x14ac:dyDescent="0.25">
      <c r="A498" t="s">
        <v>43</v>
      </c>
      <c r="B498">
        <v>45944.710243055553</v>
      </c>
      <c r="C498">
        <v>91764</v>
      </c>
      <c r="D498" t="s">
        <v>889</v>
      </c>
      <c r="E498">
        <v>4489738</v>
      </c>
      <c r="F498">
        <v>2309881</v>
      </c>
      <c r="G498" t="s">
        <v>977</v>
      </c>
      <c r="H498" t="s">
        <v>979</v>
      </c>
      <c r="I498">
        <v>10</v>
      </c>
      <c r="J498" t="b">
        <v>1</v>
      </c>
      <c r="K498">
        <v>4.0322580645161289E-2</v>
      </c>
      <c r="L498">
        <v>2309882</v>
      </c>
      <c r="M498" t="s">
        <v>978</v>
      </c>
      <c r="N498">
        <v>248</v>
      </c>
      <c r="O498">
        <v>270</v>
      </c>
      <c r="P498"/>
      <c r="Q498">
        <v>134974</v>
      </c>
      <c r="R498">
        <v>1</v>
      </c>
      <c r="S498" t="s">
        <v>40</v>
      </c>
      <c r="T498">
        <v>261</v>
      </c>
      <c r="V498">
        <v>0</v>
      </c>
      <c r="W498"/>
      <c r="Y498" t="s">
        <v>377</v>
      </c>
      <c r="Z498" t="s">
        <v>378</v>
      </c>
      <c r="AA498" t="s">
        <v>379</v>
      </c>
      <c r="AB498" t="s">
        <v>575</v>
      </c>
      <c r="AC498" t="s">
        <v>379</v>
      </c>
      <c r="AD498" t="s">
        <v>980</v>
      </c>
      <c r="AE498" t="s">
        <v>41</v>
      </c>
      <c r="AF498" t="s">
        <v>41</v>
      </c>
      <c r="AI498">
        <v>134974</v>
      </c>
      <c r="AJ498">
        <v>1</v>
      </c>
      <c r="AK498" t="s">
        <v>40</v>
      </c>
      <c r="AL498">
        <v>261</v>
      </c>
    </row>
    <row r="499" spans="1:38" x14ac:dyDescent="0.25">
      <c r="A499" t="s">
        <v>48</v>
      </c>
      <c r="B499">
        <v>45944.712604166663</v>
      </c>
      <c r="C499">
        <v>91766</v>
      </c>
      <c r="D499" t="s">
        <v>889</v>
      </c>
      <c r="E499">
        <v>4489738</v>
      </c>
      <c r="F499">
        <v>2309881</v>
      </c>
      <c r="G499" t="s">
        <v>977</v>
      </c>
      <c r="H499" t="s">
        <v>979</v>
      </c>
      <c r="I499">
        <v>20</v>
      </c>
      <c r="J499" t="b">
        <v>1</v>
      </c>
      <c r="K499">
        <v>0.3125</v>
      </c>
      <c r="L499">
        <v>2309882</v>
      </c>
      <c r="M499" t="s">
        <v>978</v>
      </c>
      <c r="N499">
        <v>64</v>
      </c>
      <c r="O499">
        <v>67</v>
      </c>
      <c r="P499"/>
      <c r="Q499">
        <v>134974</v>
      </c>
      <c r="R499">
        <v>1</v>
      </c>
      <c r="S499" t="s">
        <v>40</v>
      </c>
      <c r="T499">
        <v>261</v>
      </c>
      <c r="W499"/>
      <c r="Y499" t="s">
        <v>377</v>
      </c>
      <c r="Z499" t="s">
        <v>378</v>
      </c>
      <c r="AA499" t="s">
        <v>379</v>
      </c>
      <c r="AB499" t="s">
        <v>665</v>
      </c>
      <c r="AC499" t="s">
        <v>41</v>
      </c>
      <c r="AD499" t="s">
        <v>41</v>
      </c>
      <c r="AE499" t="s">
        <v>41</v>
      </c>
      <c r="AF499" t="s">
        <v>41</v>
      </c>
      <c r="AK499"/>
    </row>
    <row r="500" spans="1:38" x14ac:dyDescent="0.25">
      <c r="A500" t="s">
        <v>37</v>
      </c>
      <c r="B500">
        <v>45944.92046296296</v>
      </c>
      <c r="C500">
        <v>92418</v>
      </c>
      <c r="D500" t="s">
        <v>531</v>
      </c>
      <c r="E500">
        <v>4499308</v>
      </c>
      <c r="F500">
        <v>2307288</v>
      </c>
      <c r="G500" t="s">
        <v>981</v>
      </c>
      <c r="H500" t="s">
        <v>930</v>
      </c>
      <c r="I500">
        <v>10</v>
      </c>
      <c r="J500" t="b">
        <v>1</v>
      </c>
      <c r="K500">
        <v>4.6082949308755762E-2</v>
      </c>
      <c r="L500">
        <v>2307245</v>
      </c>
      <c r="M500" t="s">
        <v>982</v>
      </c>
      <c r="N500">
        <v>217</v>
      </c>
      <c r="O500">
        <v>205</v>
      </c>
      <c r="P500"/>
      <c r="Q500">
        <v>134976</v>
      </c>
      <c r="R500">
        <v>2</v>
      </c>
      <c r="S500" t="s">
        <v>40</v>
      </c>
      <c r="T500">
        <v>261</v>
      </c>
      <c r="W500"/>
      <c r="Y500" t="s">
        <v>377</v>
      </c>
      <c r="Z500" t="s">
        <v>378</v>
      </c>
      <c r="AA500" t="s">
        <v>379</v>
      </c>
      <c r="AB500" t="s">
        <v>676</v>
      </c>
      <c r="AC500" t="s">
        <v>379</v>
      </c>
      <c r="AD500" t="s">
        <v>983</v>
      </c>
      <c r="AE500" t="s">
        <v>41</v>
      </c>
      <c r="AF500" t="s">
        <v>41</v>
      </c>
      <c r="AK500"/>
    </row>
    <row r="501" spans="1:38" x14ac:dyDescent="0.25">
      <c r="A501" t="s">
        <v>39</v>
      </c>
      <c r="B501">
        <v>45944.92459490741</v>
      </c>
      <c r="C501">
        <v>91708</v>
      </c>
      <c r="D501" t="s">
        <v>531</v>
      </c>
      <c r="E501">
        <v>4494856</v>
      </c>
      <c r="F501">
        <v>2304754</v>
      </c>
      <c r="G501" t="s">
        <v>381</v>
      </c>
      <c r="H501" t="s">
        <v>963</v>
      </c>
      <c r="I501">
        <v>14</v>
      </c>
      <c r="J501" t="b">
        <v>1</v>
      </c>
      <c r="K501">
        <v>1.75</v>
      </c>
      <c r="L501">
        <v>2304755</v>
      </c>
      <c r="M501" t="s">
        <v>383</v>
      </c>
      <c r="N501">
        <v>8</v>
      </c>
      <c r="O501">
        <v>8</v>
      </c>
      <c r="P501"/>
      <c r="Q501">
        <v>134905</v>
      </c>
      <c r="R501">
        <v>2</v>
      </c>
      <c r="S501" t="s">
        <v>40</v>
      </c>
      <c r="T501">
        <v>261</v>
      </c>
      <c r="U501">
        <v>147664</v>
      </c>
      <c r="V501">
        <v>48</v>
      </c>
      <c r="W501" t="s">
        <v>40</v>
      </c>
      <c r="X501">
        <v>261</v>
      </c>
      <c r="Y501" t="s">
        <v>377</v>
      </c>
      <c r="Z501" t="s">
        <v>378</v>
      </c>
      <c r="AA501" t="s">
        <v>384</v>
      </c>
      <c r="AB501" t="s">
        <v>384</v>
      </c>
      <c r="AC501" t="s">
        <v>41</v>
      </c>
      <c r="AD501" t="s">
        <v>41</v>
      </c>
      <c r="AE501" t="s">
        <v>41</v>
      </c>
      <c r="AF501" t="s">
        <v>41</v>
      </c>
      <c r="AK501"/>
    </row>
    <row r="502" spans="1:38" x14ac:dyDescent="0.25">
      <c r="A502" t="s">
        <v>45</v>
      </c>
      <c r="B502">
        <v>45944.92763888889</v>
      </c>
      <c r="C502">
        <v>91765</v>
      </c>
      <c r="D502" t="s">
        <v>531</v>
      </c>
      <c r="E502">
        <v>4482008</v>
      </c>
      <c r="F502">
        <v>152379</v>
      </c>
      <c r="G502" t="s">
        <v>984</v>
      </c>
      <c r="H502" t="s">
        <v>930</v>
      </c>
      <c r="I502">
        <v>10</v>
      </c>
      <c r="J502" t="b">
        <v>1</v>
      </c>
      <c r="K502">
        <v>5.1546391752577317E-2</v>
      </c>
      <c r="L502">
        <v>152381</v>
      </c>
      <c r="M502" t="s">
        <v>985</v>
      </c>
      <c r="N502">
        <v>194</v>
      </c>
      <c r="O502">
        <v>301</v>
      </c>
      <c r="P502"/>
      <c r="Q502">
        <v>134974</v>
      </c>
      <c r="R502">
        <v>2</v>
      </c>
      <c r="S502" t="s">
        <v>40</v>
      </c>
      <c r="T502">
        <v>261</v>
      </c>
      <c r="W502"/>
      <c r="Y502" t="s">
        <v>377</v>
      </c>
      <c r="Z502" t="s">
        <v>378</v>
      </c>
      <c r="AA502" t="s">
        <v>379</v>
      </c>
      <c r="AB502" t="s">
        <v>671</v>
      </c>
      <c r="AC502" t="s">
        <v>379</v>
      </c>
      <c r="AD502" t="s">
        <v>807</v>
      </c>
      <c r="AE502" t="s">
        <v>41</v>
      </c>
      <c r="AF502" t="s">
        <v>41</v>
      </c>
      <c r="AK502"/>
    </row>
    <row r="503" spans="1:38" x14ac:dyDescent="0.25">
      <c r="A503" t="s">
        <v>38</v>
      </c>
      <c r="B503">
        <v>45944.929849537039</v>
      </c>
      <c r="C503">
        <v>91150</v>
      </c>
      <c r="D503" t="s">
        <v>531</v>
      </c>
      <c r="E503">
        <v>4493911</v>
      </c>
      <c r="F503">
        <v>2304719</v>
      </c>
      <c r="G503" t="s">
        <v>628</v>
      </c>
      <c r="H503" t="s">
        <v>986</v>
      </c>
      <c r="I503">
        <v>14</v>
      </c>
      <c r="J503" t="b">
        <v>1</v>
      </c>
      <c r="K503">
        <v>3.5</v>
      </c>
      <c r="L503">
        <v>2304719</v>
      </c>
      <c r="M503" t="s">
        <v>628</v>
      </c>
      <c r="N503">
        <v>4</v>
      </c>
      <c r="O503">
        <v>4</v>
      </c>
      <c r="P503"/>
      <c r="Q503">
        <v>134905</v>
      </c>
      <c r="R503">
        <v>1</v>
      </c>
      <c r="S503" t="s">
        <v>40</v>
      </c>
      <c r="T503">
        <v>261</v>
      </c>
      <c r="U503">
        <v>147664</v>
      </c>
      <c r="V503">
        <v>24</v>
      </c>
      <c r="W503" t="s">
        <v>40</v>
      </c>
      <c r="X503">
        <v>261</v>
      </c>
      <c r="Y503" t="s">
        <v>377</v>
      </c>
      <c r="Z503" t="s">
        <v>378</v>
      </c>
      <c r="AA503" t="s">
        <v>379</v>
      </c>
      <c r="AB503" t="s">
        <v>384</v>
      </c>
      <c r="AC503" t="s">
        <v>41</v>
      </c>
      <c r="AD503" t="s">
        <v>41</v>
      </c>
      <c r="AE503" t="s">
        <v>41</v>
      </c>
      <c r="AF503" t="s">
        <v>41</v>
      </c>
      <c r="AK503"/>
    </row>
    <row r="504" spans="1:38" x14ac:dyDescent="0.25">
      <c r="A504" t="s">
        <v>39</v>
      </c>
      <c r="B504">
        <v>45945.170520833337</v>
      </c>
      <c r="C504">
        <v>91771</v>
      </c>
      <c r="D504" t="s">
        <v>531</v>
      </c>
      <c r="E504">
        <v>4491132</v>
      </c>
      <c r="F504">
        <v>2309915</v>
      </c>
      <c r="G504" t="s">
        <v>987</v>
      </c>
      <c r="H504" t="s">
        <v>930</v>
      </c>
      <c r="I504">
        <v>2.5</v>
      </c>
      <c r="J504" t="b">
        <v>1</v>
      </c>
      <c r="K504">
        <v>2.403846153846154E-2</v>
      </c>
      <c r="L504">
        <v>2309916</v>
      </c>
      <c r="M504" t="s">
        <v>988</v>
      </c>
      <c r="N504">
        <v>104</v>
      </c>
      <c r="O504">
        <v>220</v>
      </c>
      <c r="P504"/>
      <c r="Q504">
        <v>134976</v>
      </c>
      <c r="R504">
        <v>1</v>
      </c>
      <c r="S504" t="s">
        <v>40</v>
      </c>
      <c r="T504">
        <v>261</v>
      </c>
      <c r="W504"/>
      <c r="Y504" t="s">
        <v>377</v>
      </c>
      <c r="Z504" t="s">
        <v>378</v>
      </c>
      <c r="AA504" t="s">
        <v>379</v>
      </c>
      <c r="AB504" t="s">
        <v>415</v>
      </c>
      <c r="AC504" t="s">
        <v>41</v>
      </c>
      <c r="AD504" t="s">
        <v>41</v>
      </c>
      <c r="AE504" t="s">
        <v>41</v>
      </c>
      <c r="AF504" t="s">
        <v>41</v>
      </c>
      <c r="AK504"/>
    </row>
    <row r="505" spans="1:38" x14ac:dyDescent="0.25">
      <c r="A505" t="s">
        <v>42</v>
      </c>
      <c r="B505">
        <v>45945.183703703704</v>
      </c>
      <c r="C505">
        <v>91770</v>
      </c>
      <c r="D505" t="s">
        <v>531</v>
      </c>
      <c r="E505">
        <v>4482008</v>
      </c>
      <c r="F505">
        <v>152379</v>
      </c>
      <c r="G505" t="s">
        <v>984</v>
      </c>
      <c r="H505" t="s">
        <v>930</v>
      </c>
      <c r="I505">
        <v>10</v>
      </c>
      <c r="J505" t="b">
        <v>1</v>
      </c>
      <c r="K505">
        <v>9.6153846153846159E-2</v>
      </c>
      <c r="L505">
        <v>152381</v>
      </c>
      <c r="M505" t="s">
        <v>985</v>
      </c>
      <c r="N505">
        <v>104</v>
      </c>
      <c r="O505">
        <v>0</v>
      </c>
      <c r="P505"/>
      <c r="Q505">
        <v>134976</v>
      </c>
      <c r="R505">
        <v>1</v>
      </c>
      <c r="S505" t="s">
        <v>40</v>
      </c>
      <c r="T505">
        <v>261</v>
      </c>
      <c r="W505"/>
      <c r="Y505" t="s">
        <v>377</v>
      </c>
      <c r="Z505" t="s">
        <v>378</v>
      </c>
      <c r="AA505" t="s">
        <v>379</v>
      </c>
      <c r="AB505" t="s">
        <v>415</v>
      </c>
      <c r="AC505" t="s">
        <v>41</v>
      </c>
      <c r="AD505" t="s">
        <v>41</v>
      </c>
      <c r="AE505" t="s">
        <v>41</v>
      </c>
      <c r="AF505" t="s">
        <v>41</v>
      </c>
      <c r="AK505"/>
    </row>
    <row r="506" spans="1:38" x14ac:dyDescent="0.25">
      <c r="A506" t="s">
        <v>43</v>
      </c>
      <c r="B506">
        <v>45945.531122685185</v>
      </c>
      <c r="C506">
        <v>91151</v>
      </c>
      <c r="D506" t="s">
        <v>560</v>
      </c>
      <c r="E506">
        <v>4492654</v>
      </c>
      <c r="F506">
        <v>113677</v>
      </c>
      <c r="G506" t="s">
        <v>687</v>
      </c>
      <c r="H506" t="s">
        <v>615</v>
      </c>
      <c r="I506">
        <v>14</v>
      </c>
      <c r="J506" t="b">
        <v>1</v>
      </c>
      <c r="K506">
        <v>1.75</v>
      </c>
      <c r="L506">
        <v>113679</v>
      </c>
      <c r="M506" t="s">
        <v>689</v>
      </c>
      <c r="N506">
        <v>8</v>
      </c>
      <c r="O506">
        <v>8</v>
      </c>
      <c r="P506"/>
      <c r="Q506">
        <v>134906</v>
      </c>
      <c r="R506">
        <v>2</v>
      </c>
      <c r="S506" t="s">
        <v>40</v>
      </c>
      <c r="T506">
        <v>261</v>
      </c>
      <c r="U506">
        <v>147664</v>
      </c>
      <c r="V506">
        <v>48</v>
      </c>
      <c r="W506" t="s">
        <v>40</v>
      </c>
      <c r="X506">
        <v>261</v>
      </c>
      <c r="Y506" t="s">
        <v>377</v>
      </c>
      <c r="Z506" t="s">
        <v>378</v>
      </c>
      <c r="AA506" t="s">
        <v>384</v>
      </c>
      <c r="AB506" t="s">
        <v>384</v>
      </c>
      <c r="AC506" t="s">
        <v>41</v>
      </c>
      <c r="AD506" t="s">
        <v>41</v>
      </c>
      <c r="AE506" t="s">
        <v>41</v>
      </c>
      <c r="AF506" t="s">
        <v>41</v>
      </c>
      <c r="AK506"/>
    </row>
    <row r="507" spans="1:38" x14ac:dyDescent="0.25">
      <c r="A507" t="s">
        <v>37</v>
      </c>
      <c r="B507">
        <v>45945.585335648146</v>
      </c>
      <c r="C507">
        <v>90434</v>
      </c>
      <c r="D507" t="s">
        <v>393</v>
      </c>
      <c r="E507">
        <v>4496391</v>
      </c>
      <c r="F507">
        <v>105457</v>
      </c>
      <c r="G507" t="s">
        <v>974</v>
      </c>
      <c r="H507" t="s">
        <v>618</v>
      </c>
      <c r="I507">
        <v>10</v>
      </c>
      <c r="J507" t="b">
        <v>1</v>
      </c>
      <c r="K507">
        <v>0.83333333333333337</v>
      </c>
      <c r="L507">
        <v>2106231</v>
      </c>
      <c r="M507" t="s">
        <v>975</v>
      </c>
      <c r="N507">
        <v>12</v>
      </c>
      <c r="O507">
        <v>12</v>
      </c>
      <c r="P507"/>
      <c r="Q507">
        <v>134906</v>
      </c>
      <c r="R507">
        <v>2</v>
      </c>
      <c r="S507" t="s">
        <v>40</v>
      </c>
      <c r="T507">
        <v>261</v>
      </c>
      <c r="U507">
        <v>147664</v>
      </c>
      <c r="V507">
        <v>48</v>
      </c>
      <c r="W507" t="s">
        <v>40</v>
      </c>
      <c r="X507">
        <v>261</v>
      </c>
      <c r="Y507" t="s">
        <v>377</v>
      </c>
      <c r="Z507" t="s">
        <v>378</v>
      </c>
      <c r="AA507" t="s">
        <v>379</v>
      </c>
      <c r="AB507" t="s">
        <v>400</v>
      </c>
      <c r="AC507" t="s">
        <v>379</v>
      </c>
      <c r="AD507" t="s">
        <v>384</v>
      </c>
      <c r="AE507" t="s">
        <v>41</v>
      </c>
      <c r="AF507" t="s">
        <v>41</v>
      </c>
      <c r="AK507"/>
    </row>
    <row r="508" spans="1:38" x14ac:dyDescent="0.25">
      <c r="A508" t="s">
        <v>44</v>
      </c>
      <c r="B508">
        <v>45945.601759259262</v>
      </c>
      <c r="C508">
        <v>91709</v>
      </c>
      <c r="D508" t="s">
        <v>393</v>
      </c>
      <c r="E508">
        <v>4498619</v>
      </c>
      <c r="F508">
        <v>2304754</v>
      </c>
      <c r="G508" t="s">
        <v>381</v>
      </c>
      <c r="H508" t="s">
        <v>989</v>
      </c>
      <c r="I508">
        <v>14</v>
      </c>
      <c r="J508" t="b">
        <v>0</v>
      </c>
      <c r="K508">
        <v>1.75</v>
      </c>
      <c r="L508">
        <v>2304755</v>
      </c>
      <c r="M508" t="s">
        <v>383</v>
      </c>
      <c r="N508">
        <v>8</v>
      </c>
      <c r="O508">
        <v>8</v>
      </c>
      <c r="P508"/>
      <c r="Q508">
        <v>134905</v>
      </c>
      <c r="R508">
        <v>2</v>
      </c>
      <c r="S508" t="s">
        <v>40</v>
      </c>
      <c r="T508">
        <v>261</v>
      </c>
      <c r="U508">
        <v>147664</v>
      </c>
      <c r="V508">
        <v>48</v>
      </c>
      <c r="W508" t="s">
        <v>40</v>
      </c>
      <c r="X508">
        <v>261</v>
      </c>
      <c r="Y508" t="s">
        <v>377</v>
      </c>
      <c r="Z508" t="s">
        <v>378</v>
      </c>
      <c r="AA508" t="s">
        <v>384</v>
      </c>
      <c r="AB508" t="s">
        <v>384</v>
      </c>
      <c r="AC508" t="s">
        <v>41</v>
      </c>
      <c r="AD508" t="s">
        <v>41</v>
      </c>
      <c r="AE508" t="s">
        <v>41</v>
      </c>
      <c r="AF508" t="s">
        <v>41</v>
      </c>
      <c r="AK508"/>
    </row>
    <row r="509" spans="1:38" x14ac:dyDescent="0.25">
      <c r="A509" t="s">
        <v>44</v>
      </c>
      <c r="B509">
        <v>45945.62699074074</v>
      </c>
      <c r="C509">
        <v>91709</v>
      </c>
      <c r="D509" t="s">
        <v>563</v>
      </c>
      <c r="E509">
        <v>4498619</v>
      </c>
      <c r="F509">
        <v>2304754</v>
      </c>
      <c r="G509" t="s">
        <v>381</v>
      </c>
      <c r="H509" t="s">
        <v>990</v>
      </c>
      <c r="I509">
        <v>14</v>
      </c>
      <c r="J509" t="b">
        <v>1</v>
      </c>
      <c r="K509">
        <v>1.75</v>
      </c>
      <c r="L509">
        <v>2304755</v>
      </c>
      <c r="M509" t="s">
        <v>383</v>
      </c>
      <c r="N509">
        <v>8</v>
      </c>
      <c r="O509">
        <v>8</v>
      </c>
      <c r="P509"/>
      <c r="Q509">
        <v>134905</v>
      </c>
      <c r="R509">
        <v>1</v>
      </c>
      <c r="S509" t="s">
        <v>40</v>
      </c>
      <c r="T509">
        <v>261</v>
      </c>
      <c r="U509">
        <v>147664</v>
      </c>
      <c r="V509">
        <v>48</v>
      </c>
      <c r="W509" t="s">
        <v>40</v>
      </c>
      <c r="X509">
        <v>261</v>
      </c>
      <c r="Y509" t="s">
        <v>377</v>
      </c>
      <c r="Z509" t="s">
        <v>378</v>
      </c>
      <c r="AA509" t="s">
        <v>384</v>
      </c>
      <c r="AB509" t="s">
        <v>384</v>
      </c>
      <c r="AC509" t="s">
        <v>41</v>
      </c>
      <c r="AD509" t="s">
        <v>41</v>
      </c>
      <c r="AE509" t="s">
        <v>41</v>
      </c>
      <c r="AF509" t="s">
        <v>41</v>
      </c>
      <c r="AI509">
        <v>134905</v>
      </c>
      <c r="AJ509">
        <v>1</v>
      </c>
      <c r="AK509" t="s">
        <v>40</v>
      </c>
      <c r="AL509">
        <v>261</v>
      </c>
    </row>
    <row r="510" spans="1:38" x14ac:dyDescent="0.25">
      <c r="A510" t="s">
        <v>39</v>
      </c>
      <c r="B510">
        <v>45945.685763888891</v>
      </c>
      <c r="C510">
        <v>91772</v>
      </c>
      <c r="D510" t="s">
        <v>393</v>
      </c>
      <c r="E510">
        <v>4403472</v>
      </c>
      <c r="F510">
        <v>2105247</v>
      </c>
      <c r="G510" t="s">
        <v>991</v>
      </c>
      <c r="H510" t="s">
        <v>930</v>
      </c>
      <c r="I510">
        <v>3</v>
      </c>
      <c r="J510" t="b">
        <v>1</v>
      </c>
      <c r="K510">
        <v>1.7142857142857144E-2</v>
      </c>
      <c r="L510">
        <v>2106518</v>
      </c>
      <c r="M510" t="s">
        <v>992</v>
      </c>
      <c r="N510">
        <v>175</v>
      </c>
      <c r="O510">
        <v>175</v>
      </c>
      <c r="P510"/>
      <c r="Q510">
        <v>134971</v>
      </c>
      <c r="R510">
        <v>1</v>
      </c>
      <c r="S510" t="s">
        <v>40</v>
      </c>
      <c r="T510">
        <v>261</v>
      </c>
      <c r="U510">
        <v>147664</v>
      </c>
      <c r="V510">
        <v>24</v>
      </c>
      <c r="W510" t="s">
        <v>40</v>
      </c>
      <c r="X510">
        <v>261</v>
      </c>
      <c r="Y510" t="s">
        <v>377</v>
      </c>
      <c r="Z510" t="s">
        <v>378</v>
      </c>
      <c r="AA510" t="s">
        <v>379</v>
      </c>
      <c r="AB510" t="s">
        <v>993</v>
      </c>
      <c r="AC510" t="s">
        <v>41</v>
      </c>
      <c r="AD510" t="s">
        <v>41</v>
      </c>
      <c r="AE510" t="s">
        <v>41</v>
      </c>
      <c r="AF510" t="s">
        <v>41</v>
      </c>
      <c r="AK510"/>
    </row>
    <row r="511" spans="1:38" x14ac:dyDescent="0.25">
      <c r="A511" t="s">
        <v>38</v>
      </c>
      <c r="B511">
        <v>45945.715995370374</v>
      </c>
      <c r="C511">
        <v>91913</v>
      </c>
      <c r="D511" t="s">
        <v>563</v>
      </c>
      <c r="E511">
        <v>4500207</v>
      </c>
      <c r="F511">
        <v>2104880</v>
      </c>
      <c r="G511" t="s">
        <v>577</v>
      </c>
      <c r="H511" t="s">
        <v>994</v>
      </c>
      <c r="I511">
        <v>10</v>
      </c>
      <c r="J511" t="b">
        <v>1</v>
      </c>
      <c r="K511">
        <v>2</v>
      </c>
      <c r="L511">
        <v>2106200</v>
      </c>
      <c r="M511" t="s">
        <v>579</v>
      </c>
      <c r="N511">
        <v>5</v>
      </c>
      <c r="O511">
        <v>5</v>
      </c>
      <c r="P511"/>
      <c r="Q511">
        <v>134907</v>
      </c>
      <c r="R511">
        <v>1</v>
      </c>
      <c r="S511" t="s">
        <v>40</v>
      </c>
      <c r="T511">
        <v>261</v>
      </c>
      <c r="U511">
        <v>147664</v>
      </c>
      <c r="V511">
        <v>24</v>
      </c>
      <c r="W511" t="s">
        <v>40</v>
      </c>
      <c r="X511">
        <v>261</v>
      </c>
      <c r="Y511" t="s">
        <v>377</v>
      </c>
      <c r="Z511" t="s">
        <v>378</v>
      </c>
      <c r="AA511" t="s">
        <v>379</v>
      </c>
      <c r="AB511" t="s">
        <v>559</v>
      </c>
      <c r="AC511" t="s">
        <v>41</v>
      </c>
      <c r="AD511" t="s">
        <v>41</v>
      </c>
      <c r="AE511" t="s">
        <v>41</v>
      </c>
      <c r="AF511" t="s">
        <v>41</v>
      </c>
      <c r="AK511"/>
    </row>
    <row r="512" spans="1:38" x14ac:dyDescent="0.25">
      <c r="A512" t="s">
        <v>38</v>
      </c>
      <c r="B512">
        <v>45945.718009259261</v>
      </c>
      <c r="C512">
        <v>91913</v>
      </c>
      <c r="D512" t="s">
        <v>563</v>
      </c>
      <c r="E512">
        <v>4500206</v>
      </c>
      <c r="F512">
        <v>2104880</v>
      </c>
      <c r="G512" t="s">
        <v>577</v>
      </c>
      <c r="H512" t="s">
        <v>994</v>
      </c>
      <c r="I512">
        <v>10</v>
      </c>
      <c r="J512" t="b">
        <v>1</v>
      </c>
      <c r="K512">
        <v>2.5</v>
      </c>
      <c r="L512">
        <v>2106200</v>
      </c>
      <c r="M512" t="s">
        <v>579</v>
      </c>
      <c r="N512">
        <v>4</v>
      </c>
      <c r="O512">
        <v>4</v>
      </c>
      <c r="P512"/>
      <c r="Q512">
        <v>134907</v>
      </c>
      <c r="R512">
        <v>1</v>
      </c>
      <c r="S512" t="s">
        <v>40</v>
      </c>
      <c r="T512">
        <v>261</v>
      </c>
      <c r="U512">
        <v>147664</v>
      </c>
      <c r="V512">
        <v>24</v>
      </c>
      <c r="W512" t="s">
        <v>40</v>
      </c>
      <c r="X512">
        <v>261</v>
      </c>
      <c r="Y512" t="s">
        <v>377</v>
      </c>
      <c r="Z512" t="s">
        <v>378</v>
      </c>
      <c r="AA512" t="s">
        <v>379</v>
      </c>
      <c r="AB512" t="s">
        <v>384</v>
      </c>
      <c r="AC512" t="s">
        <v>41</v>
      </c>
      <c r="AD512" t="s">
        <v>41</v>
      </c>
      <c r="AE512" t="s">
        <v>41</v>
      </c>
      <c r="AF512" t="s">
        <v>41</v>
      </c>
      <c r="AK512"/>
    </row>
    <row r="513" spans="1:37" x14ac:dyDescent="0.25">
      <c r="A513" t="s">
        <v>45</v>
      </c>
      <c r="B513">
        <v>45945.72074074074</v>
      </c>
      <c r="C513">
        <v>91769</v>
      </c>
      <c r="D513" t="s">
        <v>563</v>
      </c>
      <c r="E513">
        <v>4491132</v>
      </c>
      <c r="F513">
        <v>2309915</v>
      </c>
      <c r="G513" t="s">
        <v>987</v>
      </c>
      <c r="H513" t="s">
        <v>930</v>
      </c>
      <c r="I513">
        <v>2.5</v>
      </c>
      <c r="J513" t="b">
        <v>1</v>
      </c>
      <c r="K513">
        <v>2.2727272727272728E-2</v>
      </c>
      <c r="L513">
        <v>2309916</v>
      </c>
      <c r="M513" t="s">
        <v>988</v>
      </c>
      <c r="N513">
        <v>110</v>
      </c>
      <c r="O513">
        <v>110</v>
      </c>
      <c r="P513"/>
      <c r="Q513">
        <v>134908</v>
      </c>
      <c r="R513">
        <v>1</v>
      </c>
      <c r="S513" t="s">
        <v>40</v>
      </c>
      <c r="T513">
        <v>261</v>
      </c>
      <c r="U513">
        <v>147664</v>
      </c>
      <c r="V513">
        <v>24</v>
      </c>
      <c r="W513" t="s">
        <v>40</v>
      </c>
      <c r="X513">
        <v>261</v>
      </c>
      <c r="Y513" t="s">
        <v>377</v>
      </c>
      <c r="Z513" t="s">
        <v>378</v>
      </c>
      <c r="AA513" t="s">
        <v>379</v>
      </c>
      <c r="AB513" t="s">
        <v>573</v>
      </c>
      <c r="AC513" t="s">
        <v>41</v>
      </c>
      <c r="AD513" t="s">
        <v>41</v>
      </c>
      <c r="AE513" t="s">
        <v>41</v>
      </c>
      <c r="AF513" t="s">
        <v>41</v>
      </c>
      <c r="AK513"/>
    </row>
    <row r="514" spans="1:37" x14ac:dyDescent="0.25">
      <c r="A514" t="s">
        <v>47</v>
      </c>
      <c r="B514">
        <v>45945.836215277777</v>
      </c>
      <c r="C514">
        <v>92521</v>
      </c>
      <c r="D514" t="s">
        <v>843</v>
      </c>
      <c r="E514">
        <v>4497416</v>
      </c>
      <c r="F514">
        <v>2310315</v>
      </c>
      <c r="G514" t="s">
        <v>995</v>
      </c>
      <c r="H514" t="s">
        <v>930</v>
      </c>
      <c r="I514">
        <v>28.5</v>
      </c>
      <c r="J514" t="b">
        <v>1</v>
      </c>
      <c r="K514">
        <v>0.10326086956521739</v>
      </c>
      <c r="L514">
        <v>2310316</v>
      </c>
      <c r="M514" t="s">
        <v>996</v>
      </c>
      <c r="N514">
        <v>276</v>
      </c>
      <c r="O514">
        <v>276</v>
      </c>
      <c r="P514"/>
      <c r="Q514">
        <v>134976</v>
      </c>
      <c r="R514">
        <v>1</v>
      </c>
      <c r="S514" t="s">
        <v>40</v>
      </c>
      <c r="T514">
        <v>261</v>
      </c>
      <c r="W514"/>
      <c r="Y514" t="s">
        <v>377</v>
      </c>
      <c r="Z514" t="s">
        <v>378</v>
      </c>
      <c r="AA514" t="s">
        <v>379</v>
      </c>
      <c r="AB514" t="s">
        <v>997</v>
      </c>
      <c r="AC514" t="s">
        <v>41</v>
      </c>
      <c r="AD514" t="s">
        <v>41</v>
      </c>
      <c r="AE514" t="s">
        <v>41</v>
      </c>
      <c r="AF514" t="s">
        <v>41</v>
      </c>
      <c r="AK514"/>
    </row>
    <row r="515" spans="1:37" x14ac:dyDescent="0.25">
      <c r="A515" t="s">
        <v>47</v>
      </c>
      <c r="B515">
        <v>45945.843923611108</v>
      </c>
      <c r="C515">
        <v>92520</v>
      </c>
      <c r="D515" t="s">
        <v>843</v>
      </c>
      <c r="E515">
        <v>4498898</v>
      </c>
      <c r="F515">
        <v>116872</v>
      </c>
      <c r="G515" t="s">
        <v>998</v>
      </c>
      <c r="H515" t="s">
        <v>930</v>
      </c>
      <c r="I515">
        <v>28.5</v>
      </c>
      <c r="J515" t="b">
        <v>1</v>
      </c>
      <c r="K515">
        <v>0.296875</v>
      </c>
      <c r="L515">
        <v>116873</v>
      </c>
      <c r="M515" t="s">
        <v>999</v>
      </c>
      <c r="N515">
        <v>96</v>
      </c>
      <c r="O515">
        <v>96</v>
      </c>
      <c r="P515"/>
      <c r="Q515">
        <v>134976</v>
      </c>
      <c r="R515">
        <v>1</v>
      </c>
      <c r="S515" t="s">
        <v>40</v>
      </c>
      <c r="T515">
        <v>261</v>
      </c>
      <c r="W515"/>
      <c r="Y515" t="s">
        <v>377</v>
      </c>
      <c r="Z515" t="s">
        <v>378</v>
      </c>
      <c r="AA515" t="s">
        <v>379</v>
      </c>
      <c r="AB515" t="s">
        <v>1000</v>
      </c>
      <c r="AC515" t="s">
        <v>41</v>
      </c>
      <c r="AD515" t="s">
        <v>41</v>
      </c>
      <c r="AE515" t="s">
        <v>41</v>
      </c>
      <c r="AF515" t="s">
        <v>41</v>
      </c>
      <c r="AK515"/>
    </row>
    <row r="516" spans="1:37" x14ac:dyDescent="0.25">
      <c r="A516" t="s">
        <v>42</v>
      </c>
      <c r="B516">
        <v>45946.097048611111</v>
      </c>
      <c r="C516">
        <v>92419</v>
      </c>
      <c r="D516" t="s">
        <v>563</v>
      </c>
      <c r="E516">
        <v>4492536</v>
      </c>
      <c r="F516">
        <v>133947</v>
      </c>
      <c r="G516" t="s">
        <v>442</v>
      </c>
      <c r="H516" t="s">
        <v>926</v>
      </c>
      <c r="I516">
        <v>1.5</v>
      </c>
      <c r="J516" t="b">
        <v>1</v>
      </c>
      <c r="K516">
        <v>4.5454545454545452E-3</v>
      </c>
      <c r="L516">
        <v>133948</v>
      </c>
      <c r="M516" t="s">
        <v>443</v>
      </c>
      <c r="N516">
        <v>330</v>
      </c>
      <c r="O516">
        <v>330</v>
      </c>
      <c r="P516"/>
      <c r="Q516">
        <v>0</v>
      </c>
      <c r="R516">
        <v>0</v>
      </c>
      <c r="S516" t="s">
        <v>40</v>
      </c>
      <c r="T516">
        <v>261</v>
      </c>
      <c r="W516"/>
      <c r="Y516" t="s">
        <v>377</v>
      </c>
      <c r="Z516" t="s">
        <v>378</v>
      </c>
      <c r="AA516" t="s">
        <v>379</v>
      </c>
      <c r="AB516" t="s">
        <v>1001</v>
      </c>
      <c r="AC516" t="s">
        <v>41</v>
      </c>
      <c r="AD516" t="s">
        <v>41</v>
      </c>
      <c r="AE516" t="s">
        <v>41</v>
      </c>
      <c r="AF516" t="s">
        <v>41</v>
      </c>
      <c r="AK516"/>
    </row>
    <row r="517" spans="1:37" x14ac:dyDescent="0.25">
      <c r="A517" t="s">
        <v>45</v>
      </c>
      <c r="B517">
        <v>45946.128564814811</v>
      </c>
      <c r="C517">
        <v>91773</v>
      </c>
      <c r="D517" t="s">
        <v>563</v>
      </c>
      <c r="E517">
        <v>4403472</v>
      </c>
      <c r="F517">
        <v>2105247</v>
      </c>
      <c r="G517" t="s">
        <v>991</v>
      </c>
      <c r="H517" t="s">
        <v>930</v>
      </c>
      <c r="I517">
        <v>2.5</v>
      </c>
      <c r="J517" t="b">
        <v>1</v>
      </c>
      <c r="K517">
        <v>1.4204545454545454E-2</v>
      </c>
      <c r="L517">
        <v>2106518</v>
      </c>
      <c r="M517" t="s">
        <v>992</v>
      </c>
      <c r="N517">
        <v>176</v>
      </c>
      <c r="O517">
        <v>176</v>
      </c>
      <c r="P517"/>
      <c r="Q517">
        <v>134908</v>
      </c>
      <c r="R517">
        <v>1</v>
      </c>
      <c r="S517" t="s">
        <v>40</v>
      </c>
      <c r="T517">
        <v>261</v>
      </c>
      <c r="U517">
        <v>147664</v>
      </c>
      <c r="V517">
        <v>24</v>
      </c>
      <c r="W517" t="s">
        <v>40</v>
      </c>
      <c r="X517">
        <v>261</v>
      </c>
      <c r="Y517" t="s">
        <v>377</v>
      </c>
      <c r="Z517" t="s">
        <v>378</v>
      </c>
      <c r="AA517" t="s">
        <v>379</v>
      </c>
      <c r="AB517" t="s">
        <v>685</v>
      </c>
      <c r="AC517" t="s">
        <v>41</v>
      </c>
      <c r="AD517" t="s">
        <v>41</v>
      </c>
      <c r="AE517" t="s">
        <v>41</v>
      </c>
      <c r="AF517" t="s">
        <v>41</v>
      </c>
      <c r="AK517"/>
    </row>
    <row r="518" spans="1:37" x14ac:dyDescent="0.25">
      <c r="A518" t="s">
        <v>47</v>
      </c>
      <c r="B518">
        <v>45946.171956018516</v>
      </c>
      <c r="C518">
        <v>91774</v>
      </c>
      <c r="D518" t="s">
        <v>563</v>
      </c>
      <c r="E518">
        <v>4403472</v>
      </c>
      <c r="F518">
        <v>2105247</v>
      </c>
      <c r="G518" t="s">
        <v>991</v>
      </c>
      <c r="H518" t="s">
        <v>930</v>
      </c>
      <c r="I518">
        <v>2.5</v>
      </c>
      <c r="J518" t="b">
        <v>1</v>
      </c>
      <c r="K518">
        <v>3.8461538461538464E-2</v>
      </c>
      <c r="L518">
        <v>2106518</v>
      </c>
      <c r="M518" t="s">
        <v>992</v>
      </c>
      <c r="N518">
        <v>65</v>
      </c>
      <c r="O518">
        <v>65</v>
      </c>
      <c r="P518"/>
      <c r="Q518">
        <v>134908</v>
      </c>
      <c r="R518">
        <v>1</v>
      </c>
      <c r="S518" t="s">
        <v>40</v>
      </c>
      <c r="T518">
        <v>261</v>
      </c>
      <c r="U518">
        <v>147664</v>
      </c>
      <c r="V518">
        <v>24</v>
      </c>
      <c r="W518" t="s">
        <v>40</v>
      </c>
      <c r="X518">
        <v>261</v>
      </c>
      <c r="Y518" t="s">
        <v>377</v>
      </c>
      <c r="Z518" t="s">
        <v>378</v>
      </c>
      <c r="AA518" t="s">
        <v>379</v>
      </c>
      <c r="AB518" t="s">
        <v>504</v>
      </c>
      <c r="AC518" t="s">
        <v>41</v>
      </c>
      <c r="AD518" t="s">
        <v>41</v>
      </c>
      <c r="AE518" t="s">
        <v>41</v>
      </c>
      <c r="AF518" t="s">
        <v>41</v>
      </c>
      <c r="AK518"/>
    </row>
    <row r="519" spans="1:37" x14ac:dyDescent="0.25">
      <c r="A519" t="s">
        <v>37</v>
      </c>
      <c r="B519">
        <v>45946.224618055552</v>
      </c>
      <c r="C519">
        <v>91156</v>
      </c>
      <c r="D519" t="s">
        <v>563</v>
      </c>
      <c r="E519">
        <v>4500277</v>
      </c>
      <c r="F519">
        <v>156316</v>
      </c>
      <c r="G519" t="s">
        <v>899</v>
      </c>
      <c r="H519" t="s">
        <v>1002</v>
      </c>
      <c r="I519">
        <v>14</v>
      </c>
      <c r="J519" t="b">
        <v>1</v>
      </c>
      <c r="K519">
        <v>3.5</v>
      </c>
      <c r="L519">
        <v>156315</v>
      </c>
      <c r="M519" t="s">
        <v>901</v>
      </c>
      <c r="N519">
        <v>4</v>
      </c>
      <c r="O519">
        <v>4</v>
      </c>
      <c r="P519"/>
      <c r="Q519">
        <v>134905</v>
      </c>
      <c r="R519">
        <v>1</v>
      </c>
      <c r="S519" t="s">
        <v>40</v>
      </c>
      <c r="T519">
        <v>261</v>
      </c>
      <c r="U519">
        <v>147664</v>
      </c>
      <c r="V519">
        <v>24</v>
      </c>
      <c r="W519" t="s">
        <v>40</v>
      </c>
      <c r="X519">
        <v>261</v>
      </c>
      <c r="Y519" t="s">
        <v>377</v>
      </c>
      <c r="Z519" t="s">
        <v>378</v>
      </c>
      <c r="AA519" t="s">
        <v>379</v>
      </c>
      <c r="AB519" t="s">
        <v>384</v>
      </c>
      <c r="AC519" t="s">
        <v>41</v>
      </c>
      <c r="AD519" t="s">
        <v>41</v>
      </c>
      <c r="AE519" t="s">
        <v>41</v>
      </c>
      <c r="AF519" t="s">
        <v>41</v>
      </c>
      <c r="AK519"/>
    </row>
    <row r="520" spans="1:37" x14ac:dyDescent="0.25">
      <c r="A520" t="s">
        <v>37</v>
      </c>
      <c r="B520">
        <v>45946.225914351853</v>
      </c>
      <c r="C520">
        <v>91156</v>
      </c>
      <c r="D520" t="s">
        <v>563</v>
      </c>
      <c r="E520">
        <v>4500278</v>
      </c>
      <c r="F520">
        <v>156316</v>
      </c>
      <c r="G520" t="s">
        <v>899</v>
      </c>
      <c r="H520" t="s">
        <v>1002</v>
      </c>
      <c r="I520">
        <v>14</v>
      </c>
      <c r="J520" t="b">
        <v>1</v>
      </c>
      <c r="K520">
        <v>3.5</v>
      </c>
      <c r="L520">
        <v>156315</v>
      </c>
      <c r="M520" t="s">
        <v>901</v>
      </c>
      <c r="N520">
        <v>4</v>
      </c>
      <c r="O520">
        <v>4</v>
      </c>
      <c r="P520"/>
      <c r="Q520">
        <v>134905</v>
      </c>
      <c r="R520">
        <v>1</v>
      </c>
      <c r="S520" t="s">
        <v>40</v>
      </c>
      <c r="T520">
        <v>261</v>
      </c>
      <c r="U520">
        <v>147664</v>
      </c>
      <c r="V520">
        <v>24</v>
      </c>
      <c r="W520" t="s">
        <v>40</v>
      </c>
      <c r="X520">
        <v>261</v>
      </c>
      <c r="Y520" t="s">
        <v>377</v>
      </c>
      <c r="Z520" t="s">
        <v>378</v>
      </c>
      <c r="AA520" t="s">
        <v>379</v>
      </c>
      <c r="AB520" t="s">
        <v>384</v>
      </c>
      <c r="AC520" t="s">
        <v>41</v>
      </c>
      <c r="AD520" t="s">
        <v>41</v>
      </c>
      <c r="AE520" t="s">
        <v>41</v>
      </c>
      <c r="AF520" t="s">
        <v>41</v>
      </c>
      <c r="AK520"/>
    </row>
    <row r="521" spans="1:37" x14ac:dyDescent="0.25">
      <c r="A521" t="s">
        <v>39</v>
      </c>
      <c r="B521">
        <v>45946.323518518519</v>
      </c>
      <c r="C521">
        <v>91710</v>
      </c>
      <c r="D521" t="s">
        <v>646</v>
      </c>
      <c r="E521">
        <v>4500353</v>
      </c>
      <c r="F521">
        <v>2304754</v>
      </c>
      <c r="G521" t="s">
        <v>381</v>
      </c>
      <c r="H521" t="s">
        <v>927</v>
      </c>
      <c r="I521">
        <v>14</v>
      </c>
      <c r="J521" t="b">
        <v>1</v>
      </c>
      <c r="K521">
        <v>1.75</v>
      </c>
      <c r="L521">
        <v>2304755</v>
      </c>
      <c r="M521" t="s">
        <v>383</v>
      </c>
      <c r="N521">
        <v>8</v>
      </c>
      <c r="O521">
        <v>8</v>
      </c>
      <c r="P521"/>
      <c r="Q521">
        <v>134905</v>
      </c>
      <c r="R521">
        <v>2</v>
      </c>
      <c r="S521" t="s">
        <v>40</v>
      </c>
      <c r="T521">
        <v>261</v>
      </c>
      <c r="U521">
        <v>147664</v>
      </c>
      <c r="V521">
        <v>48</v>
      </c>
      <c r="W521" t="s">
        <v>40</v>
      </c>
      <c r="X521">
        <v>261</v>
      </c>
      <c r="Y521" t="s">
        <v>377</v>
      </c>
      <c r="Z521" t="s">
        <v>378</v>
      </c>
      <c r="AA521" t="s">
        <v>384</v>
      </c>
      <c r="AB521" t="s">
        <v>384</v>
      </c>
      <c r="AC521" t="s">
        <v>41</v>
      </c>
      <c r="AD521" t="s">
        <v>41</v>
      </c>
      <c r="AE521" t="s">
        <v>41</v>
      </c>
      <c r="AF521" t="s">
        <v>41</v>
      </c>
      <c r="AK521"/>
    </row>
    <row r="522" spans="1:37" x14ac:dyDescent="0.25">
      <c r="A522" t="s">
        <v>43</v>
      </c>
      <c r="B522">
        <v>45946.34542824074</v>
      </c>
      <c r="C522">
        <v>91914</v>
      </c>
      <c r="D522" t="s">
        <v>646</v>
      </c>
      <c r="E522">
        <v>4500209</v>
      </c>
      <c r="F522">
        <v>2104880</v>
      </c>
      <c r="G522" t="s">
        <v>577</v>
      </c>
      <c r="H522" t="s">
        <v>1003</v>
      </c>
      <c r="I522">
        <v>10</v>
      </c>
      <c r="J522" t="b">
        <v>1</v>
      </c>
      <c r="K522">
        <v>2</v>
      </c>
      <c r="L522">
        <v>2106200</v>
      </c>
      <c r="M522" t="s">
        <v>579</v>
      </c>
      <c r="N522">
        <v>5</v>
      </c>
      <c r="O522">
        <v>9</v>
      </c>
      <c r="P522"/>
      <c r="Q522">
        <v>134905</v>
      </c>
      <c r="R522">
        <v>1</v>
      </c>
      <c r="S522" t="s">
        <v>40</v>
      </c>
      <c r="T522">
        <v>261</v>
      </c>
      <c r="U522">
        <v>147664</v>
      </c>
      <c r="V522">
        <v>24</v>
      </c>
      <c r="W522" t="s">
        <v>40</v>
      </c>
      <c r="X522">
        <v>261</v>
      </c>
      <c r="Y522" t="s">
        <v>377</v>
      </c>
      <c r="Z522" t="s">
        <v>378</v>
      </c>
      <c r="AA522" t="s">
        <v>379</v>
      </c>
      <c r="AB522" t="s">
        <v>559</v>
      </c>
      <c r="AC522" t="s">
        <v>41</v>
      </c>
      <c r="AD522" t="s">
        <v>41</v>
      </c>
      <c r="AE522" t="s">
        <v>41</v>
      </c>
      <c r="AF522" t="s">
        <v>41</v>
      </c>
      <c r="AK522"/>
    </row>
    <row r="523" spans="1:37" x14ac:dyDescent="0.25">
      <c r="A523" t="s">
        <v>43</v>
      </c>
      <c r="B523">
        <v>45946.346712962964</v>
      </c>
      <c r="C523">
        <v>9191</v>
      </c>
      <c r="D523" t="s">
        <v>646</v>
      </c>
      <c r="E523">
        <v>4500208</v>
      </c>
      <c r="F523">
        <v>2104880</v>
      </c>
      <c r="G523" t="s">
        <v>577</v>
      </c>
      <c r="H523" t="s">
        <v>1003</v>
      </c>
      <c r="I523">
        <v>0</v>
      </c>
      <c r="J523" t="b">
        <v>1</v>
      </c>
      <c r="K523">
        <v>0</v>
      </c>
      <c r="L523">
        <v>2106200</v>
      </c>
      <c r="M523" t="s">
        <v>579</v>
      </c>
      <c r="N523">
        <v>4</v>
      </c>
      <c r="O523">
        <v>4</v>
      </c>
      <c r="P523"/>
      <c r="Q523">
        <v>134905</v>
      </c>
      <c r="R523">
        <v>1</v>
      </c>
      <c r="S523" t="s">
        <v>40</v>
      </c>
      <c r="T523">
        <v>261</v>
      </c>
      <c r="U523">
        <v>147664</v>
      </c>
      <c r="V523">
        <v>24</v>
      </c>
      <c r="W523" t="s">
        <v>40</v>
      </c>
      <c r="X523">
        <v>261</v>
      </c>
      <c r="Y523" t="s">
        <v>377</v>
      </c>
      <c r="Z523" t="s">
        <v>378</v>
      </c>
      <c r="AA523" t="s">
        <v>379</v>
      </c>
      <c r="AB523" t="s">
        <v>384</v>
      </c>
      <c r="AC523" t="s">
        <v>41</v>
      </c>
      <c r="AD523" t="s">
        <v>41</v>
      </c>
      <c r="AE523" t="s">
        <v>41</v>
      </c>
      <c r="AF523" t="s">
        <v>41</v>
      </c>
      <c r="AK523"/>
    </row>
    <row r="524" spans="1:37" x14ac:dyDescent="0.25">
      <c r="A524" t="s">
        <v>38</v>
      </c>
      <c r="B524">
        <v>45946.417326388888</v>
      </c>
      <c r="C524">
        <v>90435</v>
      </c>
      <c r="D524" t="s">
        <v>646</v>
      </c>
      <c r="E524">
        <v>4496387</v>
      </c>
      <c r="F524">
        <v>105457</v>
      </c>
      <c r="G524" t="s">
        <v>974</v>
      </c>
      <c r="H524" t="s">
        <v>826</v>
      </c>
      <c r="I524">
        <v>10</v>
      </c>
      <c r="J524" t="b">
        <v>1</v>
      </c>
      <c r="K524">
        <v>0.83333333333333337</v>
      </c>
      <c r="L524">
        <v>2106231</v>
      </c>
      <c r="M524" t="s">
        <v>975</v>
      </c>
      <c r="N524">
        <v>12</v>
      </c>
      <c r="O524">
        <v>12</v>
      </c>
      <c r="P524"/>
      <c r="Q524">
        <v>134905</v>
      </c>
      <c r="R524">
        <v>2</v>
      </c>
      <c r="S524" t="s">
        <v>40</v>
      </c>
      <c r="T524">
        <v>261</v>
      </c>
      <c r="U524">
        <v>147664</v>
      </c>
      <c r="V524">
        <v>48</v>
      </c>
      <c r="W524" t="s">
        <v>40</v>
      </c>
      <c r="X524">
        <v>261</v>
      </c>
      <c r="Y524" t="s">
        <v>377</v>
      </c>
      <c r="Z524" t="s">
        <v>378</v>
      </c>
      <c r="AA524" t="s">
        <v>379</v>
      </c>
      <c r="AB524" t="s">
        <v>400</v>
      </c>
      <c r="AC524" t="s">
        <v>379</v>
      </c>
      <c r="AD524" t="s">
        <v>384</v>
      </c>
      <c r="AE524" t="s">
        <v>41</v>
      </c>
      <c r="AF524" t="s">
        <v>41</v>
      </c>
      <c r="AK524"/>
    </row>
    <row r="525" spans="1:37" x14ac:dyDescent="0.25">
      <c r="A525" t="s">
        <v>42</v>
      </c>
      <c r="B525">
        <v>45946.49423611111</v>
      </c>
      <c r="C525">
        <v>92421</v>
      </c>
      <c r="D525" t="s">
        <v>646</v>
      </c>
      <c r="E525">
        <v>4494328</v>
      </c>
      <c r="F525">
        <v>133947</v>
      </c>
      <c r="G525" t="s">
        <v>442</v>
      </c>
      <c r="H525" t="s">
        <v>1004</v>
      </c>
      <c r="I525">
        <v>3</v>
      </c>
      <c r="J525" t="b">
        <v>1</v>
      </c>
      <c r="K525">
        <v>9.8684210526315784E-3</v>
      </c>
      <c r="L525">
        <v>133948</v>
      </c>
      <c r="M525" t="s">
        <v>443</v>
      </c>
      <c r="N525">
        <v>304</v>
      </c>
      <c r="O525">
        <v>304</v>
      </c>
      <c r="P525" t="s">
        <v>423</v>
      </c>
      <c r="Q525">
        <v>0</v>
      </c>
      <c r="R525">
        <v>0</v>
      </c>
      <c r="S525" t="s">
        <v>40</v>
      </c>
      <c r="T525">
        <v>261</v>
      </c>
      <c r="W525"/>
      <c r="Y525" t="s">
        <v>377</v>
      </c>
      <c r="Z525" t="s">
        <v>378</v>
      </c>
      <c r="AA525" t="s">
        <v>379</v>
      </c>
      <c r="AB525" t="s">
        <v>1005</v>
      </c>
      <c r="AC525" t="s">
        <v>41</v>
      </c>
      <c r="AD525" t="s">
        <v>41</v>
      </c>
      <c r="AE525" t="s">
        <v>41</v>
      </c>
      <c r="AF525" t="s">
        <v>41</v>
      </c>
      <c r="AK525"/>
    </row>
    <row r="526" spans="1:37" x14ac:dyDescent="0.25">
      <c r="A526" t="s">
        <v>37</v>
      </c>
      <c r="B526">
        <v>45946.538310185184</v>
      </c>
      <c r="C526">
        <v>92422</v>
      </c>
      <c r="D526" t="s">
        <v>646</v>
      </c>
      <c r="E526">
        <v>4487419</v>
      </c>
      <c r="F526">
        <v>104014</v>
      </c>
      <c r="G526" t="s">
        <v>610</v>
      </c>
      <c r="H526" t="s">
        <v>924</v>
      </c>
      <c r="I526">
        <v>3</v>
      </c>
      <c r="J526" t="b">
        <v>1</v>
      </c>
      <c r="K526">
        <v>1.2448132780082987E-2</v>
      </c>
      <c r="L526">
        <v>104015</v>
      </c>
      <c r="M526" t="s">
        <v>611</v>
      </c>
      <c r="N526">
        <v>241</v>
      </c>
      <c r="O526">
        <v>241</v>
      </c>
      <c r="P526" t="s">
        <v>423</v>
      </c>
      <c r="Q526">
        <v>0</v>
      </c>
      <c r="R526">
        <v>0</v>
      </c>
      <c r="S526" t="s">
        <v>40</v>
      </c>
      <c r="T526">
        <v>261</v>
      </c>
      <c r="W526"/>
      <c r="Y526" t="s">
        <v>377</v>
      </c>
      <c r="Z526" t="s">
        <v>378</v>
      </c>
      <c r="AA526" t="s">
        <v>379</v>
      </c>
      <c r="AB526" t="s">
        <v>1006</v>
      </c>
      <c r="AC526" t="s">
        <v>41</v>
      </c>
      <c r="AD526" t="s">
        <v>41</v>
      </c>
      <c r="AE526" t="s">
        <v>41</v>
      </c>
      <c r="AF526" t="s">
        <v>41</v>
      </c>
      <c r="AK526"/>
    </row>
    <row r="527" spans="1:37" x14ac:dyDescent="0.25">
      <c r="A527" t="s">
        <v>39</v>
      </c>
      <c r="B527">
        <v>45946.654629629629</v>
      </c>
      <c r="C527">
        <v>91777</v>
      </c>
      <c r="D527" t="s">
        <v>646</v>
      </c>
      <c r="E527">
        <v>4496430</v>
      </c>
      <c r="F527">
        <v>2104551</v>
      </c>
      <c r="G527" t="s">
        <v>1007</v>
      </c>
      <c r="H527" t="s">
        <v>930</v>
      </c>
      <c r="I527">
        <v>3</v>
      </c>
      <c r="J527" t="b">
        <v>1</v>
      </c>
      <c r="K527">
        <v>0.11538461538461539</v>
      </c>
      <c r="L527">
        <v>2105909</v>
      </c>
      <c r="M527" t="s">
        <v>1008</v>
      </c>
      <c r="N527">
        <v>26</v>
      </c>
      <c r="O527">
        <v>24</v>
      </c>
      <c r="P527"/>
      <c r="Q527">
        <v>134976</v>
      </c>
      <c r="R527">
        <v>1</v>
      </c>
      <c r="S527" t="s">
        <v>40</v>
      </c>
      <c r="T527">
        <v>261</v>
      </c>
      <c r="W527"/>
      <c r="Y527" t="s">
        <v>377</v>
      </c>
      <c r="Z527" t="s">
        <v>378</v>
      </c>
      <c r="AA527" t="s">
        <v>379</v>
      </c>
      <c r="AB527" t="s">
        <v>1009</v>
      </c>
      <c r="AC527" t="s">
        <v>41</v>
      </c>
      <c r="AD527" t="s">
        <v>41</v>
      </c>
      <c r="AE527" t="s">
        <v>41</v>
      </c>
      <c r="AF527" t="s">
        <v>41</v>
      </c>
      <c r="AK527"/>
    </row>
    <row r="528" spans="1:37" x14ac:dyDescent="0.25">
      <c r="A528" t="s">
        <v>39</v>
      </c>
      <c r="B528">
        <v>45946.657025462962</v>
      </c>
      <c r="C528">
        <v>91776</v>
      </c>
      <c r="D528" t="s">
        <v>646</v>
      </c>
      <c r="E528">
        <v>4496431</v>
      </c>
      <c r="F528">
        <v>2104551</v>
      </c>
      <c r="G528" t="s">
        <v>1007</v>
      </c>
      <c r="H528" t="s">
        <v>979</v>
      </c>
      <c r="I528">
        <v>0</v>
      </c>
      <c r="J528" t="b">
        <v>1</v>
      </c>
      <c r="K528">
        <v>0</v>
      </c>
      <c r="L528">
        <v>2105909</v>
      </c>
      <c r="M528" t="s">
        <v>1008</v>
      </c>
      <c r="N528">
        <v>26</v>
      </c>
      <c r="O528">
        <v>24</v>
      </c>
      <c r="P528"/>
      <c r="Q528">
        <v>134976</v>
      </c>
      <c r="R528">
        <v>1</v>
      </c>
      <c r="S528" t="s">
        <v>40</v>
      </c>
      <c r="T528">
        <v>261</v>
      </c>
      <c r="W528"/>
      <c r="Y528" t="s">
        <v>377</v>
      </c>
      <c r="Z528" t="s">
        <v>378</v>
      </c>
      <c r="AA528" t="s">
        <v>379</v>
      </c>
      <c r="AB528" t="s">
        <v>1009</v>
      </c>
      <c r="AC528" t="s">
        <v>41</v>
      </c>
      <c r="AD528" t="s">
        <v>41</v>
      </c>
      <c r="AE528" t="s">
        <v>41</v>
      </c>
      <c r="AF528" t="s">
        <v>41</v>
      </c>
      <c r="AK528"/>
    </row>
    <row r="529" spans="1:38" x14ac:dyDescent="0.25">
      <c r="A529" t="s">
        <v>45</v>
      </c>
      <c r="B529">
        <v>45946.680474537039</v>
      </c>
      <c r="C529">
        <v>91775</v>
      </c>
      <c r="D529" t="s">
        <v>646</v>
      </c>
      <c r="E529">
        <v>4483521</v>
      </c>
      <c r="F529">
        <v>2303979</v>
      </c>
      <c r="G529" t="s">
        <v>1010</v>
      </c>
      <c r="H529" t="s">
        <v>930</v>
      </c>
      <c r="I529">
        <v>2.5</v>
      </c>
      <c r="J529" t="b">
        <v>1</v>
      </c>
      <c r="K529">
        <v>1.2254901960784314E-2</v>
      </c>
      <c r="L529">
        <v>2304040</v>
      </c>
      <c r="M529" t="s">
        <v>1011</v>
      </c>
      <c r="N529">
        <v>204</v>
      </c>
      <c r="O529">
        <v>224</v>
      </c>
      <c r="P529"/>
      <c r="Q529">
        <v>134974</v>
      </c>
      <c r="R529">
        <v>2</v>
      </c>
      <c r="S529" t="s">
        <v>40</v>
      </c>
      <c r="T529">
        <v>261</v>
      </c>
      <c r="W529"/>
      <c r="Y529" t="s">
        <v>377</v>
      </c>
      <c r="Z529" t="s">
        <v>378</v>
      </c>
      <c r="AA529" t="s">
        <v>379</v>
      </c>
      <c r="AB529" t="s">
        <v>633</v>
      </c>
      <c r="AC529" t="s">
        <v>379</v>
      </c>
      <c r="AD529" t="s">
        <v>1012</v>
      </c>
      <c r="AE529" t="s">
        <v>41</v>
      </c>
      <c r="AF529" t="s">
        <v>41</v>
      </c>
      <c r="AK529"/>
    </row>
    <row r="530" spans="1:38" x14ac:dyDescent="0.25">
      <c r="A530" t="s">
        <v>42</v>
      </c>
      <c r="B530">
        <v>45947.043900462966</v>
      </c>
      <c r="C530">
        <v>91916</v>
      </c>
      <c r="D530" t="s">
        <v>682</v>
      </c>
      <c r="E530">
        <v>4499764</v>
      </c>
      <c r="F530">
        <v>117619</v>
      </c>
      <c r="G530" t="s">
        <v>788</v>
      </c>
      <c r="H530" t="s">
        <v>1013</v>
      </c>
      <c r="I530">
        <v>10</v>
      </c>
      <c r="J530" t="b">
        <v>0</v>
      </c>
      <c r="K530">
        <v>1.25</v>
      </c>
      <c r="L530">
        <v>117620</v>
      </c>
      <c r="M530" t="s">
        <v>789</v>
      </c>
      <c r="N530">
        <v>8</v>
      </c>
      <c r="O530">
        <v>8</v>
      </c>
      <c r="P530" t="s">
        <v>1014</v>
      </c>
      <c r="Q530">
        <v>134971</v>
      </c>
      <c r="R530">
        <v>1</v>
      </c>
      <c r="S530" t="s">
        <v>40</v>
      </c>
      <c r="T530">
        <v>261</v>
      </c>
      <c r="U530">
        <v>147664</v>
      </c>
      <c r="V530">
        <v>48</v>
      </c>
      <c r="W530" t="s">
        <v>40</v>
      </c>
      <c r="X530">
        <v>261</v>
      </c>
      <c r="Y530" t="s">
        <v>377</v>
      </c>
      <c r="Z530" t="s">
        <v>378</v>
      </c>
      <c r="AA530" t="s">
        <v>379</v>
      </c>
      <c r="AB530" t="s">
        <v>622</v>
      </c>
      <c r="AC530" t="s">
        <v>379</v>
      </c>
      <c r="AD530" t="s">
        <v>384</v>
      </c>
      <c r="AE530" t="s">
        <v>379</v>
      </c>
      <c r="AF530" t="s">
        <v>525</v>
      </c>
      <c r="AI530">
        <v>134971</v>
      </c>
      <c r="AJ530">
        <v>1</v>
      </c>
      <c r="AK530" t="s">
        <v>40</v>
      </c>
      <c r="AL530">
        <v>261</v>
      </c>
    </row>
    <row r="531" spans="1:38" x14ac:dyDescent="0.25">
      <c r="A531" t="s">
        <v>44</v>
      </c>
      <c r="B531">
        <v>45947.126400462963</v>
      </c>
      <c r="C531">
        <v>92423</v>
      </c>
      <c r="D531" t="s">
        <v>682</v>
      </c>
      <c r="E531">
        <v>4493968</v>
      </c>
      <c r="F531">
        <v>2116419</v>
      </c>
      <c r="G531" t="s">
        <v>1015</v>
      </c>
      <c r="H531" t="s">
        <v>930</v>
      </c>
      <c r="I531">
        <v>1.5</v>
      </c>
      <c r="J531" t="b">
        <v>1</v>
      </c>
      <c r="K531">
        <v>4.5454545454545452E-3</v>
      </c>
      <c r="L531">
        <v>2117579</v>
      </c>
      <c r="M531" t="s">
        <v>1016</v>
      </c>
      <c r="N531">
        <v>330</v>
      </c>
      <c r="O531">
        <v>330</v>
      </c>
      <c r="P531"/>
      <c r="Q531">
        <v>134976</v>
      </c>
      <c r="R531">
        <v>1</v>
      </c>
      <c r="S531" t="s">
        <v>40</v>
      </c>
      <c r="T531">
        <v>261</v>
      </c>
      <c r="V531">
        <v>0</v>
      </c>
      <c r="W531"/>
      <c r="Y531" t="s">
        <v>377</v>
      </c>
      <c r="Z531" t="s">
        <v>378</v>
      </c>
      <c r="AA531" t="s">
        <v>379</v>
      </c>
      <c r="AB531" t="s">
        <v>777</v>
      </c>
      <c r="AC531" t="s">
        <v>379</v>
      </c>
      <c r="AD531" t="s">
        <v>585</v>
      </c>
      <c r="AE531" t="s">
        <v>41</v>
      </c>
      <c r="AF531" t="s">
        <v>41</v>
      </c>
      <c r="AI531">
        <v>134976</v>
      </c>
      <c r="AJ531">
        <v>1</v>
      </c>
      <c r="AK531" t="s">
        <v>40</v>
      </c>
      <c r="AL531">
        <v>261</v>
      </c>
    </row>
    <row r="532" spans="1:38" x14ac:dyDescent="0.25">
      <c r="A532" t="s">
        <v>43</v>
      </c>
      <c r="B532">
        <v>45947.175798611112</v>
      </c>
      <c r="C532">
        <v>91157</v>
      </c>
      <c r="D532" t="s">
        <v>682</v>
      </c>
      <c r="E532">
        <v>4500280</v>
      </c>
      <c r="F532">
        <v>156316</v>
      </c>
      <c r="G532" t="s">
        <v>899</v>
      </c>
      <c r="H532" t="s">
        <v>959</v>
      </c>
      <c r="I532">
        <v>14</v>
      </c>
      <c r="J532" t="b">
        <v>1</v>
      </c>
      <c r="K532">
        <v>1.75</v>
      </c>
      <c r="L532">
        <v>156315</v>
      </c>
      <c r="M532" t="s">
        <v>901</v>
      </c>
      <c r="N532">
        <v>8</v>
      </c>
      <c r="O532">
        <v>8</v>
      </c>
      <c r="P532" t="s">
        <v>1017</v>
      </c>
      <c r="Q532">
        <v>134905</v>
      </c>
      <c r="R532">
        <v>1</v>
      </c>
      <c r="S532" t="s">
        <v>40</v>
      </c>
      <c r="T532">
        <v>261</v>
      </c>
      <c r="U532">
        <v>147664</v>
      </c>
      <c r="V532">
        <v>48</v>
      </c>
      <c r="W532" t="s">
        <v>40</v>
      </c>
      <c r="X532">
        <v>261</v>
      </c>
      <c r="Y532" t="s">
        <v>377</v>
      </c>
      <c r="Z532" t="s">
        <v>378</v>
      </c>
      <c r="AA532" t="s">
        <v>379</v>
      </c>
      <c r="AB532" t="s">
        <v>384</v>
      </c>
      <c r="AC532" t="s">
        <v>379</v>
      </c>
      <c r="AD532" t="s">
        <v>622</v>
      </c>
      <c r="AE532" t="s">
        <v>41</v>
      </c>
      <c r="AF532" t="s">
        <v>41</v>
      </c>
      <c r="AI532">
        <v>134905</v>
      </c>
      <c r="AJ532">
        <v>1</v>
      </c>
      <c r="AK532" t="s">
        <v>40</v>
      </c>
      <c r="AL532">
        <v>261</v>
      </c>
    </row>
    <row r="533" spans="1:38" x14ac:dyDescent="0.25">
      <c r="A533" t="s">
        <v>38</v>
      </c>
      <c r="B533">
        <v>45947.223541666666</v>
      </c>
      <c r="C533">
        <v>90436</v>
      </c>
      <c r="D533" t="s">
        <v>682</v>
      </c>
      <c r="E533">
        <v>4496390</v>
      </c>
      <c r="F533">
        <v>105457</v>
      </c>
      <c r="G533" t="s">
        <v>974</v>
      </c>
      <c r="H533" t="s">
        <v>663</v>
      </c>
      <c r="I533">
        <v>10</v>
      </c>
      <c r="J533" t="b">
        <v>1</v>
      </c>
      <c r="K533">
        <v>0.83333333333333337</v>
      </c>
      <c r="L533">
        <v>2106231</v>
      </c>
      <c r="M533" t="s">
        <v>975</v>
      </c>
      <c r="N533">
        <v>12</v>
      </c>
      <c r="O533">
        <v>12</v>
      </c>
      <c r="P533"/>
      <c r="Q533">
        <v>134905</v>
      </c>
      <c r="R533">
        <v>1</v>
      </c>
      <c r="S533" t="s">
        <v>40</v>
      </c>
      <c r="T533">
        <v>261</v>
      </c>
      <c r="U533">
        <v>147664</v>
      </c>
      <c r="V533">
        <v>48</v>
      </c>
      <c r="W533" t="s">
        <v>40</v>
      </c>
      <c r="X533">
        <v>261</v>
      </c>
      <c r="Y533" t="s">
        <v>377</v>
      </c>
      <c r="Z533" t="s">
        <v>378</v>
      </c>
      <c r="AA533" t="s">
        <v>379</v>
      </c>
      <c r="AB533" t="s">
        <v>400</v>
      </c>
      <c r="AC533" t="s">
        <v>379</v>
      </c>
      <c r="AD533" t="s">
        <v>384</v>
      </c>
      <c r="AE533" t="s">
        <v>41</v>
      </c>
      <c r="AF533" t="s">
        <v>41</v>
      </c>
      <c r="AI533">
        <v>134905</v>
      </c>
      <c r="AJ533">
        <v>1</v>
      </c>
      <c r="AK533" t="s">
        <v>40</v>
      </c>
      <c r="AL533">
        <v>261</v>
      </c>
    </row>
    <row r="534" spans="1:38" x14ac:dyDescent="0.25">
      <c r="A534" t="s">
        <v>48</v>
      </c>
      <c r="B534">
        <v>45947.392141203702</v>
      </c>
      <c r="C534">
        <v>91918</v>
      </c>
      <c r="D534" t="s">
        <v>866</v>
      </c>
      <c r="E534">
        <v>4499768</v>
      </c>
      <c r="F534">
        <v>117620</v>
      </c>
      <c r="G534" t="s">
        <v>789</v>
      </c>
      <c r="H534" t="s">
        <v>1018</v>
      </c>
      <c r="I534">
        <v>10</v>
      </c>
      <c r="J534" t="b">
        <v>1</v>
      </c>
      <c r="K534">
        <v>1.25</v>
      </c>
      <c r="L534">
        <v>117620</v>
      </c>
      <c r="M534" t="s">
        <v>789</v>
      </c>
      <c r="N534">
        <v>8</v>
      </c>
      <c r="O534">
        <v>8</v>
      </c>
      <c r="P534"/>
      <c r="Q534">
        <v>134907</v>
      </c>
      <c r="R534">
        <v>1</v>
      </c>
      <c r="S534" t="s">
        <v>40</v>
      </c>
      <c r="T534">
        <v>261</v>
      </c>
      <c r="U534">
        <v>147664</v>
      </c>
      <c r="V534">
        <v>48</v>
      </c>
      <c r="W534" t="s">
        <v>40</v>
      </c>
      <c r="X534">
        <v>261</v>
      </c>
      <c r="Y534" t="s">
        <v>377</v>
      </c>
      <c r="Z534" t="s">
        <v>378</v>
      </c>
      <c r="AA534" t="s">
        <v>379</v>
      </c>
      <c r="AB534" t="s">
        <v>384</v>
      </c>
      <c r="AC534" t="s">
        <v>379</v>
      </c>
      <c r="AD534" t="s">
        <v>384</v>
      </c>
      <c r="AE534" t="s">
        <v>41</v>
      </c>
      <c r="AF534" t="s">
        <v>41</v>
      </c>
      <c r="AI534">
        <v>134907</v>
      </c>
      <c r="AJ534">
        <v>1</v>
      </c>
      <c r="AK534" t="s">
        <v>40</v>
      </c>
      <c r="AL534">
        <v>261</v>
      </c>
    </row>
    <row r="535" spans="1:38" x14ac:dyDescent="0.25">
      <c r="A535" t="s">
        <v>37</v>
      </c>
      <c r="B535">
        <v>45947.591574074075</v>
      </c>
      <c r="C535">
        <v>92524</v>
      </c>
      <c r="D535" t="s">
        <v>866</v>
      </c>
      <c r="E535">
        <v>4488693</v>
      </c>
      <c r="F535">
        <v>2132436</v>
      </c>
      <c r="G535" t="s">
        <v>1019</v>
      </c>
      <c r="H535" t="s">
        <v>930</v>
      </c>
      <c r="I535">
        <v>19.5</v>
      </c>
      <c r="J535" t="b">
        <v>1</v>
      </c>
      <c r="K535">
        <v>0.27464788732394368</v>
      </c>
      <c r="L535">
        <v>2138127</v>
      </c>
      <c r="M535" t="s">
        <v>1020</v>
      </c>
      <c r="N535">
        <v>71</v>
      </c>
      <c r="O535">
        <v>71</v>
      </c>
      <c r="P535"/>
      <c r="Q535">
        <v>134976</v>
      </c>
      <c r="R535">
        <v>1</v>
      </c>
      <c r="S535" t="s">
        <v>40</v>
      </c>
      <c r="T535">
        <v>261</v>
      </c>
      <c r="W535"/>
      <c r="Y535" t="s">
        <v>377</v>
      </c>
      <c r="Z535" t="s">
        <v>378</v>
      </c>
      <c r="AA535" t="s">
        <v>379</v>
      </c>
      <c r="AB535" t="s">
        <v>1021</v>
      </c>
      <c r="AC535" t="s">
        <v>41</v>
      </c>
      <c r="AD535" t="s">
        <v>41</v>
      </c>
      <c r="AE535" t="s">
        <v>41</v>
      </c>
      <c r="AF535" t="s">
        <v>41</v>
      </c>
      <c r="AK535"/>
    </row>
    <row r="536" spans="1:38" x14ac:dyDescent="0.25">
      <c r="A536" t="s">
        <v>37</v>
      </c>
      <c r="B536">
        <v>45947.595069444447</v>
      </c>
      <c r="C536">
        <v>92525</v>
      </c>
      <c r="D536" t="s">
        <v>866</v>
      </c>
      <c r="E536">
        <v>4499989</v>
      </c>
      <c r="F536">
        <v>2104604</v>
      </c>
      <c r="G536" t="s">
        <v>1022</v>
      </c>
      <c r="H536" t="s">
        <v>924</v>
      </c>
      <c r="I536">
        <v>19.5</v>
      </c>
      <c r="J536" t="b">
        <v>1</v>
      </c>
      <c r="K536">
        <v>0.17727272727272728</v>
      </c>
      <c r="L536">
        <v>2105954</v>
      </c>
      <c r="M536" t="s">
        <v>1023</v>
      </c>
      <c r="N536">
        <v>110</v>
      </c>
      <c r="O536">
        <v>110</v>
      </c>
      <c r="P536"/>
      <c r="Q536">
        <v>134976</v>
      </c>
      <c r="R536">
        <v>1</v>
      </c>
      <c r="S536" t="s">
        <v>40</v>
      </c>
      <c r="T536">
        <v>261</v>
      </c>
      <c r="W536"/>
      <c r="Y536" t="s">
        <v>377</v>
      </c>
      <c r="Z536" t="s">
        <v>378</v>
      </c>
      <c r="AA536" t="s">
        <v>379</v>
      </c>
      <c r="AB536" t="s">
        <v>573</v>
      </c>
      <c r="AC536" t="s">
        <v>41</v>
      </c>
      <c r="AD536" t="s">
        <v>41</v>
      </c>
      <c r="AE536" t="s">
        <v>41</v>
      </c>
      <c r="AF536" t="s">
        <v>41</v>
      </c>
      <c r="AK536"/>
    </row>
    <row r="537" spans="1:38" x14ac:dyDescent="0.25">
      <c r="A537" t="s">
        <v>43</v>
      </c>
      <c r="B537">
        <v>45947.609722222223</v>
      </c>
      <c r="C537">
        <v>92426</v>
      </c>
      <c r="D537" t="s">
        <v>866</v>
      </c>
      <c r="E537">
        <v>4499491</v>
      </c>
      <c r="F537">
        <v>2105170</v>
      </c>
      <c r="G537" t="s">
        <v>630</v>
      </c>
      <c r="H537" t="s">
        <v>979</v>
      </c>
      <c r="I537">
        <v>2.5</v>
      </c>
      <c r="J537" t="b">
        <v>1</v>
      </c>
      <c r="K537">
        <v>1.5723270440251572E-2</v>
      </c>
      <c r="L537">
        <v>2106456</v>
      </c>
      <c r="M537" t="s">
        <v>631</v>
      </c>
      <c r="N537">
        <v>159</v>
      </c>
      <c r="O537">
        <v>159</v>
      </c>
      <c r="P537"/>
      <c r="Q537">
        <v>134976</v>
      </c>
      <c r="R537">
        <v>1</v>
      </c>
      <c r="S537" t="s">
        <v>40</v>
      </c>
      <c r="T537">
        <v>261</v>
      </c>
      <c r="W537"/>
      <c r="Y537" t="s">
        <v>377</v>
      </c>
      <c r="Z537" t="s">
        <v>378</v>
      </c>
      <c r="AA537" t="s">
        <v>379</v>
      </c>
      <c r="AB537" t="s">
        <v>1024</v>
      </c>
      <c r="AC537" t="s">
        <v>41</v>
      </c>
      <c r="AD537" t="s">
        <v>41</v>
      </c>
      <c r="AE537" t="s">
        <v>41</v>
      </c>
      <c r="AF537" t="s">
        <v>41</v>
      </c>
      <c r="AK537"/>
    </row>
    <row r="538" spans="1:38" x14ac:dyDescent="0.25">
      <c r="A538" t="s">
        <v>47</v>
      </c>
      <c r="B538">
        <v>45947.998391203706</v>
      </c>
      <c r="C538">
        <v>92523</v>
      </c>
      <c r="D538" t="s">
        <v>1025</v>
      </c>
      <c r="E538">
        <v>4496892</v>
      </c>
      <c r="F538">
        <v>2104713</v>
      </c>
      <c r="G538" t="s">
        <v>1026</v>
      </c>
      <c r="H538" t="s">
        <v>951</v>
      </c>
      <c r="I538">
        <v>28.5</v>
      </c>
      <c r="J538" t="b">
        <v>1</v>
      </c>
      <c r="K538">
        <v>0.13013698630136986</v>
      </c>
      <c r="L538">
        <v>2106039</v>
      </c>
      <c r="M538" t="s">
        <v>1027</v>
      </c>
      <c r="N538">
        <v>219</v>
      </c>
      <c r="O538">
        <v>212</v>
      </c>
      <c r="P538"/>
      <c r="Q538">
        <v>134976</v>
      </c>
      <c r="R538">
        <v>1</v>
      </c>
      <c r="S538" t="s">
        <v>40</v>
      </c>
      <c r="T538">
        <v>261</v>
      </c>
      <c r="W538"/>
      <c r="Y538" t="s">
        <v>377</v>
      </c>
      <c r="Z538" t="s">
        <v>378</v>
      </c>
      <c r="AA538" t="s">
        <v>379</v>
      </c>
      <c r="AB538" t="s">
        <v>1028</v>
      </c>
      <c r="AC538" t="s">
        <v>41</v>
      </c>
      <c r="AD538" t="s">
        <v>41</v>
      </c>
      <c r="AE538" t="s">
        <v>41</v>
      </c>
      <c r="AF538" t="s">
        <v>41</v>
      </c>
      <c r="AK538"/>
    </row>
    <row r="539" spans="1:38" x14ac:dyDescent="0.25">
      <c r="A539" t="s">
        <v>47</v>
      </c>
      <c r="B539">
        <v>45948.000381944446</v>
      </c>
      <c r="C539">
        <v>92522</v>
      </c>
      <c r="D539" t="s">
        <v>1025</v>
      </c>
      <c r="E539">
        <v>4483820</v>
      </c>
      <c r="F539">
        <v>116824</v>
      </c>
      <c r="G539" t="s">
        <v>1029</v>
      </c>
      <c r="H539" t="s">
        <v>930</v>
      </c>
      <c r="I539">
        <v>28.5</v>
      </c>
      <c r="J539" t="b">
        <v>1</v>
      </c>
      <c r="K539">
        <v>0.13073394495412843</v>
      </c>
      <c r="L539">
        <v>116825</v>
      </c>
      <c r="M539" t="s">
        <v>1030</v>
      </c>
      <c r="N539">
        <v>218</v>
      </c>
      <c r="O539">
        <v>216</v>
      </c>
      <c r="P539"/>
      <c r="Q539">
        <v>134976</v>
      </c>
      <c r="R539">
        <v>1</v>
      </c>
      <c r="S539" t="s">
        <v>40</v>
      </c>
      <c r="T539">
        <v>261</v>
      </c>
      <c r="W539"/>
      <c r="Y539" t="s">
        <v>377</v>
      </c>
      <c r="Z539" t="s">
        <v>378</v>
      </c>
      <c r="AA539" t="s">
        <v>379</v>
      </c>
      <c r="AB539" t="s">
        <v>1031</v>
      </c>
      <c r="AC539" t="s">
        <v>41</v>
      </c>
      <c r="AD539" t="s">
        <v>41</v>
      </c>
      <c r="AE539" t="s">
        <v>41</v>
      </c>
      <c r="AF539" t="s">
        <v>41</v>
      </c>
      <c r="AK539"/>
    </row>
    <row r="540" spans="1:38" x14ac:dyDescent="0.25">
      <c r="A540" t="s">
        <v>38</v>
      </c>
      <c r="B540">
        <v>45948.039641203701</v>
      </c>
      <c r="C540">
        <v>89553</v>
      </c>
      <c r="D540" t="s">
        <v>1025</v>
      </c>
      <c r="E540">
        <v>4500040</v>
      </c>
      <c r="F540">
        <v>125658</v>
      </c>
      <c r="G540" t="s">
        <v>1032</v>
      </c>
      <c r="H540" t="s">
        <v>962</v>
      </c>
      <c r="I540">
        <v>10</v>
      </c>
      <c r="J540" t="b">
        <v>1</v>
      </c>
      <c r="K540">
        <v>0.83333333333333337</v>
      </c>
      <c r="L540">
        <v>125659</v>
      </c>
      <c r="M540" t="s">
        <v>1033</v>
      </c>
      <c r="N540">
        <v>12</v>
      </c>
      <c r="O540">
        <v>12</v>
      </c>
      <c r="P540"/>
      <c r="Q540">
        <v>134906</v>
      </c>
      <c r="R540">
        <v>2</v>
      </c>
      <c r="S540" t="s">
        <v>40</v>
      </c>
      <c r="T540">
        <v>261</v>
      </c>
      <c r="U540">
        <v>147664</v>
      </c>
      <c r="V540">
        <v>48</v>
      </c>
      <c r="W540" t="s">
        <v>40</v>
      </c>
      <c r="X540">
        <v>261</v>
      </c>
      <c r="Y540" t="s">
        <v>377</v>
      </c>
      <c r="Z540" t="s">
        <v>378</v>
      </c>
      <c r="AA540" t="s">
        <v>379</v>
      </c>
      <c r="AB540" t="s">
        <v>400</v>
      </c>
      <c r="AC540" t="s">
        <v>379</v>
      </c>
      <c r="AD540" t="s">
        <v>384</v>
      </c>
      <c r="AE540" t="s">
        <v>41</v>
      </c>
      <c r="AF540" t="s">
        <v>41</v>
      </c>
      <c r="AK540"/>
    </row>
    <row r="541" spans="1:38" x14ac:dyDescent="0.25">
      <c r="A541" t="s">
        <v>44</v>
      </c>
      <c r="B541">
        <v>45948.079791666663</v>
      </c>
      <c r="C541">
        <v>91158</v>
      </c>
      <c r="D541" t="s">
        <v>1025</v>
      </c>
      <c r="E541">
        <v>4500462</v>
      </c>
      <c r="F541">
        <v>156316</v>
      </c>
      <c r="G541" t="s">
        <v>899</v>
      </c>
      <c r="H541" t="s">
        <v>962</v>
      </c>
      <c r="I541">
        <v>7</v>
      </c>
      <c r="J541" t="b">
        <v>0</v>
      </c>
      <c r="K541">
        <v>1.75</v>
      </c>
      <c r="L541">
        <v>156315</v>
      </c>
      <c r="M541" t="s">
        <v>901</v>
      </c>
      <c r="N541">
        <v>4</v>
      </c>
      <c r="O541">
        <v>8</v>
      </c>
      <c r="P541"/>
      <c r="Q541">
        <v>134906</v>
      </c>
      <c r="R541">
        <v>1</v>
      </c>
      <c r="S541" t="s">
        <v>40</v>
      </c>
      <c r="T541">
        <v>261</v>
      </c>
      <c r="U541">
        <v>147664</v>
      </c>
      <c r="V541">
        <v>24</v>
      </c>
      <c r="W541" t="s">
        <v>40</v>
      </c>
      <c r="X541">
        <v>261</v>
      </c>
      <c r="Y541" t="s">
        <v>377</v>
      </c>
      <c r="Z541" t="s">
        <v>378</v>
      </c>
      <c r="AA541" t="s">
        <v>379</v>
      </c>
      <c r="AB541" t="s">
        <v>384</v>
      </c>
      <c r="AC541" t="s">
        <v>41</v>
      </c>
      <c r="AD541" t="s">
        <v>41</v>
      </c>
      <c r="AE541" t="s">
        <v>41</v>
      </c>
      <c r="AF541" t="s">
        <v>41</v>
      </c>
      <c r="AK541"/>
    </row>
    <row r="542" spans="1:38" x14ac:dyDescent="0.25">
      <c r="A542" t="s">
        <v>44</v>
      </c>
      <c r="B542">
        <v>45948.080925925926</v>
      </c>
      <c r="C542">
        <v>91158</v>
      </c>
      <c r="D542" t="s">
        <v>1025</v>
      </c>
      <c r="E542">
        <v>4500461</v>
      </c>
      <c r="F542">
        <v>156316</v>
      </c>
      <c r="G542" t="s">
        <v>899</v>
      </c>
      <c r="H542" t="s">
        <v>962</v>
      </c>
      <c r="I542">
        <v>7</v>
      </c>
      <c r="J542" t="b">
        <v>1</v>
      </c>
      <c r="K542">
        <v>1.75</v>
      </c>
      <c r="L542">
        <v>156315</v>
      </c>
      <c r="M542" t="s">
        <v>901</v>
      </c>
      <c r="N542">
        <v>4</v>
      </c>
      <c r="O542">
        <v>4</v>
      </c>
      <c r="P542"/>
      <c r="Q542">
        <v>134906</v>
      </c>
      <c r="R542">
        <v>1</v>
      </c>
      <c r="S542" t="s">
        <v>40</v>
      </c>
      <c r="T542">
        <v>261</v>
      </c>
      <c r="U542">
        <v>147664</v>
      </c>
      <c r="V542">
        <v>24</v>
      </c>
      <c r="W542" t="s">
        <v>40</v>
      </c>
      <c r="X542">
        <v>261</v>
      </c>
      <c r="Y542" t="s">
        <v>377</v>
      </c>
      <c r="Z542" t="s">
        <v>378</v>
      </c>
      <c r="AA542" t="s">
        <v>379</v>
      </c>
      <c r="AB542" t="s">
        <v>384</v>
      </c>
      <c r="AC542" t="s">
        <v>41</v>
      </c>
      <c r="AD542" t="s">
        <v>41</v>
      </c>
      <c r="AE542" t="s">
        <v>41</v>
      </c>
      <c r="AF542" t="s">
        <v>41</v>
      </c>
      <c r="AK542"/>
    </row>
    <row r="543" spans="1:38" x14ac:dyDescent="0.25">
      <c r="A543" t="s">
        <v>44</v>
      </c>
      <c r="B543">
        <v>45948.081516203703</v>
      </c>
      <c r="C543">
        <v>91158</v>
      </c>
      <c r="D543" t="s">
        <v>1025</v>
      </c>
      <c r="E543">
        <v>4500462</v>
      </c>
      <c r="F543">
        <v>156316</v>
      </c>
      <c r="G543" t="s">
        <v>899</v>
      </c>
      <c r="H543" t="s">
        <v>962</v>
      </c>
      <c r="I543">
        <v>7</v>
      </c>
      <c r="J543" t="b">
        <v>1</v>
      </c>
      <c r="K543">
        <v>1.75</v>
      </c>
      <c r="L543">
        <v>156315</v>
      </c>
      <c r="M543" t="s">
        <v>901</v>
      </c>
      <c r="N543">
        <v>4</v>
      </c>
      <c r="O543">
        <v>4</v>
      </c>
      <c r="P543"/>
      <c r="Q543">
        <v>134906</v>
      </c>
      <c r="R543">
        <v>1</v>
      </c>
      <c r="S543" t="s">
        <v>40</v>
      </c>
      <c r="T543">
        <v>261</v>
      </c>
      <c r="U543">
        <v>147664</v>
      </c>
      <c r="V543">
        <v>24</v>
      </c>
      <c r="W543" t="s">
        <v>40</v>
      </c>
      <c r="X543">
        <v>261</v>
      </c>
      <c r="Y543" t="s">
        <v>377</v>
      </c>
      <c r="Z543" t="s">
        <v>378</v>
      </c>
      <c r="AA543" t="s">
        <v>379</v>
      </c>
      <c r="AB543" t="s">
        <v>384</v>
      </c>
      <c r="AC543" t="s">
        <v>41</v>
      </c>
      <c r="AD543" t="s">
        <v>41</v>
      </c>
      <c r="AE543" t="s">
        <v>41</v>
      </c>
      <c r="AF543" t="s">
        <v>41</v>
      </c>
      <c r="AK543"/>
    </row>
    <row r="544" spans="1:38" x14ac:dyDescent="0.25">
      <c r="A544" t="s">
        <v>37</v>
      </c>
      <c r="B544">
        <v>45948.172175925924</v>
      </c>
      <c r="C544">
        <v>91920</v>
      </c>
      <c r="D544" t="s">
        <v>1025</v>
      </c>
      <c r="E544">
        <v>4499766</v>
      </c>
      <c r="F544">
        <v>117619</v>
      </c>
      <c r="G544" t="s">
        <v>788</v>
      </c>
      <c r="H544" t="s">
        <v>1034</v>
      </c>
      <c r="I544">
        <v>10</v>
      </c>
      <c r="J544" t="b">
        <v>1</v>
      </c>
      <c r="K544">
        <v>1.25</v>
      </c>
      <c r="L544">
        <v>117620</v>
      </c>
      <c r="M544" t="s">
        <v>789</v>
      </c>
      <c r="N544">
        <v>8</v>
      </c>
      <c r="O544">
        <v>8</v>
      </c>
      <c r="P544"/>
      <c r="Q544">
        <v>134907</v>
      </c>
      <c r="R544">
        <v>2</v>
      </c>
      <c r="S544" t="s">
        <v>40</v>
      </c>
      <c r="T544">
        <v>261</v>
      </c>
      <c r="U544">
        <v>147664</v>
      </c>
      <c r="V544">
        <v>48</v>
      </c>
      <c r="W544" t="s">
        <v>40</v>
      </c>
      <c r="X544">
        <v>261</v>
      </c>
      <c r="Y544" t="s">
        <v>377</v>
      </c>
      <c r="Z544" t="s">
        <v>378</v>
      </c>
      <c r="AA544" t="s">
        <v>384</v>
      </c>
      <c r="AB544" t="s">
        <v>384</v>
      </c>
      <c r="AC544" t="s">
        <v>41</v>
      </c>
      <c r="AD544" t="s">
        <v>41</v>
      </c>
      <c r="AE544" t="s">
        <v>41</v>
      </c>
      <c r="AF544" t="s">
        <v>41</v>
      </c>
      <c r="AK544"/>
    </row>
    <row r="545" spans="1:38" x14ac:dyDescent="0.25">
      <c r="A545" t="s">
        <v>39</v>
      </c>
      <c r="B545">
        <v>45948.173634259256</v>
      </c>
      <c r="C545">
        <v>90613</v>
      </c>
      <c r="D545" t="s">
        <v>1025</v>
      </c>
      <c r="E545">
        <v>4497413</v>
      </c>
      <c r="F545">
        <v>2310321</v>
      </c>
      <c r="G545" t="s">
        <v>1035</v>
      </c>
      <c r="H545" t="s">
        <v>930</v>
      </c>
      <c r="I545">
        <v>33</v>
      </c>
      <c r="J545" t="b">
        <v>1</v>
      </c>
      <c r="K545">
        <v>0.39285714285714285</v>
      </c>
      <c r="L545">
        <v>2310322</v>
      </c>
      <c r="M545" t="s">
        <v>1036</v>
      </c>
      <c r="N545">
        <v>84</v>
      </c>
      <c r="O545">
        <v>202</v>
      </c>
      <c r="P545"/>
      <c r="Q545">
        <v>0</v>
      </c>
      <c r="R545">
        <v>0</v>
      </c>
      <c r="S545" t="s">
        <v>40</v>
      </c>
      <c r="T545">
        <v>261</v>
      </c>
      <c r="W545"/>
      <c r="Y545" t="s">
        <v>377</v>
      </c>
      <c r="Z545" t="s">
        <v>378</v>
      </c>
      <c r="AA545" t="s">
        <v>379</v>
      </c>
      <c r="AB545" t="s">
        <v>444</v>
      </c>
      <c r="AC545" t="s">
        <v>41</v>
      </c>
      <c r="AD545" t="s">
        <v>41</v>
      </c>
      <c r="AE545" t="s">
        <v>41</v>
      </c>
      <c r="AF545" t="s">
        <v>41</v>
      </c>
      <c r="AK545"/>
    </row>
    <row r="546" spans="1:38" x14ac:dyDescent="0.25">
      <c r="A546" t="s">
        <v>45</v>
      </c>
      <c r="B546">
        <v>45948.341446759259</v>
      </c>
      <c r="C546">
        <v>90614</v>
      </c>
      <c r="D546" t="s">
        <v>889</v>
      </c>
      <c r="E546">
        <v>4497413</v>
      </c>
      <c r="F546">
        <v>2310321</v>
      </c>
      <c r="G546" t="s">
        <v>1035</v>
      </c>
      <c r="H546" t="s">
        <v>930</v>
      </c>
      <c r="I546">
        <v>33</v>
      </c>
      <c r="J546" t="b">
        <v>1</v>
      </c>
      <c r="K546">
        <v>0.39285714285714285</v>
      </c>
      <c r="L546">
        <v>2310322</v>
      </c>
      <c r="M546" t="s">
        <v>1036</v>
      </c>
      <c r="N546">
        <v>84</v>
      </c>
      <c r="O546">
        <v>0</v>
      </c>
      <c r="P546"/>
      <c r="Q546">
        <v>0</v>
      </c>
      <c r="R546">
        <v>0</v>
      </c>
      <c r="S546" t="s">
        <v>40</v>
      </c>
      <c r="T546">
        <v>261</v>
      </c>
      <c r="W546"/>
      <c r="Y546" t="s">
        <v>377</v>
      </c>
      <c r="Z546" t="s">
        <v>378</v>
      </c>
      <c r="AA546" t="s">
        <v>379</v>
      </c>
      <c r="AB546" t="s">
        <v>444</v>
      </c>
      <c r="AC546" t="s">
        <v>41</v>
      </c>
      <c r="AD546" t="s">
        <v>41</v>
      </c>
      <c r="AE546" t="s">
        <v>41</v>
      </c>
      <c r="AF546" t="s">
        <v>41</v>
      </c>
      <c r="AK546"/>
    </row>
    <row r="547" spans="1:38" x14ac:dyDescent="0.25">
      <c r="A547" t="s">
        <v>47</v>
      </c>
      <c r="B547">
        <v>45948.529317129629</v>
      </c>
      <c r="C547">
        <v>92427</v>
      </c>
      <c r="D547" t="s">
        <v>889</v>
      </c>
      <c r="E547">
        <v>4495389</v>
      </c>
      <c r="F547">
        <v>116242</v>
      </c>
      <c r="G547" t="s">
        <v>1037</v>
      </c>
      <c r="H547" t="s">
        <v>582</v>
      </c>
      <c r="I547">
        <v>5</v>
      </c>
      <c r="J547" t="b">
        <v>1</v>
      </c>
      <c r="K547">
        <v>0.02</v>
      </c>
      <c r="L547">
        <v>116244</v>
      </c>
      <c r="M547" t="s">
        <v>1038</v>
      </c>
      <c r="N547">
        <v>250</v>
      </c>
      <c r="O547">
        <v>225</v>
      </c>
      <c r="P547"/>
      <c r="Q547">
        <v>134976</v>
      </c>
      <c r="R547">
        <v>1</v>
      </c>
      <c r="S547" t="s">
        <v>40</v>
      </c>
      <c r="T547">
        <v>261</v>
      </c>
      <c r="W547"/>
      <c r="Y547" t="s">
        <v>377</v>
      </c>
      <c r="Z547" t="s">
        <v>378</v>
      </c>
      <c r="AA547" t="s">
        <v>379</v>
      </c>
      <c r="AB547" t="s">
        <v>396</v>
      </c>
      <c r="AC547" t="s">
        <v>41</v>
      </c>
      <c r="AD547" t="s">
        <v>41</v>
      </c>
      <c r="AE547" t="s">
        <v>41</v>
      </c>
      <c r="AF547" t="s">
        <v>41</v>
      </c>
      <c r="AK547"/>
    </row>
    <row r="548" spans="1:38" x14ac:dyDescent="0.25">
      <c r="A548" t="s">
        <v>43</v>
      </c>
      <c r="B548">
        <v>45948.659131944441</v>
      </c>
      <c r="C548">
        <v>89555</v>
      </c>
      <c r="D548" t="s">
        <v>889</v>
      </c>
      <c r="E548">
        <v>4491640</v>
      </c>
      <c r="F548">
        <v>125658</v>
      </c>
      <c r="G548" t="s">
        <v>1032</v>
      </c>
      <c r="H548" t="s">
        <v>976</v>
      </c>
      <c r="I548">
        <v>10</v>
      </c>
      <c r="J548" t="b">
        <v>1</v>
      </c>
      <c r="K548">
        <v>0.83333333333333337</v>
      </c>
      <c r="L548">
        <v>125659</v>
      </c>
      <c r="M548" t="s">
        <v>1033</v>
      </c>
      <c r="N548">
        <v>12</v>
      </c>
      <c r="O548">
        <v>12</v>
      </c>
      <c r="P548"/>
      <c r="Q548">
        <v>134906</v>
      </c>
      <c r="R548">
        <v>1</v>
      </c>
      <c r="S548" t="s">
        <v>40</v>
      </c>
      <c r="T548">
        <v>261</v>
      </c>
      <c r="U548">
        <v>147664</v>
      </c>
      <c r="V548">
        <v>48</v>
      </c>
      <c r="W548" t="s">
        <v>40</v>
      </c>
      <c r="X548">
        <v>261</v>
      </c>
      <c r="Y548" t="s">
        <v>377</v>
      </c>
      <c r="Z548" t="s">
        <v>378</v>
      </c>
      <c r="AA548" t="s">
        <v>379</v>
      </c>
      <c r="AB548" t="s">
        <v>384</v>
      </c>
      <c r="AC548" t="s">
        <v>379</v>
      </c>
      <c r="AD548" t="s">
        <v>400</v>
      </c>
      <c r="AE548" t="s">
        <v>41</v>
      </c>
      <c r="AF548" t="s">
        <v>41</v>
      </c>
      <c r="AI548">
        <v>2301936</v>
      </c>
      <c r="AJ548">
        <v>1</v>
      </c>
      <c r="AK548" t="s">
        <v>40</v>
      </c>
      <c r="AL548">
        <v>261</v>
      </c>
    </row>
    <row r="549" spans="1:38" x14ac:dyDescent="0.25">
      <c r="A549" t="s">
        <v>37</v>
      </c>
      <c r="B549">
        <v>45948.794050925928</v>
      </c>
      <c r="C549">
        <v>91925</v>
      </c>
      <c r="D549" t="s">
        <v>590</v>
      </c>
      <c r="E549">
        <v>4500212</v>
      </c>
      <c r="F549">
        <v>2104879</v>
      </c>
      <c r="G549" t="s">
        <v>556</v>
      </c>
      <c r="H549" t="s">
        <v>1039</v>
      </c>
      <c r="I549">
        <v>10</v>
      </c>
      <c r="J549" t="b">
        <v>1</v>
      </c>
      <c r="K549">
        <v>2.5</v>
      </c>
      <c r="L549">
        <v>2106199</v>
      </c>
      <c r="M549" t="s">
        <v>558</v>
      </c>
      <c r="N549">
        <v>4</v>
      </c>
      <c r="O549">
        <v>4</v>
      </c>
      <c r="P549"/>
      <c r="Q549">
        <v>134907</v>
      </c>
      <c r="R549">
        <v>1</v>
      </c>
      <c r="S549" t="s">
        <v>40</v>
      </c>
      <c r="T549">
        <v>261</v>
      </c>
      <c r="U549">
        <v>147664</v>
      </c>
      <c r="V549">
        <v>24</v>
      </c>
      <c r="W549" t="s">
        <v>40</v>
      </c>
      <c r="X549">
        <v>261</v>
      </c>
      <c r="Y549" t="s">
        <v>377</v>
      </c>
      <c r="Z549" t="s">
        <v>378</v>
      </c>
      <c r="AA549" t="s">
        <v>379</v>
      </c>
      <c r="AB549" t="s">
        <v>384</v>
      </c>
      <c r="AC549" t="s">
        <v>41</v>
      </c>
      <c r="AD549" t="s">
        <v>41</v>
      </c>
      <c r="AE549" t="s">
        <v>41</v>
      </c>
      <c r="AF549" t="s">
        <v>41</v>
      </c>
      <c r="AK549"/>
    </row>
    <row r="550" spans="1:38" x14ac:dyDescent="0.25">
      <c r="A550" t="s">
        <v>37</v>
      </c>
      <c r="B550">
        <v>45948.795034722221</v>
      </c>
      <c r="C550">
        <v>91925</v>
      </c>
      <c r="D550" t="s">
        <v>590</v>
      </c>
      <c r="E550">
        <v>4500213</v>
      </c>
      <c r="F550">
        <v>2104879</v>
      </c>
      <c r="G550" t="s">
        <v>556</v>
      </c>
      <c r="H550" t="s">
        <v>1039</v>
      </c>
      <c r="I550">
        <v>10</v>
      </c>
      <c r="J550" t="b">
        <v>1</v>
      </c>
      <c r="K550">
        <v>2</v>
      </c>
      <c r="L550">
        <v>2106199</v>
      </c>
      <c r="M550" t="s">
        <v>558</v>
      </c>
      <c r="N550">
        <v>5</v>
      </c>
      <c r="O550">
        <v>5</v>
      </c>
      <c r="P550"/>
      <c r="Q550">
        <v>134907</v>
      </c>
      <c r="R550">
        <v>1</v>
      </c>
      <c r="S550" t="s">
        <v>40</v>
      </c>
      <c r="T550">
        <v>261</v>
      </c>
      <c r="U550">
        <v>147664</v>
      </c>
      <c r="V550">
        <v>24</v>
      </c>
      <c r="W550" t="s">
        <v>40</v>
      </c>
      <c r="X550">
        <v>261</v>
      </c>
      <c r="Y550" t="s">
        <v>377</v>
      </c>
      <c r="Z550" t="s">
        <v>378</v>
      </c>
      <c r="AA550" t="s">
        <v>379</v>
      </c>
      <c r="AB550" t="s">
        <v>559</v>
      </c>
      <c r="AC550" t="s">
        <v>41</v>
      </c>
      <c r="AD550" t="s">
        <v>41</v>
      </c>
      <c r="AE550" t="s">
        <v>41</v>
      </c>
      <c r="AF550" t="s">
        <v>41</v>
      </c>
      <c r="AK550"/>
    </row>
    <row r="551" spans="1:38" x14ac:dyDescent="0.25">
      <c r="A551" t="s">
        <v>37</v>
      </c>
      <c r="B551">
        <v>45948.797615740739</v>
      </c>
      <c r="C551">
        <v>91925</v>
      </c>
      <c r="D551" t="s">
        <v>590</v>
      </c>
      <c r="E551">
        <v>4500212</v>
      </c>
      <c r="F551">
        <v>2104879</v>
      </c>
      <c r="G551" t="s">
        <v>556</v>
      </c>
      <c r="H551" t="s">
        <v>1039</v>
      </c>
      <c r="I551">
        <v>10</v>
      </c>
      <c r="J551" t="b">
        <v>1</v>
      </c>
      <c r="K551">
        <v>2.5</v>
      </c>
      <c r="L551">
        <v>2106199</v>
      </c>
      <c r="M551" t="s">
        <v>558</v>
      </c>
      <c r="N551">
        <v>4</v>
      </c>
      <c r="O551">
        <v>4</v>
      </c>
      <c r="P551" t="s">
        <v>1040</v>
      </c>
      <c r="Q551">
        <v>134907</v>
      </c>
      <c r="R551">
        <v>1</v>
      </c>
      <c r="S551" t="s">
        <v>40</v>
      </c>
      <c r="T551">
        <v>261</v>
      </c>
      <c r="U551">
        <v>147664</v>
      </c>
      <c r="V551">
        <v>24</v>
      </c>
      <c r="W551" t="s">
        <v>40</v>
      </c>
      <c r="X551">
        <v>261</v>
      </c>
      <c r="Y551" t="s">
        <v>377</v>
      </c>
      <c r="Z551" t="s">
        <v>378</v>
      </c>
      <c r="AA551" t="s">
        <v>379</v>
      </c>
      <c r="AB551" t="s">
        <v>384</v>
      </c>
      <c r="AC551" t="s">
        <v>41</v>
      </c>
      <c r="AD551" t="s">
        <v>41</v>
      </c>
      <c r="AE551" t="s">
        <v>41</v>
      </c>
      <c r="AF551" t="s">
        <v>41</v>
      </c>
      <c r="AK551"/>
    </row>
    <row r="552" spans="1:38" x14ac:dyDescent="0.25">
      <c r="A552" t="s">
        <v>39</v>
      </c>
      <c r="B552">
        <v>45948.798946759256</v>
      </c>
      <c r="C552">
        <v>92429</v>
      </c>
      <c r="D552" t="s">
        <v>590</v>
      </c>
      <c r="E552">
        <v>4494325</v>
      </c>
      <c r="F552">
        <v>133868</v>
      </c>
      <c r="G552" t="s">
        <v>445</v>
      </c>
      <c r="H552" t="s">
        <v>924</v>
      </c>
      <c r="I552">
        <v>2.5</v>
      </c>
      <c r="J552" t="b">
        <v>1</v>
      </c>
      <c r="K552">
        <v>7.8864353312302835E-3</v>
      </c>
      <c r="L552">
        <v>133869</v>
      </c>
      <c r="M552" t="s">
        <v>446</v>
      </c>
      <c r="N552">
        <v>317</v>
      </c>
      <c r="O552">
        <v>317</v>
      </c>
      <c r="P552" t="s">
        <v>408</v>
      </c>
      <c r="Q552">
        <v>0</v>
      </c>
      <c r="R552">
        <v>0</v>
      </c>
      <c r="S552" t="s">
        <v>40</v>
      </c>
      <c r="T552">
        <v>261</v>
      </c>
      <c r="W552"/>
      <c r="Y552" t="s">
        <v>377</v>
      </c>
      <c r="Z552" t="s">
        <v>378</v>
      </c>
      <c r="AA552" t="s">
        <v>379</v>
      </c>
      <c r="AB552" t="s">
        <v>1041</v>
      </c>
      <c r="AC552" t="s">
        <v>41</v>
      </c>
      <c r="AD552" t="s">
        <v>41</v>
      </c>
      <c r="AE552" t="s">
        <v>41</v>
      </c>
      <c r="AF552" t="s">
        <v>41</v>
      </c>
      <c r="AK552"/>
    </row>
    <row r="553" spans="1:38" x14ac:dyDescent="0.25">
      <c r="A553" t="s">
        <v>38</v>
      </c>
      <c r="B553">
        <v>45949.223981481482</v>
      </c>
      <c r="C553">
        <v>91160</v>
      </c>
      <c r="D553" t="s">
        <v>590</v>
      </c>
      <c r="E553">
        <v>4500172</v>
      </c>
      <c r="F553">
        <v>156292</v>
      </c>
      <c r="G553" t="s">
        <v>46</v>
      </c>
      <c r="H553" t="s">
        <v>1042</v>
      </c>
      <c r="I553">
        <v>14</v>
      </c>
      <c r="J553" t="b">
        <v>1</v>
      </c>
      <c r="K553">
        <v>3.5</v>
      </c>
      <c r="L553">
        <v>156291</v>
      </c>
      <c r="M553" t="s">
        <v>433</v>
      </c>
      <c r="N553">
        <v>4</v>
      </c>
      <c r="O553">
        <v>4</v>
      </c>
      <c r="P553"/>
      <c r="Q553">
        <v>134905</v>
      </c>
      <c r="R553">
        <v>1</v>
      </c>
      <c r="S553" t="s">
        <v>40</v>
      </c>
      <c r="T553">
        <v>261</v>
      </c>
      <c r="U553">
        <v>147664</v>
      </c>
      <c r="V553">
        <v>24</v>
      </c>
      <c r="W553" t="s">
        <v>40</v>
      </c>
      <c r="X553">
        <v>261</v>
      </c>
      <c r="Y553" t="s">
        <v>377</v>
      </c>
      <c r="Z553" t="s">
        <v>378</v>
      </c>
      <c r="AA553" t="s">
        <v>379</v>
      </c>
      <c r="AB553" t="s">
        <v>384</v>
      </c>
      <c r="AC553" t="s">
        <v>41</v>
      </c>
      <c r="AD553" t="s">
        <v>41</v>
      </c>
      <c r="AE553" t="s">
        <v>41</v>
      </c>
      <c r="AF553" t="s">
        <v>41</v>
      </c>
      <c r="AK553"/>
    </row>
    <row r="554" spans="1:38" x14ac:dyDescent="0.25">
      <c r="A554" t="s">
        <v>47</v>
      </c>
      <c r="B554">
        <v>45949.22693287037</v>
      </c>
      <c r="C554">
        <v>92433</v>
      </c>
      <c r="D554" t="s">
        <v>590</v>
      </c>
      <c r="E554">
        <v>4494325</v>
      </c>
      <c r="F554">
        <v>133868</v>
      </c>
      <c r="G554" t="s">
        <v>445</v>
      </c>
      <c r="H554" t="s">
        <v>924</v>
      </c>
      <c r="I554">
        <v>2.5</v>
      </c>
      <c r="J554" t="b">
        <v>1</v>
      </c>
      <c r="K554">
        <v>2.717391304347826E-2</v>
      </c>
      <c r="L554">
        <v>133869</v>
      </c>
      <c r="M554" t="s">
        <v>446</v>
      </c>
      <c r="N554">
        <v>92</v>
      </c>
      <c r="O554">
        <v>92</v>
      </c>
      <c r="P554" t="s">
        <v>408</v>
      </c>
      <c r="Q554">
        <v>0</v>
      </c>
      <c r="R554">
        <v>0</v>
      </c>
      <c r="S554" t="s">
        <v>40</v>
      </c>
      <c r="T554">
        <v>261</v>
      </c>
      <c r="W554"/>
      <c r="Y554" t="s">
        <v>377</v>
      </c>
      <c r="Z554" t="s">
        <v>378</v>
      </c>
      <c r="AA554" t="s">
        <v>379</v>
      </c>
      <c r="AB554" t="s">
        <v>671</v>
      </c>
      <c r="AC554" t="s">
        <v>41</v>
      </c>
      <c r="AD554" t="s">
        <v>41</v>
      </c>
      <c r="AE554" t="s">
        <v>41</v>
      </c>
      <c r="AF554" t="s">
        <v>41</v>
      </c>
      <c r="AK554"/>
    </row>
    <row r="555" spans="1:38" x14ac:dyDescent="0.25">
      <c r="A555" t="s">
        <v>38</v>
      </c>
      <c r="B555">
        <v>45949.227905092594</v>
      </c>
      <c r="C555">
        <v>91160</v>
      </c>
      <c r="D555" t="s">
        <v>590</v>
      </c>
      <c r="E555">
        <v>4500173</v>
      </c>
      <c r="F555">
        <v>156292</v>
      </c>
      <c r="G555" t="s">
        <v>46</v>
      </c>
      <c r="H555" t="s">
        <v>1042</v>
      </c>
      <c r="I555">
        <v>14</v>
      </c>
      <c r="J555" t="b">
        <v>1</v>
      </c>
      <c r="K555">
        <v>3.5</v>
      </c>
      <c r="L555">
        <v>156291</v>
      </c>
      <c r="M555" t="s">
        <v>433</v>
      </c>
      <c r="N555">
        <v>4</v>
      </c>
      <c r="O555">
        <v>4</v>
      </c>
      <c r="P555"/>
      <c r="Q555">
        <v>134905</v>
      </c>
      <c r="R555">
        <v>1</v>
      </c>
      <c r="S555" t="s">
        <v>40</v>
      </c>
      <c r="T555">
        <v>261</v>
      </c>
      <c r="U555">
        <v>147664</v>
      </c>
      <c r="V555">
        <v>24</v>
      </c>
      <c r="W555" t="s">
        <v>40</v>
      </c>
      <c r="X555">
        <v>261</v>
      </c>
      <c r="Y555" t="s">
        <v>377</v>
      </c>
      <c r="Z555" t="s">
        <v>378</v>
      </c>
      <c r="AA555" t="s">
        <v>379</v>
      </c>
      <c r="AB555" t="s">
        <v>384</v>
      </c>
      <c r="AC555" t="s">
        <v>41</v>
      </c>
      <c r="AD555" t="s">
        <v>41</v>
      </c>
      <c r="AE555" t="s">
        <v>41</v>
      </c>
      <c r="AF555" t="s">
        <v>41</v>
      </c>
      <c r="AK555"/>
    </row>
    <row r="556" spans="1:38" x14ac:dyDescent="0.25">
      <c r="A556" t="s">
        <v>43</v>
      </c>
      <c r="B556">
        <v>45949.405462962961</v>
      </c>
      <c r="C556">
        <v>89556</v>
      </c>
      <c r="D556" t="s">
        <v>1043</v>
      </c>
      <c r="E556">
        <v>4500054</v>
      </c>
      <c r="F556">
        <v>125658</v>
      </c>
      <c r="G556" t="s">
        <v>1032</v>
      </c>
      <c r="H556" t="s">
        <v>1003</v>
      </c>
      <c r="I556">
        <v>10</v>
      </c>
      <c r="J556" t="b">
        <v>1</v>
      </c>
      <c r="K556">
        <v>0.83333333333333337</v>
      </c>
      <c r="L556">
        <v>125659</v>
      </c>
      <c r="M556" t="s">
        <v>1033</v>
      </c>
      <c r="N556">
        <v>12</v>
      </c>
      <c r="O556">
        <v>12</v>
      </c>
      <c r="P556"/>
      <c r="Q556">
        <v>2301936</v>
      </c>
      <c r="R556">
        <v>2</v>
      </c>
      <c r="S556" t="s">
        <v>40</v>
      </c>
      <c r="T556">
        <v>261</v>
      </c>
      <c r="U556">
        <v>147664</v>
      </c>
      <c r="V556">
        <v>48</v>
      </c>
      <c r="W556" t="s">
        <v>40</v>
      </c>
      <c r="X556">
        <v>261</v>
      </c>
      <c r="Y556" t="s">
        <v>377</v>
      </c>
      <c r="Z556" t="s">
        <v>378</v>
      </c>
      <c r="AA556" t="s">
        <v>379</v>
      </c>
      <c r="AB556" t="s">
        <v>400</v>
      </c>
      <c r="AC556" t="s">
        <v>379</v>
      </c>
      <c r="AD556" t="s">
        <v>384</v>
      </c>
      <c r="AE556" t="s">
        <v>41</v>
      </c>
      <c r="AF556" t="s">
        <v>41</v>
      </c>
      <c r="AK556"/>
    </row>
    <row r="557" spans="1:38" x14ac:dyDescent="0.25">
      <c r="A557" t="s">
        <v>43</v>
      </c>
      <c r="B557">
        <v>45949.416655092595</v>
      </c>
      <c r="C557">
        <v>89556</v>
      </c>
      <c r="D557" t="s">
        <v>646</v>
      </c>
      <c r="E557">
        <v>4500054</v>
      </c>
      <c r="F557">
        <v>125658</v>
      </c>
      <c r="G557" t="s">
        <v>1032</v>
      </c>
      <c r="H557" t="s">
        <v>1003</v>
      </c>
      <c r="I557">
        <v>10</v>
      </c>
      <c r="J557" t="b">
        <v>1</v>
      </c>
      <c r="K557">
        <v>0.83333333333333337</v>
      </c>
      <c r="L557">
        <v>125659</v>
      </c>
      <c r="M557" t="s">
        <v>1033</v>
      </c>
      <c r="N557">
        <v>12</v>
      </c>
      <c r="O557">
        <v>12</v>
      </c>
      <c r="P557"/>
      <c r="Q557">
        <v>2301936</v>
      </c>
      <c r="R557">
        <v>2</v>
      </c>
      <c r="S557" t="s">
        <v>40</v>
      </c>
      <c r="T557">
        <v>261</v>
      </c>
      <c r="U557">
        <v>147664</v>
      </c>
      <c r="V557">
        <v>48</v>
      </c>
      <c r="W557" t="s">
        <v>40</v>
      </c>
      <c r="X557">
        <v>261</v>
      </c>
      <c r="Y557" t="s">
        <v>377</v>
      </c>
      <c r="Z557" t="s">
        <v>378</v>
      </c>
      <c r="AA557" t="s">
        <v>379</v>
      </c>
      <c r="AB557" t="s">
        <v>409</v>
      </c>
      <c r="AC557" t="s">
        <v>41</v>
      </c>
      <c r="AD557" t="s">
        <v>41</v>
      </c>
      <c r="AE557" t="s">
        <v>41</v>
      </c>
      <c r="AF557" t="s">
        <v>41</v>
      </c>
      <c r="AK557"/>
    </row>
    <row r="558" spans="1:38" x14ac:dyDescent="0.25">
      <c r="A558" t="s">
        <v>37</v>
      </c>
      <c r="B558">
        <v>45949.464988425927</v>
      </c>
      <c r="C558">
        <v>91926</v>
      </c>
      <c r="D558" t="s">
        <v>1043</v>
      </c>
      <c r="E558">
        <v>4500214</v>
      </c>
      <c r="F558">
        <v>2104879</v>
      </c>
      <c r="G558" t="s">
        <v>556</v>
      </c>
      <c r="H558" t="s">
        <v>1044</v>
      </c>
      <c r="I558">
        <v>10</v>
      </c>
      <c r="J558" t="b">
        <v>0</v>
      </c>
      <c r="K558">
        <v>2.5</v>
      </c>
      <c r="L558">
        <v>2106199</v>
      </c>
      <c r="M558" t="s">
        <v>558</v>
      </c>
      <c r="N558">
        <v>4</v>
      </c>
      <c r="O558">
        <v>4</v>
      </c>
      <c r="P558"/>
      <c r="Q558">
        <v>134907</v>
      </c>
      <c r="R558">
        <v>1</v>
      </c>
      <c r="S558" t="s">
        <v>40</v>
      </c>
      <c r="T558">
        <v>261</v>
      </c>
      <c r="U558">
        <v>147664</v>
      </c>
      <c r="V558">
        <v>24</v>
      </c>
      <c r="W558" t="s">
        <v>40</v>
      </c>
      <c r="X558">
        <v>261</v>
      </c>
      <c r="Y558" t="s">
        <v>377</v>
      </c>
      <c r="Z558" t="s">
        <v>378</v>
      </c>
      <c r="AA558" t="s">
        <v>379</v>
      </c>
      <c r="AB558" t="s">
        <v>384</v>
      </c>
      <c r="AC558" t="s">
        <v>41</v>
      </c>
      <c r="AD558" t="s">
        <v>41</v>
      </c>
      <c r="AE558" t="s">
        <v>41</v>
      </c>
      <c r="AF558" t="s">
        <v>41</v>
      </c>
      <c r="AK558"/>
    </row>
    <row r="559" spans="1:38" x14ac:dyDescent="0.25">
      <c r="A559" t="s">
        <v>37</v>
      </c>
      <c r="B559">
        <v>45949.467094907406</v>
      </c>
      <c r="C559">
        <v>91926</v>
      </c>
      <c r="D559" t="s">
        <v>1043</v>
      </c>
      <c r="E559">
        <v>4500215</v>
      </c>
      <c r="F559">
        <v>2104879</v>
      </c>
      <c r="G559" t="s">
        <v>556</v>
      </c>
      <c r="H559" t="s">
        <v>1044</v>
      </c>
      <c r="I559">
        <v>10</v>
      </c>
      <c r="J559" t="b">
        <v>1</v>
      </c>
      <c r="K559">
        <v>2</v>
      </c>
      <c r="L559">
        <v>2106199</v>
      </c>
      <c r="M559" t="s">
        <v>558</v>
      </c>
      <c r="N559">
        <v>5</v>
      </c>
      <c r="O559">
        <v>5</v>
      </c>
      <c r="P559"/>
      <c r="Q559">
        <v>134907</v>
      </c>
      <c r="R559">
        <v>1</v>
      </c>
      <c r="S559" t="s">
        <v>40</v>
      </c>
      <c r="T559">
        <v>261</v>
      </c>
      <c r="U559">
        <v>147664</v>
      </c>
      <c r="V559">
        <v>24</v>
      </c>
      <c r="W559" t="s">
        <v>40</v>
      </c>
      <c r="X559">
        <v>261</v>
      </c>
      <c r="Y559" t="s">
        <v>377</v>
      </c>
      <c r="Z559" t="s">
        <v>378</v>
      </c>
      <c r="AA559" t="s">
        <v>379</v>
      </c>
      <c r="AB559" t="s">
        <v>559</v>
      </c>
      <c r="AC559" t="s">
        <v>41</v>
      </c>
      <c r="AD559" t="s">
        <v>41</v>
      </c>
      <c r="AE559" t="s">
        <v>41</v>
      </c>
      <c r="AF559" t="s">
        <v>41</v>
      </c>
      <c r="AK559"/>
    </row>
    <row r="560" spans="1:38" x14ac:dyDescent="0.25">
      <c r="A560" t="s">
        <v>47</v>
      </c>
      <c r="B560">
        <v>45949.651597222219</v>
      </c>
      <c r="C560">
        <v>92434</v>
      </c>
      <c r="D560" t="s">
        <v>1043</v>
      </c>
      <c r="E560">
        <v>4500752</v>
      </c>
      <c r="F560">
        <v>2105666</v>
      </c>
      <c r="G560" t="s">
        <v>643</v>
      </c>
      <c r="H560" t="s">
        <v>979</v>
      </c>
      <c r="I560">
        <v>1.5</v>
      </c>
      <c r="J560" t="b">
        <v>1</v>
      </c>
      <c r="K560">
        <v>9.8039215686274508E-3</v>
      </c>
      <c r="L560">
        <v>2106930</v>
      </c>
      <c r="M560" t="s">
        <v>644</v>
      </c>
      <c r="N560">
        <v>153</v>
      </c>
      <c r="O560">
        <v>153</v>
      </c>
      <c r="P560"/>
      <c r="Q560">
        <v>134976</v>
      </c>
      <c r="R560">
        <v>1</v>
      </c>
      <c r="S560" t="s">
        <v>40</v>
      </c>
      <c r="T560">
        <v>261</v>
      </c>
      <c r="W560"/>
      <c r="Y560" t="s">
        <v>377</v>
      </c>
      <c r="Z560" t="s">
        <v>378</v>
      </c>
      <c r="AA560" t="s">
        <v>379</v>
      </c>
      <c r="AB560" t="s">
        <v>757</v>
      </c>
      <c r="AC560" t="s">
        <v>41</v>
      </c>
      <c r="AD560" t="s">
        <v>41</v>
      </c>
      <c r="AE560" t="s">
        <v>41</v>
      </c>
      <c r="AF560" t="s">
        <v>41</v>
      </c>
      <c r="AK560"/>
    </row>
    <row r="561" spans="1:37" x14ac:dyDescent="0.25">
      <c r="A561" t="s">
        <v>42</v>
      </c>
      <c r="B561">
        <v>45949.928506944445</v>
      </c>
      <c r="C561">
        <v>92528</v>
      </c>
      <c r="D561" t="s">
        <v>531</v>
      </c>
      <c r="E561">
        <v>4489126</v>
      </c>
      <c r="F561">
        <v>2123970</v>
      </c>
      <c r="G561" t="s">
        <v>1045</v>
      </c>
      <c r="H561" t="s">
        <v>951</v>
      </c>
      <c r="I561">
        <v>52</v>
      </c>
      <c r="J561" t="b">
        <v>1</v>
      </c>
      <c r="K561">
        <v>0.125</v>
      </c>
      <c r="L561">
        <v>2124341</v>
      </c>
      <c r="M561" t="s">
        <v>1046</v>
      </c>
      <c r="N561">
        <v>416</v>
      </c>
      <c r="O561">
        <v>406</v>
      </c>
      <c r="P561"/>
      <c r="Q561">
        <v>134974</v>
      </c>
      <c r="R561">
        <v>1</v>
      </c>
      <c r="S561" t="s">
        <v>40</v>
      </c>
      <c r="T561">
        <v>261</v>
      </c>
      <c r="W561"/>
      <c r="Y561" t="s">
        <v>377</v>
      </c>
      <c r="Z561" t="s">
        <v>378</v>
      </c>
      <c r="AA561" t="s">
        <v>379</v>
      </c>
      <c r="AB561" t="s">
        <v>1047</v>
      </c>
      <c r="AC561" t="s">
        <v>41</v>
      </c>
      <c r="AD561" t="s">
        <v>41</v>
      </c>
      <c r="AE561" t="s">
        <v>41</v>
      </c>
      <c r="AF561" t="s">
        <v>41</v>
      </c>
      <c r="AK561"/>
    </row>
    <row r="562" spans="1:37" x14ac:dyDescent="0.25">
      <c r="A562" t="s">
        <v>37</v>
      </c>
      <c r="B562">
        <v>45949.930543981478</v>
      </c>
      <c r="C562">
        <v>92435</v>
      </c>
      <c r="D562" t="s">
        <v>531</v>
      </c>
      <c r="E562">
        <v>4487422</v>
      </c>
      <c r="F562">
        <v>133860</v>
      </c>
      <c r="G562" t="s">
        <v>607</v>
      </c>
      <c r="H562" t="s">
        <v>951</v>
      </c>
      <c r="I562">
        <v>1.5</v>
      </c>
      <c r="J562" t="b">
        <v>1</v>
      </c>
      <c r="K562">
        <v>8.670520231213872E-3</v>
      </c>
      <c r="L562">
        <v>133866</v>
      </c>
      <c r="M562" t="s">
        <v>608</v>
      </c>
      <c r="N562">
        <v>173</v>
      </c>
      <c r="O562">
        <v>173</v>
      </c>
      <c r="P562" t="s">
        <v>408</v>
      </c>
      <c r="Q562">
        <v>0</v>
      </c>
      <c r="R562">
        <v>0</v>
      </c>
      <c r="S562" t="s">
        <v>40</v>
      </c>
      <c r="T562">
        <v>261</v>
      </c>
      <c r="W562"/>
      <c r="Y562" t="s">
        <v>377</v>
      </c>
      <c r="Z562" t="s">
        <v>378</v>
      </c>
      <c r="AA562" t="s">
        <v>379</v>
      </c>
      <c r="AB562" t="s">
        <v>1048</v>
      </c>
      <c r="AC562" t="s">
        <v>41</v>
      </c>
      <c r="AD562" t="s">
        <v>41</v>
      </c>
      <c r="AE562" t="s">
        <v>41</v>
      </c>
      <c r="AF562" t="s">
        <v>41</v>
      </c>
      <c r="AK562"/>
    </row>
    <row r="563" spans="1:37" x14ac:dyDescent="0.25">
      <c r="A563" t="s">
        <v>43</v>
      </c>
      <c r="B563">
        <v>45950.351504629631</v>
      </c>
      <c r="C563">
        <v>89557</v>
      </c>
      <c r="D563" t="s">
        <v>459</v>
      </c>
      <c r="E563">
        <v>4500055</v>
      </c>
      <c r="F563">
        <v>125658</v>
      </c>
      <c r="G563" t="s">
        <v>1032</v>
      </c>
      <c r="H563" t="s">
        <v>1049</v>
      </c>
      <c r="I563">
        <v>10</v>
      </c>
      <c r="J563" t="b">
        <v>1</v>
      </c>
      <c r="K563">
        <v>0.83333333333333337</v>
      </c>
      <c r="L563">
        <v>125659</v>
      </c>
      <c r="M563" t="s">
        <v>1033</v>
      </c>
      <c r="N563">
        <v>12</v>
      </c>
      <c r="O563">
        <v>12</v>
      </c>
      <c r="P563"/>
      <c r="Q563">
        <v>2301936</v>
      </c>
      <c r="R563">
        <v>2</v>
      </c>
      <c r="S563" t="s">
        <v>40</v>
      </c>
      <c r="T563">
        <v>261</v>
      </c>
      <c r="U563">
        <v>147664</v>
      </c>
      <c r="V563">
        <v>48</v>
      </c>
      <c r="W563" t="s">
        <v>40</v>
      </c>
      <c r="X563">
        <v>261</v>
      </c>
      <c r="Y563" t="s">
        <v>377</v>
      </c>
      <c r="Z563" t="s">
        <v>378</v>
      </c>
      <c r="AA563" t="s">
        <v>379</v>
      </c>
      <c r="AB563" t="s">
        <v>400</v>
      </c>
      <c r="AC563" t="s">
        <v>379</v>
      </c>
      <c r="AD563" t="s">
        <v>384</v>
      </c>
      <c r="AE563" t="s">
        <v>41</v>
      </c>
      <c r="AF563" t="s">
        <v>41</v>
      </c>
      <c r="AK563"/>
    </row>
    <row r="564" spans="1:37" x14ac:dyDescent="0.25">
      <c r="A564" t="s">
        <v>38</v>
      </c>
      <c r="B564">
        <v>45950.645740740743</v>
      </c>
      <c r="C564">
        <v>91928</v>
      </c>
      <c r="D564" t="s">
        <v>459</v>
      </c>
      <c r="E564">
        <v>4500439</v>
      </c>
      <c r="F564">
        <v>2104879</v>
      </c>
      <c r="G564" t="s">
        <v>556</v>
      </c>
      <c r="H564" t="s">
        <v>1050</v>
      </c>
      <c r="I564">
        <v>5</v>
      </c>
      <c r="J564" t="b">
        <v>1</v>
      </c>
      <c r="K564">
        <v>1</v>
      </c>
      <c r="L564">
        <v>2106199</v>
      </c>
      <c r="M564" t="s">
        <v>558</v>
      </c>
      <c r="N564">
        <v>5</v>
      </c>
      <c r="O564">
        <v>5</v>
      </c>
      <c r="P564"/>
      <c r="Q564">
        <v>134907</v>
      </c>
      <c r="R564">
        <v>1</v>
      </c>
      <c r="S564" t="s">
        <v>40</v>
      </c>
      <c r="T564">
        <v>261</v>
      </c>
      <c r="U564">
        <v>147664</v>
      </c>
      <c r="V564">
        <v>24</v>
      </c>
      <c r="W564" t="s">
        <v>40</v>
      </c>
      <c r="X564">
        <v>261</v>
      </c>
      <c r="Y564" t="s">
        <v>377</v>
      </c>
      <c r="Z564" t="s">
        <v>378</v>
      </c>
      <c r="AA564" t="s">
        <v>379</v>
      </c>
      <c r="AB564" t="s">
        <v>559</v>
      </c>
      <c r="AC564" t="s">
        <v>41</v>
      </c>
      <c r="AD564" t="s">
        <v>41</v>
      </c>
      <c r="AE564" t="s">
        <v>41</v>
      </c>
      <c r="AF564" t="s">
        <v>41</v>
      </c>
      <c r="AK564"/>
    </row>
    <row r="565" spans="1:37" x14ac:dyDescent="0.25">
      <c r="A565" t="s">
        <v>38</v>
      </c>
      <c r="B565">
        <v>45950.646493055552</v>
      </c>
      <c r="C565">
        <v>91928</v>
      </c>
      <c r="D565" t="s">
        <v>459</v>
      </c>
      <c r="E565">
        <v>4500438</v>
      </c>
      <c r="F565">
        <v>2104879</v>
      </c>
      <c r="G565" t="s">
        <v>556</v>
      </c>
      <c r="H565" t="s">
        <v>1050</v>
      </c>
      <c r="I565">
        <v>5</v>
      </c>
      <c r="J565" t="b">
        <v>1</v>
      </c>
      <c r="K565">
        <v>1.25</v>
      </c>
      <c r="L565">
        <v>2106199</v>
      </c>
      <c r="M565" t="s">
        <v>558</v>
      </c>
      <c r="N565">
        <v>4</v>
      </c>
      <c r="O565">
        <v>4</v>
      </c>
      <c r="P565"/>
      <c r="Q565">
        <v>134907</v>
      </c>
      <c r="R565">
        <v>1</v>
      </c>
      <c r="S565" t="s">
        <v>40</v>
      </c>
      <c r="T565">
        <v>261</v>
      </c>
      <c r="U565">
        <v>147664</v>
      </c>
      <c r="V565">
        <v>24</v>
      </c>
      <c r="W565" t="s">
        <v>40</v>
      </c>
      <c r="X565">
        <v>261</v>
      </c>
      <c r="Y565" t="s">
        <v>377</v>
      </c>
      <c r="Z565" t="s">
        <v>378</v>
      </c>
      <c r="AA565" t="s">
        <v>379</v>
      </c>
      <c r="AB565" t="s">
        <v>384</v>
      </c>
      <c r="AC565" t="s">
        <v>41</v>
      </c>
      <c r="AD565" t="s">
        <v>41</v>
      </c>
      <c r="AE565" t="s">
        <v>41</v>
      </c>
      <c r="AF565" t="s">
        <v>41</v>
      </c>
      <c r="AK565"/>
    </row>
    <row r="566" spans="1:37" x14ac:dyDescent="0.25">
      <c r="A566" t="s">
        <v>44</v>
      </c>
      <c r="B566">
        <v>45950.974733796298</v>
      </c>
      <c r="C566">
        <v>91162</v>
      </c>
      <c r="D566" t="s">
        <v>563</v>
      </c>
      <c r="E566">
        <v>4500174</v>
      </c>
      <c r="F566">
        <v>156292</v>
      </c>
      <c r="G566" t="s">
        <v>46</v>
      </c>
      <c r="H566" t="s">
        <v>1051</v>
      </c>
      <c r="I566">
        <v>10</v>
      </c>
      <c r="J566" t="b">
        <v>1</v>
      </c>
      <c r="K566">
        <v>2.5</v>
      </c>
      <c r="L566">
        <v>156291</v>
      </c>
      <c r="M566" t="s">
        <v>433</v>
      </c>
      <c r="N566">
        <v>4</v>
      </c>
      <c r="O566">
        <v>4</v>
      </c>
      <c r="P566"/>
      <c r="Q566">
        <v>134905</v>
      </c>
      <c r="R566">
        <v>1</v>
      </c>
      <c r="S566" t="s">
        <v>40</v>
      </c>
      <c r="T566">
        <v>261</v>
      </c>
      <c r="U566">
        <v>147664</v>
      </c>
      <c r="V566">
        <v>24</v>
      </c>
      <c r="W566" t="s">
        <v>40</v>
      </c>
      <c r="X566">
        <v>261</v>
      </c>
      <c r="Y566" t="s">
        <v>377</v>
      </c>
      <c r="Z566" t="s">
        <v>378</v>
      </c>
      <c r="AA566" t="s">
        <v>379</v>
      </c>
      <c r="AB566" t="s">
        <v>384</v>
      </c>
      <c r="AC566" t="s">
        <v>41</v>
      </c>
      <c r="AD566" t="s">
        <v>41</v>
      </c>
      <c r="AE566" t="s">
        <v>41</v>
      </c>
      <c r="AF566" t="s">
        <v>41</v>
      </c>
      <c r="AK566"/>
    </row>
    <row r="567" spans="1:37" x14ac:dyDescent="0.25">
      <c r="A567" t="s">
        <v>44</v>
      </c>
      <c r="B567">
        <v>45950.975983796299</v>
      </c>
      <c r="C567">
        <v>91162</v>
      </c>
      <c r="D567" t="s">
        <v>563</v>
      </c>
      <c r="E567">
        <v>4500173</v>
      </c>
      <c r="F567">
        <v>156292</v>
      </c>
      <c r="G567" t="s">
        <v>46</v>
      </c>
      <c r="H567" t="s">
        <v>1051</v>
      </c>
      <c r="I567">
        <v>10</v>
      </c>
      <c r="J567" t="b">
        <v>1</v>
      </c>
      <c r="K567">
        <v>2.5</v>
      </c>
      <c r="L567">
        <v>156291</v>
      </c>
      <c r="M567" t="s">
        <v>433</v>
      </c>
      <c r="N567">
        <v>4</v>
      </c>
      <c r="O567">
        <v>4</v>
      </c>
      <c r="P567"/>
      <c r="Q567">
        <v>134905</v>
      </c>
      <c r="R567">
        <v>1</v>
      </c>
      <c r="S567" t="s">
        <v>40</v>
      </c>
      <c r="T567">
        <v>261</v>
      </c>
      <c r="U567">
        <v>147664</v>
      </c>
      <c r="V567">
        <v>24</v>
      </c>
      <c r="W567" t="s">
        <v>40</v>
      </c>
      <c r="X567">
        <v>261</v>
      </c>
      <c r="Y567" t="s">
        <v>377</v>
      </c>
      <c r="Z567" t="s">
        <v>378</v>
      </c>
      <c r="AA567" t="s">
        <v>379</v>
      </c>
      <c r="AB567" t="s">
        <v>384</v>
      </c>
      <c r="AC567" t="s">
        <v>41</v>
      </c>
      <c r="AD567" t="s">
        <v>41</v>
      </c>
      <c r="AE567" t="s">
        <v>41</v>
      </c>
      <c r="AF567" t="s">
        <v>41</v>
      </c>
      <c r="AK567"/>
    </row>
    <row r="568" spans="1:37" x14ac:dyDescent="0.25">
      <c r="A568" t="s">
        <v>47</v>
      </c>
      <c r="B568">
        <v>45951.214039351849</v>
      </c>
      <c r="C568">
        <v>92436</v>
      </c>
      <c r="D568" t="s">
        <v>563</v>
      </c>
      <c r="E568">
        <v>4487423</v>
      </c>
      <c r="F568">
        <v>133860</v>
      </c>
      <c r="G568" t="s">
        <v>607</v>
      </c>
      <c r="H568" t="s">
        <v>924</v>
      </c>
      <c r="I568">
        <v>1.5</v>
      </c>
      <c r="J568" t="b">
        <v>1</v>
      </c>
      <c r="K568">
        <v>7.4999999999999997E-3</v>
      </c>
      <c r="L568">
        <v>133866</v>
      </c>
      <c r="M568" t="s">
        <v>608</v>
      </c>
      <c r="N568">
        <v>200</v>
      </c>
      <c r="O568">
        <v>200</v>
      </c>
      <c r="P568"/>
      <c r="Q568">
        <v>0</v>
      </c>
      <c r="R568">
        <v>0</v>
      </c>
      <c r="S568" t="s">
        <v>40</v>
      </c>
      <c r="T568">
        <v>261</v>
      </c>
      <c r="W568"/>
      <c r="Y568" t="s">
        <v>377</v>
      </c>
      <c r="Z568" t="s">
        <v>378</v>
      </c>
      <c r="AA568" t="s">
        <v>379</v>
      </c>
      <c r="AB568" t="s">
        <v>668</v>
      </c>
      <c r="AC568" t="s">
        <v>41</v>
      </c>
      <c r="AD568" t="s">
        <v>41</v>
      </c>
      <c r="AE568" t="s">
        <v>41</v>
      </c>
      <c r="AF568" t="s">
        <v>41</v>
      </c>
      <c r="AK568"/>
    </row>
    <row r="569" spans="1:37" x14ac:dyDescent="0.25">
      <c r="A569" t="s">
        <v>37</v>
      </c>
      <c r="B569">
        <v>45951.429571759261</v>
      </c>
      <c r="C569">
        <v>92437</v>
      </c>
      <c r="D569" t="s">
        <v>560</v>
      </c>
      <c r="E569">
        <v>4487422</v>
      </c>
      <c r="F569">
        <v>133860</v>
      </c>
      <c r="G569" t="s">
        <v>607</v>
      </c>
      <c r="H569" t="s">
        <v>951</v>
      </c>
      <c r="I569">
        <v>1.5</v>
      </c>
      <c r="J569" t="b">
        <v>1</v>
      </c>
      <c r="K569">
        <v>7.2115384615384619E-3</v>
      </c>
      <c r="L569">
        <v>133866</v>
      </c>
      <c r="M569" t="s">
        <v>608</v>
      </c>
      <c r="N569">
        <v>208</v>
      </c>
      <c r="O569">
        <v>208</v>
      </c>
      <c r="P569"/>
      <c r="Q569">
        <v>0</v>
      </c>
      <c r="R569">
        <v>0</v>
      </c>
      <c r="S569" t="s">
        <v>40</v>
      </c>
      <c r="T569">
        <v>261</v>
      </c>
      <c r="W569"/>
      <c r="Y569" t="s">
        <v>377</v>
      </c>
      <c r="Z569" t="s">
        <v>378</v>
      </c>
      <c r="AA569" t="s">
        <v>525</v>
      </c>
      <c r="AB569" t="s">
        <v>698</v>
      </c>
      <c r="AC569" t="s">
        <v>41</v>
      </c>
      <c r="AD569" t="s">
        <v>41</v>
      </c>
      <c r="AE569" t="s">
        <v>41</v>
      </c>
      <c r="AF569" t="s">
        <v>41</v>
      </c>
      <c r="AK569"/>
    </row>
    <row r="570" spans="1:37" x14ac:dyDescent="0.25">
      <c r="A570" t="s">
        <v>43</v>
      </c>
      <c r="B570">
        <v>45951.436863425923</v>
      </c>
      <c r="C570">
        <v>91929</v>
      </c>
      <c r="D570" t="s">
        <v>560</v>
      </c>
      <c r="E570">
        <v>4500440</v>
      </c>
      <c r="F570">
        <v>2104881</v>
      </c>
      <c r="G570" t="s">
        <v>600</v>
      </c>
      <c r="H570" t="s">
        <v>950</v>
      </c>
      <c r="I570">
        <v>5</v>
      </c>
      <c r="J570" t="b">
        <v>1</v>
      </c>
      <c r="K570">
        <v>1.25</v>
      </c>
      <c r="L570">
        <v>2106201</v>
      </c>
      <c r="M570" t="s">
        <v>602</v>
      </c>
      <c r="N570">
        <v>4</v>
      </c>
      <c r="O570">
        <v>4</v>
      </c>
      <c r="P570"/>
      <c r="Q570">
        <v>134905</v>
      </c>
      <c r="R570">
        <v>1</v>
      </c>
      <c r="S570" t="s">
        <v>40</v>
      </c>
      <c r="T570">
        <v>261</v>
      </c>
      <c r="U570">
        <v>147664</v>
      </c>
      <c r="V570">
        <v>24</v>
      </c>
      <c r="W570" t="s">
        <v>40</v>
      </c>
      <c r="X570">
        <v>261</v>
      </c>
      <c r="Y570" t="s">
        <v>377</v>
      </c>
      <c r="Z570" t="s">
        <v>378</v>
      </c>
      <c r="AA570" t="s">
        <v>379</v>
      </c>
      <c r="AB570" t="s">
        <v>384</v>
      </c>
      <c r="AC570" t="s">
        <v>41</v>
      </c>
      <c r="AD570" t="s">
        <v>41</v>
      </c>
      <c r="AE570" t="s">
        <v>41</v>
      </c>
      <c r="AF570" t="s">
        <v>41</v>
      </c>
      <c r="AK570"/>
    </row>
    <row r="571" spans="1:37" x14ac:dyDescent="0.25">
      <c r="A571" t="s">
        <v>43</v>
      </c>
      <c r="B571">
        <v>45951.4375462963</v>
      </c>
      <c r="C571">
        <v>91929</v>
      </c>
      <c r="D571" t="s">
        <v>560</v>
      </c>
      <c r="E571">
        <v>4500481</v>
      </c>
      <c r="F571">
        <v>2104881</v>
      </c>
      <c r="G571" t="s">
        <v>600</v>
      </c>
      <c r="H571" t="s">
        <v>950</v>
      </c>
      <c r="I571">
        <v>5</v>
      </c>
      <c r="J571" t="b">
        <v>1</v>
      </c>
      <c r="K571">
        <v>1</v>
      </c>
      <c r="L571">
        <v>2106201</v>
      </c>
      <c r="M571" t="s">
        <v>602</v>
      </c>
      <c r="N571">
        <v>5</v>
      </c>
      <c r="O571">
        <v>5</v>
      </c>
      <c r="P571"/>
      <c r="Q571">
        <v>134905</v>
      </c>
      <c r="R571">
        <v>1</v>
      </c>
      <c r="S571" t="s">
        <v>40</v>
      </c>
      <c r="T571">
        <v>261</v>
      </c>
      <c r="U571">
        <v>147664</v>
      </c>
      <c r="V571">
        <v>24</v>
      </c>
      <c r="W571" t="s">
        <v>40</v>
      </c>
      <c r="X571">
        <v>261</v>
      </c>
      <c r="Y571" t="s">
        <v>377</v>
      </c>
      <c r="Z571" t="s">
        <v>378</v>
      </c>
      <c r="AA571" t="s">
        <v>379</v>
      </c>
      <c r="AB571" t="s">
        <v>559</v>
      </c>
      <c r="AC571" t="s">
        <v>41</v>
      </c>
      <c r="AD571" t="s">
        <v>41</v>
      </c>
      <c r="AE571" t="s">
        <v>41</v>
      </c>
      <c r="AF571" t="s">
        <v>41</v>
      </c>
      <c r="AK571"/>
    </row>
    <row r="572" spans="1:37" x14ac:dyDescent="0.25">
      <c r="A572" t="s">
        <v>45</v>
      </c>
      <c r="B572">
        <v>45951.51902777778</v>
      </c>
      <c r="C572">
        <v>92529</v>
      </c>
      <c r="D572" t="s">
        <v>560</v>
      </c>
      <c r="E572">
        <v>4497430</v>
      </c>
      <c r="F572">
        <v>2310135</v>
      </c>
      <c r="G572" t="s">
        <v>1052</v>
      </c>
      <c r="H572" t="s">
        <v>582</v>
      </c>
      <c r="I572">
        <v>64.3</v>
      </c>
      <c r="J572" t="b">
        <v>1</v>
      </c>
      <c r="K572">
        <v>0.15493975903614457</v>
      </c>
      <c r="L572">
        <v>2310136</v>
      </c>
      <c r="M572" t="s">
        <v>1053</v>
      </c>
      <c r="N572">
        <v>415</v>
      </c>
      <c r="O572">
        <v>415</v>
      </c>
      <c r="P572"/>
      <c r="Q572">
        <v>134971</v>
      </c>
      <c r="R572">
        <v>1</v>
      </c>
      <c r="S572" t="s">
        <v>40</v>
      </c>
      <c r="T572">
        <v>261</v>
      </c>
      <c r="U572">
        <v>147664</v>
      </c>
      <c r="V572">
        <v>24</v>
      </c>
      <c r="W572" t="s">
        <v>40</v>
      </c>
      <c r="X572">
        <v>261</v>
      </c>
      <c r="Y572" t="s">
        <v>377</v>
      </c>
      <c r="Z572" t="s">
        <v>378</v>
      </c>
      <c r="AA572" t="s">
        <v>379</v>
      </c>
      <c r="AB572" t="s">
        <v>1054</v>
      </c>
      <c r="AC572" t="s">
        <v>41</v>
      </c>
      <c r="AD572" t="s">
        <v>41</v>
      </c>
      <c r="AE572" t="s">
        <v>41</v>
      </c>
      <c r="AF572" t="s">
        <v>41</v>
      </c>
      <c r="AK572"/>
    </row>
    <row r="573" spans="1:37" x14ac:dyDescent="0.25">
      <c r="A573" t="s">
        <v>47</v>
      </c>
      <c r="B573">
        <v>45951.673379629632</v>
      </c>
      <c r="C573">
        <v>92438</v>
      </c>
      <c r="D573" t="s">
        <v>560</v>
      </c>
      <c r="E573">
        <v>4487423</v>
      </c>
      <c r="F573">
        <v>133860</v>
      </c>
      <c r="G573" t="s">
        <v>607</v>
      </c>
      <c r="H573" t="s">
        <v>924</v>
      </c>
      <c r="I573">
        <v>1.5</v>
      </c>
      <c r="J573" t="b">
        <v>1</v>
      </c>
      <c r="K573">
        <v>7.1428571428571426E-3</v>
      </c>
      <c r="L573">
        <v>133866</v>
      </c>
      <c r="M573" t="s">
        <v>608</v>
      </c>
      <c r="N573">
        <v>210</v>
      </c>
      <c r="O573">
        <v>210</v>
      </c>
      <c r="P573"/>
      <c r="Q573">
        <v>0</v>
      </c>
      <c r="R573">
        <v>0</v>
      </c>
      <c r="S573" t="s">
        <v>40</v>
      </c>
      <c r="T573">
        <v>261</v>
      </c>
      <c r="W573"/>
      <c r="Y573" t="s">
        <v>377</v>
      </c>
      <c r="Z573" t="s">
        <v>378</v>
      </c>
      <c r="AA573" t="s">
        <v>525</v>
      </c>
      <c r="AB573" t="s">
        <v>636</v>
      </c>
      <c r="AC573" t="s">
        <v>41</v>
      </c>
      <c r="AD573" t="s">
        <v>41</v>
      </c>
      <c r="AE573" t="s">
        <v>41</v>
      </c>
      <c r="AF573" t="s">
        <v>41</v>
      </c>
      <c r="AK573"/>
    </row>
    <row r="574" spans="1:37" x14ac:dyDescent="0.25">
      <c r="A574" t="s">
        <v>38</v>
      </c>
      <c r="B574">
        <v>45951.696099537039</v>
      </c>
      <c r="C574">
        <v>89558</v>
      </c>
      <c r="D574" t="s">
        <v>560</v>
      </c>
      <c r="E574">
        <v>4500060</v>
      </c>
      <c r="F574">
        <v>105472</v>
      </c>
      <c r="G574" t="s">
        <v>1055</v>
      </c>
      <c r="H574" t="s">
        <v>926</v>
      </c>
      <c r="I574">
        <v>10</v>
      </c>
      <c r="J574" t="b">
        <v>1</v>
      </c>
      <c r="K574">
        <v>0.83333333333333337</v>
      </c>
      <c r="L574">
        <v>2106246</v>
      </c>
      <c r="M574" t="s">
        <v>1056</v>
      </c>
      <c r="N574">
        <v>12</v>
      </c>
      <c r="O574">
        <v>12</v>
      </c>
      <c r="P574"/>
      <c r="Q574">
        <v>134906</v>
      </c>
      <c r="R574">
        <v>2</v>
      </c>
      <c r="S574" t="s">
        <v>40</v>
      </c>
      <c r="T574">
        <v>261</v>
      </c>
      <c r="U574">
        <v>147664</v>
      </c>
      <c r="V574">
        <v>48</v>
      </c>
      <c r="W574" t="s">
        <v>40</v>
      </c>
      <c r="X574">
        <v>261</v>
      </c>
      <c r="Y574" t="s">
        <v>377</v>
      </c>
      <c r="Z574" t="s">
        <v>378</v>
      </c>
      <c r="AA574" t="s">
        <v>379</v>
      </c>
      <c r="AB574" t="s">
        <v>400</v>
      </c>
      <c r="AC574" t="s">
        <v>379</v>
      </c>
      <c r="AD574" t="s">
        <v>384</v>
      </c>
      <c r="AE574" t="s">
        <v>41</v>
      </c>
      <c r="AF574" t="s">
        <v>41</v>
      </c>
      <c r="AK574"/>
    </row>
    <row r="575" spans="1:37" x14ac:dyDescent="0.25">
      <c r="A575" t="s">
        <v>45</v>
      </c>
      <c r="B575">
        <v>45951.859479166669</v>
      </c>
      <c r="C575">
        <v>92439</v>
      </c>
      <c r="D575" t="s">
        <v>563</v>
      </c>
      <c r="E575">
        <v>4498734</v>
      </c>
      <c r="F575">
        <v>133860</v>
      </c>
      <c r="G575" t="s">
        <v>607</v>
      </c>
      <c r="H575" t="s">
        <v>926</v>
      </c>
      <c r="I575">
        <v>1.5</v>
      </c>
      <c r="J575" t="b">
        <v>1</v>
      </c>
      <c r="K575">
        <v>7.4999999999999997E-3</v>
      </c>
      <c r="L575">
        <v>133866</v>
      </c>
      <c r="M575" t="s">
        <v>608</v>
      </c>
      <c r="N575">
        <v>200</v>
      </c>
      <c r="O575">
        <v>200</v>
      </c>
      <c r="P575"/>
      <c r="Q575">
        <v>0</v>
      </c>
      <c r="R575">
        <v>0</v>
      </c>
      <c r="S575" t="s">
        <v>40</v>
      </c>
      <c r="T575">
        <v>261</v>
      </c>
      <c r="W575"/>
      <c r="Y575" t="s">
        <v>377</v>
      </c>
      <c r="Z575" t="s">
        <v>378</v>
      </c>
      <c r="AA575" t="s">
        <v>379</v>
      </c>
      <c r="AB575" t="s">
        <v>668</v>
      </c>
      <c r="AC575" t="s">
        <v>41</v>
      </c>
      <c r="AD575" t="s">
        <v>41</v>
      </c>
      <c r="AE575" t="s">
        <v>41</v>
      </c>
      <c r="AF575" t="s">
        <v>41</v>
      </c>
      <c r="AK575"/>
    </row>
    <row r="576" spans="1:37" x14ac:dyDescent="0.25">
      <c r="A576" t="s">
        <v>37</v>
      </c>
      <c r="B576">
        <v>45951.945636574077</v>
      </c>
      <c r="C576">
        <v>91787</v>
      </c>
      <c r="D576" t="s">
        <v>745</v>
      </c>
      <c r="E576">
        <v>4500868</v>
      </c>
      <c r="F576">
        <v>2105864</v>
      </c>
      <c r="G576" t="s">
        <v>1057</v>
      </c>
      <c r="H576" t="s">
        <v>930</v>
      </c>
      <c r="I576">
        <v>4.5</v>
      </c>
      <c r="J576" t="b">
        <v>1</v>
      </c>
      <c r="K576">
        <v>0.15</v>
      </c>
      <c r="L576">
        <v>2105864</v>
      </c>
      <c r="M576" t="s">
        <v>1057</v>
      </c>
      <c r="N576">
        <v>30</v>
      </c>
      <c r="O576">
        <v>30</v>
      </c>
      <c r="P576"/>
      <c r="Q576">
        <v>134974</v>
      </c>
      <c r="R576">
        <v>1</v>
      </c>
      <c r="S576" t="s">
        <v>40</v>
      </c>
      <c r="T576">
        <v>261</v>
      </c>
      <c r="W576"/>
      <c r="Y576" t="s">
        <v>377</v>
      </c>
      <c r="Z576" t="s">
        <v>378</v>
      </c>
      <c r="AA576" t="s">
        <v>379</v>
      </c>
      <c r="AB576" t="s">
        <v>1058</v>
      </c>
      <c r="AC576" t="s">
        <v>41</v>
      </c>
      <c r="AD576" t="s">
        <v>41</v>
      </c>
      <c r="AE576" t="s">
        <v>41</v>
      </c>
      <c r="AF576" t="s">
        <v>41</v>
      </c>
      <c r="AK576"/>
    </row>
    <row r="577" spans="1:37" x14ac:dyDescent="0.25">
      <c r="A577" t="s">
        <v>44</v>
      </c>
      <c r="B577">
        <v>45951.947754629633</v>
      </c>
      <c r="C577">
        <v>91163</v>
      </c>
      <c r="D577" t="s">
        <v>745</v>
      </c>
      <c r="E577">
        <v>4500177</v>
      </c>
      <c r="F577">
        <v>155446</v>
      </c>
      <c r="G577" t="s">
        <v>785</v>
      </c>
      <c r="H577" t="s">
        <v>912</v>
      </c>
      <c r="I577">
        <v>14</v>
      </c>
      <c r="J577" t="b">
        <v>1</v>
      </c>
      <c r="K577">
        <v>4.666666666666667</v>
      </c>
      <c r="L577">
        <v>155444</v>
      </c>
      <c r="M577" t="s">
        <v>786</v>
      </c>
      <c r="N577">
        <v>3</v>
      </c>
      <c r="O577">
        <v>3</v>
      </c>
      <c r="P577"/>
      <c r="Q577">
        <v>155687</v>
      </c>
      <c r="R577">
        <v>1</v>
      </c>
      <c r="S577" t="s">
        <v>40</v>
      </c>
      <c r="T577">
        <v>261</v>
      </c>
      <c r="U577">
        <v>147664</v>
      </c>
      <c r="V577">
        <v>24</v>
      </c>
      <c r="W577" t="s">
        <v>40</v>
      </c>
      <c r="X577">
        <v>261</v>
      </c>
      <c r="Y577" t="s">
        <v>377</v>
      </c>
      <c r="Z577" t="s">
        <v>378</v>
      </c>
      <c r="AA577" t="s">
        <v>379</v>
      </c>
      <c r="AB577" t="s">
        <v>622</v>
      </c>
      <c r="AC577" t="s">
        <v>41</v>
      </c>
      <c r="AD577" t="s">
        <v>41</v>
      </c>
      <c r="AE577" t="s">
        <v>41</v>
      </c>
      <c r="AF577" t="s">
        <v>41</v>
      </c>
      <c r="AK577"/>
    </row>
    <row r="578" spans="1:37" x14ac:dyDescent="0.25">
      <c r="A578" t="s">
        <v>44</v>
      </c>
      <c r="B578">
        <v>45951.949120370373</v>
      </c>
      <c r="C578">
        <v>91163</v>
      </c>
      <c r="D578" t="s">
        <v>745</v>
      </c>
      <c r="E578">
        <v>4500176</v>
      </c>
      <c r="F578">
        <v>155446</v>
      </c>
      <c r="G578" t="s">
        <v>785</v>
      </c>
      <c r="H578" t="s">
        <v>912</v>
      </c>
      <c r="I578">
        <v>14.5</v>
      </c>
      <c r="J578" t="b">
        <v>1</v>
      </c>
      <c r="K578">
        <v>4.833333333333333</v>
      </c>
      <c r="L578">
        <v>155444</v>
      </c>
      <c r="M578" t="s">
        <v>786</v>
      </c>
      <c r="N578">
        <v>3</v>
      </c>
      <c r="O578">
        <v>3</v>
      </c>
      <c r="P578"/>
      <c r="Q578">
        <v>155687</v>
      </c>
      <c r="R578">
        <v>1</v>
      </c>
      <c r="S578" t="s">
        <v>40</v>
      </c>
      <c r="T578">
        <v>261</v>
      </c>
      <c r="U578">
        <v>147664</v>
      </c>
      <c r="V578">
        <v>24</v>
      </c>
      <c r="W578" t="s">
        <v>40</v>
      </c>
      <c r="X578">
        <v>261</v>
      </c>
      <c r="Y578" t="s">
        <v>377</v>
      </c>
      <c r="Z578" t="s">
        <v>378</v>
      </c>
      <c r="AA578" t="s">
        <v>379</v>
      </c>
      <c r="AB578" t="s">
        <v>622</v>
      </c>
      <c r="AC578" t="s">
        <v>41</v>
      </c>
      <c r="AD578" t="s">
        <v>41</v>
      </c>
      <c r="AE578" t="s">
        <v>41</v>
      </c>
      <c r="AF578" t="s">
        <v>41</v>
      </c>
      <c r="AK578"/>
    </row>
    <row r="579" spans="1:37" x14ac:dyDescent="0.25">
      <c r="A579" t="s">
        <v>43</v>
      </c>
      <c r="B579">
        <v>45952.117256944446</v>
      </c>
      <c r="C579">
        <v>91794</v>
      </c>
      <c r="D579" t="s">
        <v>745</v>
      </c>
      <c r="E579">
        <v>4500351</v>
      </c>
      <c r="F579">
        <v>2104816</v>
      </c>
      <c r="G579" t="s">
        <v>1059</v>
      </c>
      <c r="H579" t="s">
        <v>930</v>
      </c>
      <c r="I579">
        <v>7.5</v>
      </c>
      <c r="J579" t="b">
        <v>1</v>
      </c>
      <c r="K579">
        <v>0.25</v>
      </c>
      <c r="L579">
        <v>2106137</v>
      </c>
      <c r="M579" t="s">
        <v>1060</v>
      </c>
      <c r="N579">
        <v>30</v>
      </c>
      <c r="O579">
        <v>30</v>
      </c>
      <c r="P579"/>
      <c r="Q579">
        <v>134971</v>
      </c>
      <c r="R579">
        <v>1</v>
      </c>
      <c r="S579" t="s">
        <v>40</v>
      </c>
      <c r="T579">
        <v>261</v>
      </c>
      <c r="U579">
        <v>147664</v>
      </c>
      <c r="V579">
        <v>24</v>
      </c>
      <c r="W579" t="s">
        <v>40</v>
      </c>
      <c r="X579">
        <v>261</v>
      </c>
      <c r="Y579" t="s">
        <v>377</v>
      </c>
      <c r="Z579" t="s">
        <v>378</v>
      </c>
      <c r="AA579" t="s">
        <v>379</v>
      </c>
      <c r="AB579" t="s">
        <v>1058</v>
      </c>
      <c r="AC579" t="s">
        <v>41</v>
      </c>
      <c r="AD579" t="s">
        <v>41</v>
      </c>
      <c r="AE579" t="s">
        <v>41</v>
      </c>
      <c r="AF579" t="s">
        <v>41</v>
      </c>
      <c r="AK579"/>
    </row>
    <row r="580" spans="1:37" x14ac:dyDescent="0.25">
      <c r="A580" t="s">
        <v>39</v>
      </c>
      <c r="B580">
        <v>45952.387650462966</v>
      </c>
      <c r="C580">
        <v>92530</v>
      </c>
      <c r="D580" t="s">
        <v>1043</v>
      </c>
      <c r="E580">
        <v>4497431</v>
      </c>
      <c r="F580">
        <v>2310135</v>
      </c>
      <c r="G580" t="s">
        <v>1052</v>
      </c>
      <c r="H580" t="s">
        <v>618</v>
      </c>
      <c r="I580">
        <v>64.3</v>
      </c>
      <c r="J580" t="b">
        <v>1</v>
      </c>
      <c r="K580">
        <v>0.15569007263922519</v>
      </c>
      <c r="L580">
        <v>2310136</v>
      </c>
      <c r="M580" t="s">
        <v>1053</v>
      </c>
      <c r="N580">
        <v>413</v>
      </c>
      <c r="O580">
        <v>408</v>
      </c>
      <c r="P580"/>
      <c r="Q580">
        <v>134974</v>
      </c>
      <c r="R580">
        <v>1</v>
      </c>
      <c r="S580" t="s">
        <v>40</v>
      </c>
      <c r="T580">
        <v>261</v>
      </c>
      <c r="W580"/>
      <c r="Y580" t="s">
        <v>377</v>
      </c>
      <c r="Z580" t="s">
        <v>378</v>
      </c>
      <c r="AA580" t="s">
        <v>379</v>
      </c>
      <c r="AB580" t="s">
        <v>1061</v>
      </c>
      <c r="AC580" t="s">
        <v>41</v>
      </c>
      <c r="AD580" t="s">
        <v>41</v>
      </c>
      <c r="AE580" t="s">
        <v>41</v>
      </c>
      <c r="AF580" t="s">
        <v>41</v>
      </c>
      <c r="AK580"/>
    </row>
    <row r="581" spans="1:37" x14ac:dyDescent="0.25">
      <c r="A581" t="s">
        <v>37</v>
      </c>
      <c r="B581">
        <v>45952.402708333335</v>
      </c>
      <c r="C581">
        <v>92440</v>
      </c>
      <c r="D581" t="s">
        <v>1043</v>
      </c>
      <c r="E581">
        <v>4498734</v>
      </c>
      <c r="F581">
        <v>133860</v>
      </c>
      <c r="G581" t="s">
        <v>607</v>
      </c>
      <c r="H581" t="s">
        <v>926</v>
      </c>
      <c r="I581">
        <v>3</v>
      </c>
      <c r="J581" t="b">
        <v>1</v>
      </c>
      <c r="K581">
        <v>1.3636363636363636E-2</v>
      </c>
      <c r="L581">
        <v>133866</v>
      </c>
      <c r="M581" t="s">
        <v>608</v>
      </c>
      <c r="N581">
        <v>220</v>
      </c>
      <c r="O581">
        <v>220</v>
      </c>
      <c r="P581"/>
      <c r="Q581">
        <v>0</v>
      </c>
      <c r="R581">
        <v>0</v>
      </c>
      <c r="S581" t="s">
        <v>40</v>
      </c>
      <c r="T581">
        <v>261</v>
      </c>
      <c r="W581"/>
      <c r="Y581" t="s">
        <v>377</v>
      </c>
      <c r="Z581" t="s">
        <v>378</v>
      </c>
      <c r="AA581" t="s">
        <v>379</v>
      </c>
      <c r="AB581" t="s">
        <v>932</v>
      </c>
      <c r="AC581" t="s">
        <v>41</v>
      </c>
      <c r="AD581" t="s">
        <v>41</v>
      </c>
      <c r="AE581" t="s">
        <v>41</v>
      </c>
      <c r="AF581" t="s">
        <v>41</v>
      </c>
      <c r="AK581"/>
    </row>
    <row r="582" spans="1:37" x14ac:dyDescent="0.25">
      <c r="A582" t="s">
        <v>38</v>
      </c>
      <c r="B582">
        <v>45952.548634259256</v>
      </c>
      <c r="C582">
        <v>91932</v>
      </c>
      <c r="D582" t="s">
        <v>1043</v>
      </c>
      <c r="E582">
        <v>4500482</v>
      </c>
      <c r="F582">
        <v>2104881</v>
      </c>
      <c r="G582" t="s">
        <v>600</v>
      </c>
      <c r="H582" t="s">
        <v>954</v>
      </c>
      <c r="I582">
        <v>10</v>
      </c>
      <c r="J582" t="b">
        <v>1</v>
      </c>
      <c r="K582">
        <v>2.5</v>
      </c>
      <c r="L582">
        <v>2106201</v>
      </c>
      <c r="M582" t="s">
        <v>602</v>
      </c>
      <c r="N582">
        <v>4</v>
      </c>
      <c r="O582">
        <v>4</v>
      </c>
      <c r="P582"/>
      <c r="Q582">
        <v>2301936</v>
      </c>
      <c r="R582">
        <v>1</v>
      </c>
      <c r="S582" t="s">
        <v>40</v>
      </c>
      <c r="T582">
        <v>261</v>
      </c>
      <c r="U582">
        <v>147664</v>
      </c>
      <c r="V582">
        <v>24</v>
      </c>
      <c r="W582" t="s">
        <v>40</v>
      </c>
      <c r="X582">
        <v>261</v>
      </c>
      <c r="Y582" t="s">
        <v>377</v>
      </c>
      <c r="Z582" t="s">
        <v>378</v>
      </c>
      <c r="AA582" t="s">
        <v>379</v>
      </c>
      <c r="AB582" t="s">
        <v>384</v>
      </c>
      <c r="AC582" t="s">
        <v>41</v>
      </c>
      <c r="AD582" t="s">
        <v>41</v>
      </c>
      <c r="AE582" t="s">
        <v>41</v>
      </c>
      <c r="AF582" t="s">
        <v>41</v>
      </c>
      <c r="AK582"/>
    </row>
    <row r="583" spans="1:37" x14ac:dyDescent="0.25">
      <c r="A583" t="s">
        <v>38</v>
      </c>
      <c r="B583">
        <v>45952.550532407404</v>
      </c>
      <c r="C583">
        <v>91932</v>
      </c>
      <c r="D583" t="s">
        <v>1043</v>
      </c>
      <c r="E583">
        <v>4500483</v>
      </c>
      <c r="F583">
        <v>2104881</v>
      </c>
      <c r="G583" t="s">
        <v>600</v>
      </c>
      <c r="H583" t="s">
        <v>954</v>
      </c>
      <c r="I583">
        <v>10</v>
      </c>
      <c r="J583" t="b">
        <v>1</v>
      </c>
      <c r="K583">
        <v>2</v>
      </c>
      <c r="L583">
        <v>2106201</v>
      </c>
      <c r="M583" t="s">
        <v>602</v>
      </c>
      <c r="N583">
        <v>5</v>
      </c>
      <c r="O583">
        <v>5</v>
      </c>
      <c r="P583"/>
      <c r="Q583">
        <v>2301936</v>
      </c>
      <c r="R583">
        <v>1</v>
      </c>
      <c r="S583" t="s">
        <v>40</v>
      </c>
      <c r="T583">
        <v>261</v>
      </c>
      <c r="U583">
        <v>147664</v>
      </c>
      <c r="V583">
        <v>24</v>
      </c>
      <c r="W583" t="s">
        <v>40</v>
      </c>
      <c r="X583">
        <v>261</v>
      </c>
      <c r="Y583" t="s">
        <v>377</v>
      </c>
      <c r="Z583" t="s">
        <v>378</v>
      </c>
      <c r="AA583" t="s">
        <v>379</v>
      </c>
      <c r="AB583" t="s">
        <v>559</v>
      </c>
      <c r="AC583" t="s">
        <v>41</v>
      </c>
      <c r="AD583" t="s">
        <v>41</v>
      </c>
      <c r="AE583" t="s">
        <v>41</v>
      </c>
      <c r="AF583" t="s">
        <v>41</v>
      </c>
      <c r="AK583"/>
    </row>
    <row r="584" spans="1:37" x14ac:dyDescent="0.25">
      <c r="A584" t="s">
        <v>47</v>
      </c>
      <c r="B584">
        <v>45952.55641203704</v>
      </c>
      <c r="C584">
        <v>92441</v>
      </c>
      <c r="D584" t="s">
        <v>1043</v>
      </c>
      <c r="E584">
        <v>4498735</v>
      </c>
      <c r="F584">
        <v>133860</v>
      </c>
      <c r="G584" t="s">
        <v>607</v>
      </c>
      <c r="H584" t="s">
        <v>1004</v>
      </c>
      <c r="I584">
        <v>1.5</v>
      </c>
      <c r="J584" t="b">
        <v>1</v>
      </c>
      <c r="K584">
        <v>9.3749999999999997E-3</v>
      </c>
      <c r="L584">
        <v>133866</v>
      </c>
      <c r="M584" t="s">
        <v>608</v>
      </c>
      <c r="N584">
        <v>160</v>
      </c>
      <c r="O584">
        <v>160</v>
      </c>
      <c r="P584"/>
      <c r="Q584">
        <v>0</v>
      </c>
      <c r="R584">
        <v>0</v>
      </c>
      <c r="S584" t="s">
        <v>40</v>
      </c>
      <c r="T584">
        <v>261</v>
      </c>
      <c r="W584"/>
      <c r="Y584" t="s">
        <v>377</v>
      </c>
      <c r="Z584" t="s">
        <v>378</v>
      </c>
      <c r="AA584" t="s">
        <v>379</v>
      </c>
      <c r="AB584" t="s">
        <v>645</v>
      </c>
      <c r="AC584" t="s">
        <v>41</v>
      </c>
      <c r="AD584" t="s">
        <v>41</v>
      </c>
      <c r="AE584" t="s">
        <v>41</v>
      </c>
      <c r="AF584" t="s">
        <v>41</v>
      </c>
      <c r="AK584"/>
    </row>
    <row r="585" spans="1:37" x14ac:dyDescent="0.25">
      <c r="A585" t="s">
        <v>43</v>
      </c>
      <c r="B585">
        <v>45952.641331018516</v>
      </c>
      <c r="C585">
        <v>91795</v>
      </c>
      <c r="D585" t="s">
        <v>1043</v>
      </c>
      <c r="E585">
        <v>4501055</v>
      </c>
      <c r="F585">
        <v>2104817</v>
      </c>
      <c r="G585" t="s">
        <v>1062</v>
      </c>
      <c r="H585" t="s">
        <v>930</v>
      </c>
      <c r="I585">
        <v>7.5</v>
      </c>
      <c r="J585" t="b">
        <v>1</v>
      </c>
      <c r="K585">
        <v>0.25</v>
      </c>
      <c r="L585">
        <v>2106138</v>
      </c>
      <c r="M585" t="s">
        <v>1063</v>
      </c>
      <c r="N585">
        <v>30</v>
      </c>
      <c r="O585">
        <v>30</v>
      </c>
      <c r="P585"/>
      <c r="Q585">
        <v>2301936</v>
      </c>
      <c r="R585">
        <v>1</v>
      </c>
      <c r="S585" t="s">
        <v>40</v>
      </c>
      <c r="T585">
        <v>261</v>
      </c>
      <c r="U585">
        <v>147664</v>
      </c>
      <c r="V585">
        <v>24</v>
      </c>
      <c r="W585" t="s">
        <v>40</v>
      </c>
      <c r="X585">
        <v>261</v>
      </c>
      <c r="Y585" t="s">
        <v>377</v>
      </c>
      <c r="Z585" t="s">
        <v>378</v>
      </c>
      <c r="AA585" t="s">
        <v>379</v>
      </c>
      <c r="AB585" t="s">
        <v>1058</v>
      </c>
      <c r="AC585" t="s">
        <v>41</v>
      </c>
      <c r="AD585" t="s">
        <v>41</v>
      </c>
      <c r="AE585" t="s">
        <v>41</v>
      </c>
      <c r="AF585" t="s">
        <v>41</v>
      </c>
      <c r="AK585"/>
    </row>
    <row r="586" spans="1:37" x14ac:dyDescent="0.25">
      <c r="A586" t="s">
        <v>44</v>
      </c>
      <c r="B586">
        <v>45952.860532407409</v>
      </c>
      <c r="C586">
        <v>91165</v>
      </c>
      <c r="D586" t="s">
        <v>1025</v>
      </c>
      <c r="E586">
        <v>4500179</v>
      </c>
      <c r="F586">
        <v>155446</v>
      </c>
      <c r="G586" t="s">
        <v>785</v>
      </c>
      <c r="H586" t="s">
        <v>1002</v>
      </c>
      <c r="I586">
        <v>7</v>
      </c>
      <c r="J586" t="b">
        <v>1</v>
      </c>
      <c r="K586">
        <v>2.3333333333333335</v>
      </c>
      <c r="L586">
        <v>155444</v>
      </c>
      <c r="M586" t="s">
        <v>786</v>
      </c>
      <c r="N586">
        <v>3</v>
      </c>
      <c r="O586">
        <v>6</v>
      </c>
      <c r="P586"/>
      <c r="Q586">
        <v>155687</v>
      </c>
      <c r="R586">
        <v>2</v>
      </c>
      <c r="S586" t="s">
        <v>40</v>
      </c>
      <c r="T586">
        <v>261</v>
      </c>
      <c r="U586">
        <v>147664</v>
      </c>
      <c r="V586">
        <v>48</v>
      </c>
      <c r="W586" t="s">
        <v>40</v>
      </c>
      <c r="X586">
        <v>261</v>
      </c>
      <c r="Y586" t="s">
        <v>377</v>
      </c>
      <c r="Z586" t="s">
        <v>378</v>
      </c>
      <c r="AA586" t="s">
        <v>379</v>
      </c>
      <c r="AB586" t="s">
        <v>622</v>
      </c>
      <c r="AC586" t="s">
        <v>41</v>
      </c>
      <c r="AD586" t="s">
        <v>41</v>
      </c>
      <c r="AE586" t="s">
        <v>41</v>
      </c>
      <c r="AF586" t="s">
        <v>41</v>
      </c>
      <c r="AK586"/>
    </row>
    <row r="587" spans="1:37" x14ac:dyDescent="0.25">
      <c r="A587" t="s">
        <v>44</v>
      </c>
      <c r="B587">
        <v>45952.861608796295</v>
      </c>
      <c r="C587">
        <v>91165</v>
      </c>
      <c r="D587" t="s">
        <v>1025</v>
      </c>
      <c r="E587">
        <v>4500178</v>
      </c>
      <c r="F587">
        <v>155446</v>
      </c>
      <c r="G587" t="s">
        <v>785</v>
      </c>
      <c r="H587" t="s">
        <v>1002</v>
      </c>
      <c r="I587">
        <v>7</v>
      </c>
      <c r="J587" t="b">
        <v>1</v>
      </c>
      <c r="K587">
        <v>2.3333333333333335</v>
      </c>
      <c r="L587">
        <v>155444</v>
      </c>
      <c r="M587" t="s">
        <v>786</v>
      </c>
      <c r="N587">
        <v>3</v>
      </c>
      <c r="O587">
        <v>4</v>
      </c>
      <c r="P587"/>
      <c r="Q587">
        <v>155687</v>
      </c>
      <c r="R587">
        <v>1</v>
      </c>
      <c r="S587" t="s">
        <v>40</v>
      </c>
      <c r="T587">
        <v>261</v>
      </c>
      <c r="U587">
        <v>147664</v>
      </c>
      <c r="V587">
        <v>24</v>
      </c>
      <c r="W587" t="s">
        <v>40</v>
      </c>
      <c r="X587">
        <v>261</v>
      </c>
      <c r="Y587" t="s">
        <v>377</v>
      </c>
      <c r="Z587" t="s">
        <v>378</v>
      </c>
      <c r="AA587" t="s">
        <v>379</v>
      </c>
      <c r="AB587" t="s">
        <v>622</v>
      </c>
      <c r="AC587" t="s">
        <v>41</v>
      </c>
      <c r="AD587" t="s">
        <v>41</v>
      </c>
      <c r="AE587" t="s">
        <v>41</v>
      </c>
      <c r="AF587" t="s">
        <v>41</v>
      </c>
      <c r="AK587"/>
    </row>
    <row r="588" spans="1:37" x14ac:dyDescent="0.25">
      <c r="A588" t="s">
        <v>39</v>
      </c>
      <c r="B588">
        <v>45953.024467592593</v>
      </c>
      <c r="C588">
        <v>91793</v>
      </c>
      <c r="D588" t="s">
        <v>1025</v>
      </c>
      <c r="E588">
        <v>4500852</v>
      </c>
      <c r="F588">
        <v>2123927</v>
      </c>
      <c r="G588" t="s">
        <v>1064</v>
      </c>
      <c r="H588" t="s">
        <v>979</v>
      </c>
      <c r="I588">
        <v>4.5</v>
      </c>
      <c r="J588" t="b">
        <v>1</v>
      </c>
      <c r="K588">
        <v>0.125</v>
      </c>
      <c r="L588">
        <v>2124297</v>
      </c>
      <c r="M588" t="s">
        <v>1065</v>
      </c>
      <c r="N588">
        <v>36</v>
      </c>
      <c r="O588">
        <v>18</v>
      </c>
      <c r="P588"/>
      <c r="Q588">
        <v>134974</v>
      </c>
      <c r="R588">
        <v>1</v>
      </c>
      <c r="S588" t="s">
        <v>40</v>
      </c>
      <c r="T588">
        <v>261</v>
      </c>
      <c r="W588"/>
      <c r="Y588" t="s">
        <v>377</v>
      </c>
      <c r="Z588" t="s">
        <v>378</v>
      </c>
      <c r="AA588" t="s">
        <v>379</v>
      </c>
      <c r="AB588" t="s">
        <v>1066</v>
      </c>
      <c r="AC588" t="s">
        <v>41</v>
      </c>
      <c r="AD588" t="s">
        <v>41</v>
      </c>
      <c r="AE588" t="s">
        <v>41</v>
      </c>
      <c r="AF588" t="s">
        <v>41</v>
      </c>
      <c r="AK588"/>
    </row>
    <row r="589" spans="1:37" x14ac:dyDescent="0.25">
      <c r="A589" t="s">
        <v>37</v>
      </c>
      <c r="B589">
        <v>45953.105462962965</v>
      </c>
      <c r="C589">
        <v>91931</v>
      </c>
      <c r="D589" t="s">
        <v>1025</v>
      </c>
      <c r="E589">
        <v>4500932</v>
      </c>
      <c r="F589">
        <v>2104880</v>
      </c>
      <c r="G589" t="s">
        <v>577</v>
      </c>
      <c r="H589" t="s">
        <v>1049</v>
      </c>
      <c r="I589">
        <v>5</v>
      </c>
      <c r="J589" t="b">
        <v>1</v>
      </c>
      <c r="K589">
        <v>1</v>
      </c>
      <c r="L589">
        <v>2106200</v>
      </c>
      <c r="M589" t="s">
        <v>579</v>
      </c>
      <c r="N589">
        <v>5</v>
      </c>
      <c r="O589">
        <v>5</v>
      </c>
      <c r="P589"/>
      <c r="Q589">
        <v>134906</v>
      </c>
      <c r="R589">
        <v>1</v>
      </c>
      <c r="S589" t="s">
        <v>40</v>
      </c>
      <c r="T589">
        <v>261</v>
      </c>
      <c r="U589">
        <v>147664</v>
      </c>
      <c r="V589">
        <v>24</v>
      </c>
      <c r="W589" t="s">
        <v>40</v>
      </c>
      <c r="X589">
        <v>261</v>
      </c>
      <c r="Y589" t="s">
        <v>377</v>
      </c>
      <c r="Z589" t="s">
        <v>378</v>
      </c>
      <c r="AA589" t="s">
        <v>379</v>
      </c>
      <c r="AB589" t="s">
        <v>559</v>
      </c>
      <c r="AC589" t="s">
        <v>41</v>
      </c>
      <c r="AD589" t="s">
        <v>41</v>
      </c>
      <c r="AE589" t="s">
        <v>41</v>
      </c>
      <c r="AF589" t="s">
        <v>41</v>
      </c>
      <c r="AK589"/>
    </row>
    <row r="590" spans="1:37" x14ac:dyDescent="0.25">
      <c r="A590" t="s">
        <v>37</v>
      </c>
      <c r="B590">
        <v>45953.106886574074</v>
      </c>
      <c r="C590">
        <v>91931</v>
      </c>
      <c r="D590" t="s">
        <v>1025</v>
      </c>
      <c r="E590">
        <v>4500931</v>
      </c>
      <c r="F590">
        <v>2104880</v>
      </c>
      <c r="G590" t="s">
        <v>577</v>
      </c>
      <c r="H590" t="s">
        <v>1049</v>
      </c>
      <c r="I590">
        <v>5</v>
      </c>
      <c r="J590" t="b">
        <v>1</v>
      </c>
      <c r="K590">
        <v>1.25</v>
      </c>
      <c r="L590">
        <v>2106200</v>
      </c>
      <c r="M590" t="s">
        <v>579</v>
      </c>
      <c r="N590">
        <v>4</v>
      </c>
      <c r="O590">
        <v>4</v>
      </c>
      <c r="P590"/>
      <c r="Q590">
        <v>134906</v>
      </c>
      <c r="R590">
        <v>1</v>
      </c>
      <c r="S590" t="s">
        <v>40</v>
      </c>
      <c r="T590">
        <v>261</v>
      </c>
      <c r="U590">
        <v>147664</v>
      </c>
      <c r="V590">
        <v>24</v>
      </c>
      <c r="W590" t="s">
        <v>40</v>
      </c>
      <c r="X590">
        <v>261</v>
      </c>
      <c r="Y590" t="s">
        <v>377</v>
      </c>
      <c r="Z590" t="s">
        <v>378</v>
      </c>
      <c r="AA590" t="s">
        <v>379</v>
      </c>
      <c r="AB590" t="s">
        <v>384</v>
      </c>
      <c r="AC590" t="s">
        <v>41</v>
      </c>
      <c r="AD590" t="s">
        <v>41</v>
      </c>
      <c r="AE590" t="s">
        <v>41</v>
      </c>
      <c r="AF590" t="s">
        <v>41</v>
      </c>
      <c r="AK590"/>
    </row>
    <row r="591" spans="1:37" x14ac:dyDescent="0.25">
      <c r="A591" t="s">
        <v>38</v>
      </c>
      <c r="B591">
        <v>45953.216226851851</v>
      </c>
      <c r="C591">
        <v>91796</v>
      </c>
      <c r="D591" t="s">
        <v>1025</v>
      </c>
      <c r="E591">
        <v>4501036</v>
      </c>
      <c r="F591">
        <v>2104859</v>
      </c>
      <c r="G591" t="s">
        <v>1067</v>
      </c>
      <c r="H591" t="s">
        <v>930</v>
      </c>
      <c r="I591">
        <v>7.5</v>
      </c>
      <c r="J591" t="b">
        <v>1</v>
      </c>
      <c r="K591">
        <v>0.25</v>
      </c>
      <c r="L591">
        <v>2106179</v>
      </c>
      <c r="M591" t="s">
        <v>1068</v>
      </c>
      <c r="N591">
        <v>30</v>
      </c>
      <c r="O591">
        <v>30</v>
      </c>
      <c r="P591"/>
      <c r="Q591">
        <v>134971</v>
      </c>
      <c r="R591">
        <v>1</v>
      </c>
      <c r="S591" t="s">
        <v>40</v>
      </c>
      <c r="T591">
        <v>261</v>
      </c>
      <c r="U591">
        <v>147664</v>
      </c>
      <c r="V591">
        <v>24</v>
      </c>
      <c r="W591" t="s">
        <v>40</v>
      </c>
      <c r="X591">
        <v>261</v>
      </c>
      <c r="Y591" t="s">
        <v>377</v>
      </c>
      <c r="Z591" t="s">
        <v>378</v>
      </c>
      <c r="AA591" t="s">
        <v>379</v>
      </c>
      <c r="AB591" t="s">
        <v>1058</v>
      </c>
      <c r="AC591" t="s">
        <v>41</v>
      </c>
      <c r="AD591" t="s">
        <v>41</v>
      </c>
      <c r="AE591" t="s">
        <v>41</v>
      </c>
      <c r="AF591" t="s">
        <v>41</v>
      </c>
      <c r="AK591"/>
    </row>
    <row r="592" spans="1:37" x14ac:dyDescent="0.25">
      <c r="A592" t="s">
        <v>42</v>
      </c>
      <c r="B592">
        <v>45953.321006944447</v>
      </c>
      <c r="C592">
        <v>92531</v>
      </c>
      <c r="D592" t="s">
        <v>646</v>
      </c>
      <c r="E592">
        <v>4497342</v>
      </c>
      <c r="F592">
        <v>0</v>
      </c>
      <c r="H592" t="s">
        <v>826</v>
      </c>
      <c r="I592">
        <v>64.25</v>
      </c>
      <c r="J592" t="b">
        <v>0</v>
      </c>
      <c r="K592">
        <v>0.15825123152709358</v>
      </c>
      <c r="L592">
        <v>2310136</v>
      </c>
      <c r="M592" t="s">
        <v>1053</v>
      </c>
      <c r="N592">
        <v>406</v>
      </c>
      <c r="O592">
        <v>400</v>
      </c>
      <c r="P592"/>
      <c r="Q592">
        <v>134974</v>
      </c>
      <c r="R592">
        <v>1</v>
      </c>
      <c r="S592" t="s">
        <v>40</v>
      </c>
      <c r="T592">
        <v>261</v>
      </c>
      <c r="W592"/>
      <c r="Y592" t="s">
        <v>377</v>
      </c>
      <c r="Z592" t="s">
        <v>378</v>
      </c>
      <c r="AA592" t="s">
        <v>379</v>
      </c>
      <c r="AB592" t="s">
        <v>805</v>
      </c>
      <c r="AC592" t="s">
        <v>41</v>
      </c>
      <c r="AD592" t="s">
        <v>41</v>
      </c>
      <c r="AE592" t="s">
        <v>41</v>
      </c>
      <c r="AF592" t="s">
        <v>41</v>
      </c>
      <c r="AK592"/>
    </row>
    <row r="593" spans="1:37" x14ac:dyDescent="0.25">
      <c r="A593" t="s">
        <v>42</v>
      </c>
      <c r="B593">
        <v>45953.32607638889</v>
      </c>
      <c r="C593">
        <v>92531</v>
      </c>
      <c r="D593" t="s">
        <v>646</v>
      </c>
      <c r="E593">
        <v>4497432</v>
      </c>
      <c r="F593">
        <v>2310135</v>
      </c>
      <c r="G593" t="s">
        <v>1052</v>
      </c>
      <c r="H593" t="s">
        <v>826</v>
      </c>
      <c r="I593">
        <v>64.25</v>
      </c>
      <c r="J593" t="b">
        <v>1</v>
      </c>
      <c r="K593">
        <v>0.15825123152709358</v>
      </c>
      <c r="L593">
        <v>2310136</v>
      </c>
      <c r="M593" t="s">
        <v>1053</v>
      </c>
      <c r="N593">
        <v>406</v>
      </c>
      <c r="O593">
        <v>400</v>
      </c>
      <c r="P593"/>
      <c r="Q593">
        <v>134974</v>
      </c>
      <c r="R593">
        <v>1</v>
      </c>
      <c r="S593" t="s">
        <v>40</v>
      </c>
      <c r="T593">
        <v>261</v>
      </c>
      <c r="W593"/>
      <c r="Y593" t="s">
        <v>377</v>
      </c>
      <c r="Z593" t="s">
        <v>378</v>
      </c>
      <c r="AA593" t="s">
        <v>379</v>
      </c>
      <c r="AB593" t="s">
        <v>805</v>
      </c>
      <c r="AC593" t="s">
        <v>41</v>
      </c>
      <c r="AD593" t="s">
        <v>41</v>
      </c>
      <c r="AE593" t="s">
        <v>41</v>
      </c>
      <c r="AF593" t="s">
        <v>41</v>
      </c>
      <c r="AK593"/>
    </row>
    <row r="594" spans="1:37" x14ac:dyDescent="0.25">
      <c r="A594" t="s">
        <v>47</v>
      </c>
      <c r="B594">
        <v>45953.390960648147</v>
      </c>
      <c r="C594">
        <v>90689</v>
      </c>
      <c r="D594" t="s">
        <v>646</v>
      </c>
      <c r="E594">
        <v>4501082</v>
      </c>
      <c r="F594">
        <v>2105798</v>
      </c>
      <c r="G594" t="s">
        <v>1069</v>
      </c>
      <c r="H594" t="s">
        <v>930</v>
      </c>
      <c r="I594">
        <v>10</v>
      </c>
      <c r="J594" t="b">
        <v>1</v>
      </c>
      <c r="K594">
        <v>8.1967213114754092E-2</v>
      </c>
      <c r="L594">
        <v>2107049</v>
      </c>
      <c r="M594" t="s">
        <v>1070</v>
      </c>
      <c r="N594">
        <v>122</v>
      </c>
      <c r="O594">
        <v>286</v>
      </c>
      <c r="P594"/>
      <c r="Q594">
        <v>134976</v>
      </c>
      <c r="R594">
        <v>1</v>
      </c>
      <c r="S594" t="s">
        <v>40</v>
      </c>
      <c r="T594">
        <v>261</v>
      </c>
      <c r="W594"/>
      <c r="Y594" t="s">
        <v>377</v>
      </c>
      <c r="Z594" t="s">
        <v>378</v>
      </c>
      <c r="AA594" t="s">
        <v>379</v>
      </c>
      <c r="AB594" t="s">
        <v>1071</v>
      </c>
      <c r="AC594" t="s">
        <v>41</v>
      </c>
      <c r="AD594" t="s">
        <v>41</v>
      </c>
      <c r="AE594" t="s">
        <v>41</v>
      </c>
      <c r="AF594" t="s">
        <v>41</v>
      </c>
      <c r="AK594"/>
    </row>
    <row r="595" spans="1:37" x14ac:dyDescent="0.25">
      <c r="A595" t="s">
        <v>37</v>
      </c>
      <c r="B595">
        <v>45953.534444444442</v>
      </c>
      <c r="C595">
        <v>91797</v>
      </c>
      <c r="D595" t="s">
        <v>646</v>
      </c>
      <c r="E595">
        <v>4501037</v>
      </c>
      <c r="F595">
        <v>2104859</v>
      </c>
      <c r="G595" t="s">
        <v>1067</v>
      </c>
      <c r="H595" t="s">
        <v>979</v>
      </c>
      <c r="I595">
        <v>7.5</v>
      </c>
      <c r="J595" t="b">
        <v>1</v>
      </c>
      <c r="K595">
        <v>0.25</v>
      </c>
      <c r="L595">
        <v>2106179</v>
      </c>
      <c r="M595" t="s">
        <v>1068</v>
      </c>
      <c r="N595">
        <v>30</v>
      </c>
      <c r="O595">
        <v>47</v>
      </c>
      <c r="P595"/>
      <c r="Q595">
        <v>134971</v>
      </c>
      <c r="R595">
        <v>1</v>
      </c>
      <c r="S595" t="s">
        <v>40</v>
      </c>
      <c r="T595">
        <v>261</v>
      </c>
      <c r="U595">
        <v>147664</v>
      </c>
      <c r="V595">
        <v>24</v>
      </c>
      <c r="W595" t="s">
        <v>40</v>
      </c>
      <c r="X595">
        <v>261</v>
      </c>
      <c r="Y595" t="s">
        <v>377</v>
      </c>
      <c r="Z595" t="s">
        <v>378</v>
      </c>
      <c r="AA595" t="s">
        <v>379</v>
      </c>
      <c r="AB595" t="s">
        <v>1058</v>
      </c>
      <c r="AC595" t="s">
        <v>41</v>
      </c>
      <c r="AD595" t="s">
        <v>41</v>
      </c>
      <c r="AE595" t="s">
        <v>41</v>
      </c>
      <c r="AF595" t="s">
        <v>41</v>
      </c>
      <c r="AK595"/>
    </row>
    <row r="596" spans="1:37" x14ac:dyDescent="0.25">
      <c r="A596" t="s">
        <v>44</v>
      </c>
      <c r="B596">
        <v>45953.664282407408</v>
      </c>
      <c r="C596">
        <v>91166</v>
      </c>
      <c r="D596" t="s">
        <v>646</v>
      </c>
      <c r="E596">
        <v>4495169</v>
      </c>
      <c r="F596">
        <v>113677</v>
      </c>
      <c r="G596" t="s">
        <v>687</v>
      </c>
      <c r="H596" t="s">
        <v>1072</v>
      </c>
      <c r="I596">
        <v>14</v>
      </c>
      <c r="J596" t="b">
        <v>1</v>
      </c>
      <c r="K596">
        <v>1.75</v>
      </c>
      <c r="L596">
        <v>113679</v>
      </c>
      <c r="M596" t="s">
        <v>689</v>
      </c>
      <c r="N596">
        <v>8</v>
      </c>
      <c r="O596">
        <v>8</v>
      </c>
      <c r="P596"/>
      <c r="Q596">
        <v>0</v>
      </c>
      <c r="R596">
        <v>0</v>
      </c>
      <c r="S596" t="s">
        <v>40</v>
      </c>
      <c r="T596">
        <v>261</v>
      </c>
      <c r="W596"/>
      <c r="Y596" t="s">
        <v>377</v>
      </c>
      <c r="Z596" t="s">
        <v>378</v>
      </c>
      <c r="AA596" t="s">
        <v>379</v>
      </c>
      <c r="AB596" t="s">
        <v>400</v>
      </c>
      <c r="AC596" t="s">
        <v>41</v>
      </c>
      <c r="AD596" t="s">
        <v>41</v>
      </c>
      <c r="AE596" t="s">
        <v>41</v>
      </c>
      <c r="AF596" t="s">
        <v>41</v>
      </c>
      <c r="AK596"/>
    </row>
    <row r="597" spans="1:37" x14ac:dyDescent="0.25">
      <c r="A597" t="s">
        <v>42</v>
      </c>
      <c r="B597">
        <v>45953.827372685184</v>
      </c>
      <c r="C597">
        <v>91798</v>
      </c>
      <c r="D597" t="s">
        <v>494</v>
      </c>
      <c r="E597">
        <v>4501038</v>
      </c>
      <c r="F597">
        <v>2104859</v>
      </c>
      <c r="G597" t="s">
        <v>1067</v>
      </c>
      <c r="H597" t="s">
        <v>951</v>
      </c>
      <c r="I597">
        <v>7.5</v>
      </c>
      <c r="J597" t="b">
        <v>1</v>
      </c>
      <c r="K597">
        <v>0.25</v>
      </c>
      <c r="L597">
        <v>2106179</v>
      </c>
      <c r="M597" t="s">
        <v>1068</v>
      </c>
      <c r="N597">
        <v>30</v>
      </c>
      <c r="O597">
        <v>30</v>
      </c>
      <c r="P597"/>
      <c r="Q597">
        <v>134971</v>
      </c>
      <c r="R597">
        <v>1</v>
      </c>
      <c r="S597" t="s">
        <v>40</v>
      </c>
      <c r="T597">
        <v>261</v>
      </c>
      <c r="U597">
        <v>147664</v>
      </c>
      <c r="V597">
        <v>24</v>
      </c>
      <c r="W597" t="s">
        <v>40</v>
      </c>
      <c r="X597">
        <v>261</v>
      </c>
      <c r="Y597" t="s">
        <v>377</v>
      </c>
      <c r="Z597" t="s">
        <v>378</v>
      </c>
      <c r="AA597" t="s">
        <v>379</v>
      </c>
      <c r="AB597" t="s">
        <v>1058</v>
      </c>
      <c r="AC597" t="s">
        <v>41</v>
      </c>
      <c r="AD597" t="s">
        <v>41</v>
      </c>
      <c r="AE597" t="s">
        <v>41</v>
      </c>
      <c r="AF597" t="s">
        <v>41</v>
      </c>
      <c r="AK597"/>
    </row>
    <row r="598" spans="1:37" x14ac:dyDescent="0.25">
      <c r="A598" t="s">
        <v>39</v>
      </c>
      <c r="B598">
        <v>45953.987384259257</v>
      </c>
      <c r="C598">
        <v>89560</v>
      </c>
      <c r="D598" t="s">
        <v>494</v>
      </c>
      <c r="E598">
        <v>4500061</v>
      </c>
      <c r="F598">
        <v>105472</v>
      </c>
      <c r="G598" t="s">
        <v>1055</v>
      </c>
      <c r="H598" t="s">
        <v>1004</v>
      </c>
      <c r="I598">
        <v>10</v>
      </c>
      <c r="J598" t="b">
        <v>1</v>
      </c>
      <c r="K598">
        <v>0.83333333333333337</v>
      </c>
      <c r="L598">
        <v>2106246</v>
      </c>
      <c r="M598" t="s">
        <v>1056</v>
      </c>
      <c r="N598">
        <v>12</v>
      </c>
      <c r="O598">
        <v>12</v>
      </c>
      <c r="P598"/>
      <c r="Q598">
        <v>134905</v>
      </c>
      <c r="R598">
        <v>2</v>
      </c>
      <c r="S598" t="s">
        <v>40</v>
      </c>
      <c r="T598">
        <v>261</v>
      </c>
      <c r="U598">
        <v>147664</v>
      </c>
      <c r="V598">
        <v>48</v>
      </c>
      <c r="W598" t="s">
        <v>40</v>
      </c>
      <c r="X598">
        <v>261</v>
      </c>
      <c r="Y598" t="s">
        <v>377</v>
      </c>
      <c r="Z598" t="s">
        <v>378</v>
      </c>
      <c r="AA598" t="s">
        <v>379</v>
      </c>
      <c r="AB598" t="s">
        <v>400</v>
      </c>
      <c r="AC598" t="s">
        <v>379</v>
      </c>
      <c r="AD598" t="s">
        <v>384</v>
      </c>
      <c r="AE598" t="s">
        <v>41</v>
      </c>
      <c r="AF598" t="s">
        <v>41</v>
      </c>
      <c r="AK598"/>
    </row>
    <row r="599" spans="1:37" x14ac:dyDescent="0.25">
      <c r="A599" t="s">
        <v>37</v>
      </c>
      <c r="B599">
        <v>45954.081701388888</v>
      </c>
      <c r="C599">
        <v>91799</v>
      </c>
      <c r="D599" t="s">
        <v>494</v>
      </c>
      <c r="E599">
        <v>4501034</v>
      </c>
      <c r="F599">
        <v>2106179</v>
      </c>
      <c r="G599" t="s">
        <v>1068</v>
      </c>
      <c r="H599" t="s">
        <v>924</v>
      </c>
      <c r="I599">
        <v>7.5</v>
      </c>
      <c r="J599" t="b">
        <v>1</v>
      </c>
      <c r="K599">
        <v>0.25</v>
      </c>
      <c r="L599">
        <v>2106179</v>
      </c>
      <c r="M599" t="s">
        <v>1068</v>
      </c>
      <c r="N599">
        <v>30</v>
      </c>
      <c r="O599">
        <v>30</v>
      </c>
      <c r="P599"/>
      <c r="Q599">
        <v>134971</v>
      </c>
      <c r="R599">
        <v>1</v>
      </c>
      <c r="S599" t="s">
        <v>40</v>
      </c>
      <c r="T599">
        <v>261</v>
      </c>
      <c r="U599">
        <v>147664</v>
      </c>
      <c r="V599">
        <v>24</v>
      </c>
      <c r="W599" t="s">
        <v>40</v>
      </c>
      <c r="X599">
        <v>261</v>
      </c>
      <c r="Y599" t="s">
        <v>377</v>
      </c>
      <c r="Z599" t="s">
        <v>378</v>
      </c>
      <c r="AA599" t="s">
        <v>379</v>
      </c>
      <c r="AB599" t="s">
        <v>1058</v>
      </c>
      <c r="AC599" t="s">
        <v>41</v>
      </c>
      <c r="AD599" t="s">
        <v>41</v>
      </c>
      <c r="AE599" t="s">
        <v>41</v>
      </c>
      <c r="AF599" t="s">
        <v>41</v>
      </c>
      <c r="AK599"/>
    </row>
    <row r="600" spans="1:37" x14ac:dyDescent="0.25">
      <c r="A600" t="s">
        <v>38</v>
      </c>
      <c r="B600">
        <v>45954.184618055559</v>
      </c>
      <c r="C600">
        <v>91935</v>
      </c>
      <c r="D600" t="s">
        <v>494</v>
      </c>
      <c r="E600">
        <v>4500934</v>
      </c>
      <c r="F600">
        <v>2104880</v>
      </c>
      <c r="G600" t="s">
        <v>577</v>
      </c>
      <c r="H600" t="s">
        <v>1072</v>
      </c>
      <c r="I600">
        <v>10</v>
      </c>
      <c r="J600" t="b">
        <v>1</v>
      </c>
      <c r="K600">
        <v>2</v>
      </c>
      <c r="L600">
        <v>2104880</v>
      </c>
      <c r="M600" t="s">
        <v>577</v>
      </c>
      <c r="N600">
        <v>5</v>
      </c>
      <c r="O600">
        <v>9</v>
      </c>
      <c r="P600"/>
      <c r="Q600">
        <v>134905</v>
      </c>
      <c r="R600">
        <v>2</v>
      </c>
      <c r="S600" t="s">
        <v>40</v>
      </c>
      <c r="T600">
        <v>261</v>
      </c>
      <c r="U600">
        <v>147664</v>
      </c>
      <c r="V600">
        <v>48</v>
      </c>
      <c r="W600" t="s">
        <v>40</v>
      </c>
      <c r="X600">
        <v>261</v>
      </c>
      <c r="Y600" t="s">
        <v>377</v>
      </c>
      <c r="Z600" t="s">
        <v>378</v>
      </c>
      <c r="AA600" t="s">
        <v>379</v>
      </c>
      <c r="AB600" t="s">
        <v>559</v>
      </c>
      <c r="AC600" t="s">
        <v>41</v>
      </c>
      <c r="AD600" t="s">
        <v>41</v>
      </c>
      <c r="AE600" t="s">
        <v>41</v>
      </c>
      <c r="AF600" t="s">
        <v>41</v>
      </c>
      <c r="AK600"/>
    </row>
    <row r="601" spans="1:37" x14ac:dyDescent="0.25">
      <c r="A601" t="s">
        <v>38</v>
      </c>
      <c r="B601">
        <v>45954.185706018521</v>
      </c>
      <c r="C601">
        <v>91935</v>
      </c>
      <c r="D601" t="s">
        <v>494</v>
      </c>
      <c r="E601">
        <v>4500933</v>
      </c>
      <c r="F601">
        <v>2104880</v>
      </c>
      <c r="G601" t="s">
        <v>577</v>
      </c>
      <c r="H601" t="s">
        <v>1072</v>
      </c>
      <c r="I601">
        <v>10</v>
      </c>
      <c r="J601" t="b">
        <v>1</v>
      </c>
      <c r="K601">
        <v>2.5</v>
      </c>
      <c r="L601">
        <v>2104880</v>
      </c>
      <c r="M601" t="s">
        <v>577</v>
      </c>
      <c r="N601">
        <v>4</v>
      </c>
      <c r="O601">
        <v>4</v>
      </c>
      <c r="P601"/>
      <c r="Q601">
        <v>0</v>
      </c>
      <c r="R601">
        <v>0</v>
      </c>
      <c r="S601" t="s">
        <v>40</v>
      </c>
      <c r="T601">
        <v>261</v>
      </c>
      <c r="W601"/>
      <c r="Y601" t="s">
        <v>551</v>
      </c>
      <c r="Z601" t="s">
        <v>378</v>
      </c>
      <c r="AA601" t="s">
        <v>379</v>
      </c>
      <c r="AB601" t="s">
        <v>384</v>
      </c>
      <c r="AC601" t="s">
        <v>41</v>
      </c>
      <c r="AD601" t="s">
        <v>41</v>
      </c>
      <c r="AE601" t="s">
        <v>41</v>
      </c>
      <c r="AF601" t="s">
        <v>41</v>
      </c>
      <c r="AK601"/>
    </row>
    <row r="602" spans="1:37" x14ac:dyDescent="0.25">
      <c r="A602" t="s">
        <v>42</v>
      </c>
      <c r="B602">
        <v>45954.315682870372</v>
      </c>
      <c r="C602">
        <v>91780</v>
      </c>
      <c r="D602" t="s">
        <v>646</v>
      </c>
      <c r="E602">
        <v>4495450</v>
      </c>
      <c r="F602">
        <v>2300305</v>
      </c>
      <c r="G602" t="s">
        <v>1073</v>
      </c>
      <c r="H602" t="s">
        <v>979</v>
      </c>
      <c r="I602">
        <v>4.5</v>
      </c>
      <c r="J602" t="b">
        <v>1</v>
      </c>
      <c r="K602">
        <v>0.125</v>
      </c>
      <c r="L602">
        <v>2300306</v>
      </c>
      <c r="M602" t="s">
        <v>1074</v>
      </c>
      <c r="N602">
        <v>36</v>
      </c>
      <c r="O602">
        <v>36</v>
      </c>
      <c r="P602"/>
      <c r="Q602">
        <v>134976</v>
      </c>
      <c r="R602">
        <v>1</v>
      </c>
      <c r="S602" t="s">
        <v>40</v>
      </c>
      <c r="T602">
        <v>261</v>
      </c>
      <c r="W602"/>
      <c r="Y602" t="s">
        <v>377</v>
      </c>
      <c r="Z602" t="s">
        <v>378</v>
      </c>
      <c r="AA602" t="s">
        <v>379</v>
      </c>
      <c r="AB602" t="s">
        <v>1066</v>
      </c>
      <c r="AC602" t="s">
        <v>41</v>
      </c>
      <c r="AD602" t="s">
        <v>41</v>
      </c>
      <c r="AE602" t="s">
        <v>41</v>
      </c>
      <c r="AF602" t="s">
        <v>41</v>
      </c>
      <c r="AK602"/>
    </row>
    <row r="603" spans="1:37" x14ac:dyDescent="0.25">
      <c r="A603" t="s">
        <v>47</v>
      </c>
      <c r="B603">
        <v>45954.358749999999</v>
      </c>
      <c r="C603">
        <v>92445</v>
      </c>
      <c r="D603" t="s">
        <v>646</v>
      </c>
      <c r="E603">
        <v>4498029</v>
      </c>
      <c r="F603">
        <v>2309728</v>
      </c>
      <c r="G603" t="s">
        <v>1075</v>
      </c>
      <c r="H603" t="s">
        <v>618</v>
      </c>
      <c r="I603">
        <v>7.5</v>
      </c>
      <c r="J603" t="b">
        <v>1</v>
      </c>
      <c r="K603">
        <v>2.5862068965517241E-2</v>
      </c>
      <c r="L603">
        <v>2309729</v>
      </c>
      <c r="M603" t="s">
        <v>1076</v>
      </c>
      <c r="N603">
        <v>290</v>
      </c>
      <c r="O603">
        <v>282</v>
      </c>
      <c r="P603"/>
      <c r="Q603">
        <v>134974</v>
      </c>
      <c r="R603">
        <v>1</v>
      </c>
      <c r="S603" t="s">
        <v>40</v>
      </c>
      <c r="T603">
        <v>261</v>
      </c>
      <c r="W603"/>
      <c r="Y603" t="s">
        <v>377</v>
      </c>
      <c r="Z603" t="s">
        <v>378</v>
      </c>
      <c r="AA603" t="s">
        <v>379</v>
      </c>
      <c r="AB603" t="s">
        <v>475</v>
      </c>
      <c r="AC603" t="s">
        <v>41</v>
      </c>
      <c r="AD603" t="s">
        <v>41</v>
      </c>
      <c r="AE603" t="s">
        <v>41</v>
      </c>
      <c r="AF603" t="s">
        <v>41</v>
      </c>
      <c r="AK603"/>
    </row>
    <row r="604" spans="1:37" x14ac:dyDescent="0.25">
      <c r="A604" t="s">
        <v>38</v>
      </c>
      <c r="B604">
        <v>45954.377303240741</v>
      </c>
      <c r="C604">
        <v>91935</v>
      </c>
      <c r="D604" t="s">
        <v>457</v>
      </c>
      <c r="E604">
        <v>4500933</v>
      </c>
      <c r="F604">
        <v>2104880</v>
      </c>
      <c r="G604" t="s">
        <v>577</v>
      </c>
      <c r="H604" t="s">
        <v>1072</v>
      </c>
      <c r="I604">
        <v>5</v>
      </c>
      <c r="J604" t="b">
        <v>1</v>
      </c>
      <c r="K604">
        <v>1.25</v>
      </c>
      <c r="L604">
        <v>2106200</v>
      </c>
      <c r="M604" t="s">
        <v>579</v>
      </c>
      <c r="N604">
        <v>4</v>
      </c>
      <c r="O604">
        <v>4</v>
      </c>
      <c r="P604"/>
      <c r="Q604">
        <v>134905</v>
      </c>
      <c r="R604">
        <v>1</v>
      </c>
      <c r="S604" t="s">
        <v>40</v>
      </c>
      <c r="T604">
        <v>261</v>
      </c>
      <c r="U604">
        <v>147664</v>
      </c>
      <c r="V604">
        <v>24</v>
      </c>
      <c r="W604" t="s">
        <v>40</v>
      </c>
      <c r="X604">
        <v>261</v>
      </c>
      <c r="Y604" t="s">
        <v>377</v>
      </c>
      <c r="Z604" t="s">
        <v>378</v>
      </c>
      <c r="AA604" t="s">
        <v>379</v>
      </c>
      <c r="AB604" t="s">
        <v>384</v>
      </c>
      <c r="AC604" t="s">
        <v>41</v>
      </c>
      <c r="AD604" t="s">
        <v>41</v>
      </c>
      <c r="AE604" t="s">
        <v>41</v>
      </c>
      <c r="AF604" t="s">
        <v>41</v>
      </c>
      <c r="AK604"/>
    </row>
    <row r="605" spans="1:37" x14ac:dyDescent="0.25">
      <c r="A605" t="s">
        <v>38</v>
      </c>
      <c r="B605">
        <v>45954.377881944441</v>
      </c>
      <c r="C605">
        <v>91935</v>
      </c>
      <c r="D605" t="s">
        <v>457</v>
      </c>
      <c r="E605">
        <v>4500934</v>
      </c>
      <c r="F605">
        <v>2104880</v>
      </c>
      <c r="G605" t="s">
        <v>577</v>
      </c>
      <c r="H605" t="s">
        <v>1072</v>
      </c>
      <c r="I605">
        <v>5</v>
      </c>
      <c r="J605" t="b">
        <v>1</v>
      </c>
      <c r="K605">
        <v>1</v>
      </c>
      <c r="L605">
        <v>2106200</v>
      </c>
      <c r="M605" t="s">
        <v>579</v>
      </c>
      <c r="N605">
        <v>5</v>
      </c>
      <c r="O605">
        <v>5</v>
      </c>
      <c r="P605"/>
      <c r="Q605">
        <v>134905</v>
      </c>
      <c r="R605">
        <v>1</v>
      </c>
      <c r="S605" t="s">
        <v>40</v>
      </c>
      <c r="T605">
        <v>261</v>
      </c>
      <c r="U605">
        <v>147664</v>
      </c>
      <c r="V605">
        <v>24</v>
      </c>
      <c r="W605" t="s">
        <v>40</v>
      </c>
      <c r="X605">
        <v>261</v>
      </c>
      <c r="Y605" t="s">
        <v>377</v>
      </c>
      <c r="Z605" t="s">
        <v>378</v>
      </c>
      <c r="AA605" t="s">
        <v>379</v>
      </c>
      <c r="AB605" t="s">
        <v>559</v>
      </c>
      <c r="AC605" t="s">
        <v>41</v>
      </c>
      <c r="AD605" t="s">
        <v>41</v>
      </c>
      <c r="AE605" t="s">
        <v>41</v>
      </c>
      <c r="AF605" t="s">
        <v>41</v>
      </c>
      <c r="AK605"/>
    </row>
    <row r="606" spans="1:37" x14ac:dyDescent="0.25">
      <c r="A606" t="s">
        <v>42</v>
      </c>
      <c r="B606">
        <v>45954.448877314811</v>
      </c>
      <c r="C606">
        <v>92443</v>
      </c>
      <c r="D606" t="s">
        <v>646</v>
      </c>
      <c r="E606">
        <v>4500429</v>
      </c>
      <c r="F606">
        <v>2116538</v>
      </c>
      <c r="G606" t="s">
        <v>929</v>
      </c>
      <c r="H606" t="s">
        <v>979</v>
      </c>
      <c r="I606">
        <v>2.5</v>
      </c>
      <c r="J606" t="b">
        <v>1</v>
      </c>
      <c r="K606">
        <v>1.7985611510791366E-2</v>
      </c>
      <c r="L606">
        <v>2117690</v>
      </c>
      <c r="M606" t="s">
        <v>931</v>
      </c>
      <c r="N606">
        <v>139</v>
      </c>
      <c r="O606">
        <v>154</v>
      </c>
      <c r="P606"/>
      <c r="Q606">
        <v>134976</v>
      </c>
      <c r="R606">
        <v>1</v>
      </c>
      <c r="S606" t="s">
        <v>40</v>
      </c>
      <c r="T606">
        <v>261</v>
      </c>
      <c r="W606"/>
      <c r="Y606" t="s">
        <v>377</v>
      </c>
      <c r="Z606" t="s">
        <v>378</v>
      </c>
      <c r="AA606" t="s">
        <v>379</v>
      </c>
      <c r="AB606" t="s">
        <v>756</v>
      </c>
      <c r="AC606" t="s">
        <v>41</v>
      </c>
      <c r="AD606" t="s">
        <v>41</v>
      </c>
      <c r="AE606" t="s">
        <v>41</v>
      </c>
      <c r="AF606" t="s">
        <v>41</v>
      </c>
      <c r="AK606"/>
    </row>
    <row r="607" spans="1:37" x14ac:dyDescent="0.25">
      <c r="A607" t="s">
        <v>39</v>
      </c>
      <c r="B607">
        <v>45954.510740740741</v>
      </c>
      <c r="C607">
        <v>92444</v>
      </c>
      <c r="D607" t="s">
        <v>646</v>
      </c>
      <c r="E607">
        <v>4499078</v>
      </c>
      <c r="F607">
        <v>2116466</v>
      </c>
      <c r="G607" t="s">
        <v>846</v>
      </c>
      <c r="H607" t="s">
        <v>1077</v>
      </c>
      <c r="I607">
        <v>3</v>
      </c>
      <c r="J607" t="b">
        <v>0</v>
      </c>
      <c r="K607">
        <v>3.9473684210526314E-2</v>
      </c>
      <c r="L607">
        <v>2117623</v>
      </c>
      <c r="M607" t="s">
        <v>847</v>
      </c>
      <c r="N607">
        <v>76</v>
      </c>
      <c r="O607">
        <v>0</v>
      </c>
      <c r="P607"/>
      <c r="Q607">
        <v>134976</v>
      </c>
      <c r="R607">
        <v>1</v>
      </c>
      <c r="S607" t="s">
        <v>40</v>
      </c>
      <c r="T607">
        <v>261</v>
      </c>
      <c r="W607"/>
      <c r="Y607" t="s">
        <v>377</v>
      </c>
      <c r="Z607" t="s">
        <v>378</v>
      </c>
      <c r="AA607" t="s">
        <v>379</v>
      </c>
      <c r="AB607" t="s">
        <v>1078</v>
      </c>
      <c r="AC607" t="s">
        <v>41</v>
      </c>
      <c r="AD607" t="s">
        <v>41</v>
      </c>
      <c r="AE607" t="s">
        <v>41</v>
      </c>
      <c r="AF607" t="s">
        <v>41</v>
      </c>
      <c r="AK607"/>
    </row>
    <row r="608" spans="1:37" x14ac:dyDescent="0.25">
      <c r="A608" t="s">
        <v>37</v>
      </c>
      <c r="B608">
        <v>45954.85015046296</v>
      </c>
      <c r="C608">
        <v>90692</v>
      </c>
      <c r="D608" t="s">
        <v>843</v>
      </c>
      <c r="E608">
        <v>4501082</v>
      </c>
      <c r="F608">
        <v>2105798</v>
      </c>
      <c r="G608" t="s">
        <v>1069</v>
      </c>
      <c r="H608" t="s">
        <v>930</v>
      </c>
      <c r="I608">
        <v>10</v>
      </c>
      <c r="J608" t="b">
        <v>1</v>
      </c>
      <c r="K608">
        <v>4.6948356807511735E-2</v>
      </c>
      <c r="L608">
        <v>2107049</v>
      </c>
      <c r="M608" t="s">
        <v>1070</v>
      </c>
      <c r="N608">
        <v>213</v>
      </c>
      <c r="O608">
        <v>213</v>
      </c>
      <c r="P608"/>
      <c r="Q608">
        <v>134976</v>
      </c>
      <c r="R608">
        <v>1</v>
      </c>
      <c r="S608" t="s">
        <v>40</v>
      </c>
      <c r="T608">
        <v>261</v>
      </c>
      <c r="W608"/>
      <c r="Y608" t="s">
        <v>377</v>
      </c>
      <c r="Z608" t="s">
        <v>378</v>
      </c>
      <c r="AA608" t="s">
        <v>379</v>
      </c>
      <c r="AB608" t="s">
        <v>514</v>
      </c>
      <c r="AC608" t="s">
        <v>41</v>
      </c>
      <c r="AD608" t="s">
        <v>41</v>
      </c>
      <c r="AE608" t="s">
        <v>41</v>
      </c>
      <c r="AF608" t="s">
        <v>41</v>
      </c>
      <c r="AK608"/>
    </row>
    <row r="609" spans="1:38" x14ac:dyDescent="0.25">
      <c r="A609" t="s">
        <v>39</v>
      </c>
      <c r="B609">
        <v>45955.000613425924</v>
      </c>
      <c r="C609">
        <v>91779</v>
      </c>
      <c r="D609" t="s">
        <v>843</v>
      </c>
      <c r="E609">
        <v>4495451</v>
      </c>
      <c r="F609">
        <v>2300305</v>
      </c>
      <c r="G609" t="s">
        <v>1073</v>
      </c>
      <c r="H609" t="s">
        <v>930</v>
      </c>
      <c r="I609">
        <v>4.5</v>
      </c>
      <c r="J609" t="b">
        <v>1</v>
      </c>
      <c r="K609">
        <v>0.125</v>
      </c>
      <c r="L609">
        <v>2300306</v>
      </c>
      <c r="M609" t="s">
        <v>1074</v>
      </c>
      <c r="N609">
        <v>36</v>
      </c>
      <c r="O609">
        <v>36</v>
      </c>
      <c r="P609"/>
      <c r="Q609">
        <v>134976</v>
      </c>
      <c r="R609">
        <v>1</v>
      </c>
      <c r="S609" t="s">
        <v>40</v>
      </c>
      <c r="T609">
        <v>261</v>
      </c>
      <c r="W609"/>
      <c r="Y609" t="s">
        <v>377</v>
      </c>
      <c r="Z609" t="s">
        <v>378</v>
      </c>
      <c r="AA609" t="s">
        <v>379</v>
      </c>
      <c r="AB609" t="s">
        <v>1066</v>
      </c>
      <c r="AC609" t="s">
        <v>41</v>
      </c>
      <c r="AD609" t="s">
        <v>41</v>
      </c>
      <c r="AE609" t="s">
        <v>41</v>
      </c>
      <c r="AF609" t="s">
        <v>41</v>
      </c>
      <c r="AK609"/>
    </row>
    <row r="610" spans="1:38" x14ac:dyDescent="0.25">
      <c r="A610" t="s">
        <v>45</v>
      </c>
      <c r="B610">
        <v>45955.030925925923</v>
      </c>
      <c r="C610">
        <v>92533</v>
      </c>
      <c r="D610" t="s">
        <v>843</v>
      </c>
      <c r="E610">
        <v>4497433</v>
      </c>
      <c r="F610">
        <v>2310135</v>
      </c>
      <c r="G610" t="s">
        <v>1052</v>
      </c>
      <c r="H610" t="s">
        <v>663</v>
      </c>
      <c r="I610">
        <v>64.3</v>
      </c>
      <c r="J610" t="b">
        <v>1</v>
      </c>
      <c r="K610">
        <v>0.16075</v>
      </c>
      <c r="L610">
        <v>2310136</v>
      </c>
      <c r="M610" t="s">
        <v>1053</v>
      </c>
      <c r="N610">
        <v>400</v>
      </c>
      <c r="O610">
        <v>400</v>
      </c>
      <c r="P610"/>
      <c r="Q610">
        <v>134974</v>
      </c>
      <c r="R610">
        <v>1</v>
      </c>
      <c r="S610" t="s">
        <v>40</v>
      </c>
      <c r="T610">
        <v>261</v>
      </c>
      <c r="W610"/>
      <c r="Y610" t="s">
        <v>377</v>
      </c>
      <c r="Z610" t="s">
        <v>378</v>
      </c>
      <c r="AA610" t="s">
        <v>379</v>
      </c>
      <c r="AB610" t="s">
        <v>1079</v>
      </c>
      <c r="AC610" t="s">
        <v>41</v>
      </c>
      <c r="AD610" t="s">
        <v>41</v>
      </c>
      <c r="AE610" t="s">
        <v>41</v>
      </c>
      <c r="AF610" t="s">
        <v>41</v>
      </c>
      <c r="AK610"/>
    </row>
    <row r="611" spans="1:38" x14ac:dyDescent="0.25">
      <c r="A611" t="s">
        <v>42</v>
      </c>
      <c r="B611">
        <v>45955.060370370367</v>
      </c>
      <c r="C611">
        <v>91801</v>
      </c>
      <c r="D611" t="s">
        <v>843</v>
      </c>
      <c r="E611">
        <v>4501057</v>
      </c>
      <c r="F611">
        <v>2104861</v>
      </c>
      <c r="G611" t="s">
        <v>1080</v>
      </c>
      <c r="H611" t="s">
        <v>930</v>
      </c>
      <c r="I611">
        <v>7.5</v>
      </c>
      <c r="J611" t="b">
        <v>1</v>
      </c>
      <c r="K611">
        <v>0.25</v>
      </c>
      <c r="L611">
        <v>2106181</v>
      </c>
      <c r="M611" t="s">
        <v>1081</v>
      </c>
      <c r="N611">
        <v>30</v>
      </c>
      <c r="O611">
        <v>30</v>
      </c>
      <c r="P611"/>
      <c r="Q611">
        <v>134907</v>
      </c>
      <c r="R611">
        <v>1</v>
      </c>
      <c r="S611" t="s">
        <v>40</v>
      </c>
      <c r="T611">
        <v>261</v>
      </c>
      <c r="U611">
        <v>147664</v>
      </c>
      <c r="V611">
        <v>24</v>
      </c>
      <c r="W611" t="s">
        <v>40</v>
      </c>
      <c r="X611">
        <v>261</v>
      </c>
      <c r="Y611" t="s">
        <v>377</v>
      </c>
      <c r="Z611" t="s">
        <v>378</v>
      </c>
      <c r="AA611" t="s">
        <v>379</v>
      </c>
      <c r="AB611" t="s">
        <v>1058</v>
      </c>
      <c r="AC611" t="s">
        <v>41</v>
      </c>
      <c r="AD611" t="s">
        <v>41</v>
      </c>
      <c r="AE611" t="s">
        <v>41</v>
      </c>
      <c r="AF611" t="s">
        <v>41</v>
      </c>
      <c r="AK611"/>
    </row>
    <row r="612" spans="1:38" x14ac:dyDescent="0.25">
      <c r="A612" t="s">
        <v>38</v>
      </c>
      <c r="B612">
        <v>45955.153553240743</v>
      </c>
      <c r="C612">
        <v>91936</v>
      </c>
      <c r="D612" t="s">
        <v>843</v>
      </c>
      <c r="E612">
        <v>4500935</v>
      </c>
      <c r="F612">
        <v>2104880</v>
      </c>
      <c r="G612" t="s">
        <v>577</v>
      </c>
      <c r="H612" t="s">
        <v>986</v>
      </c>
      <c r="I612">
        <v>12</v>
      </c>
      <c r="J612" t="b">
        <v>1</v>
      </c>
      <c r="K612">
        <v>3</v>
      </c>
      <c r="L612">
        <v>2104880</v>
      </c>
      <c r="M612" t="s">
        <v>577</v>
      </c>
      <c r="N612">
        <v>4</v>
      </c>
      <c r="O612">
        <v>4</v>
      </c>
      <c r="P612"/>
      <c r="Q612">
        <v>134905</v>
      </c>
      <c r="R612">
        <v>1</v>
      </c>
      <c r="S612" t="s">
        <v>40</v>
      </c>
      <c r="T612">
        <v>261</v>
      </c>
      <c r="U612">
        <v>147664</v>
      </c>
      <c r="V612">
        <v>24</v>
      </c>
      <c r="W612" t="s">
        <v>40</v>
      </c>
      <c r="X612">
        <v>261</v>
      </c>
      <c r="Y612" t="s">
        <v>377</v>
      </c>
      <c r="Z612" t="s">
        <v>378</v>
      </c>
      <c r="AA612" t="s">
        <v>379</v>
      </c>
      <c r="AB612" t="s">
        <v>384</v>
      </c>
      <c r="AC612" t="s">
        <v>41</v>
      </c>
      <c r="AD612" t="s">
        <v>41</v>
      </c>
      <c r="AE612" t="s">
        <v>41</v>
      </c>
      <c r="AF612" t="s">
        <v>41</v>
      </c>
      <c r="AK612"/>
    </row>
    <row r="613" spans="1:38" x14ac:dyDescent="0.25">
      <c r="A613" t="s">
        <v>38</v>
      </c>
      <c r="B613">
        <v>45955.154942129629</v>
      </c>
      <c r="C613">
        <v>91936</v>
      </c>
      <c r="D613" t="s">
        <v>843</v>
      </c>
      <c r="E613">
        <v>4500936</v>
      </c>
      <c r="F613">
        <v>2104880</v>
      </c>
      <c r="G613" t="s">
        <v>577</v>
      </c>
      <c r="H613" t="s">
        <v>986</v>
      </c>
      <c r="I613">
        <v>12</v>
      </c>
      <c r="J613" t="b">
        <v>1</v>
      </c>
      <c r="K613">
        <v>2.4</v>
      </c>
      <c r="L613">
        <v>2104880</v>
      </c>
      <c r="M613" t="s">
        <v>577</v>
      </c>
      <c r="N613">
        <v>5</v>
      </c>
      <c r="O613">
        <v>5</v>
      </c>
      <c r="P613"/>
      <c r="Q613">
        <v>134905</v>
      </c>
      <c r="R613">
        <v>1</v>
      </c>
      <c r="S613" t="s">
        <v>40</v>
      </c>
      <c r="T613">
        <v>261</v>
      </c>
      <c r="U613">
        <v>147664</v>
      </c>
      <c r="V613">
        <v>24</v>
      </c>
      <c r="W613" t="s">
        <v>40</v>
      </c>
      <c r="X613">
        <v>261</v>
      </c>
      <c r="Y613" t="s">
        <v>377</v>
      </c>
      <c r="Z613" t="s">
        <v>378</v>
      </c>
      <c r="AA613" t="s">
        <v>379</v>
      </c>
      <c r="AB613" t="s">
        <v>559</v>
      </c>
      <c r="AC613" t="s">
        <v>41</v>
      </c>
      <c r="AD613" t="s">
        <v>41</v>
      </c>
      <c r="AE613" t="s">
        <v>41</v>
      </c>
      <c r="AF613" t="s">
        <v>41</v>
      </c>
      <c r="AK613"/>
    </row>
    <row r="614" spans="1:38" x14ac:dyDescent="0.25">
      <c r="A614" t="s">
        <v>37</v>
      </c>
      <c r="B614">
        <v>45955.284143518518</v>
      </c>
      <c r="C614">
        <v>92446</v>
      </c>
      <c r="D614" t="s">
        <v>843</v>
      </c>
      <c r="E614">
        <v>4496420</v>
      </c>
      <c r="F614">
        <v>134183</v>
      </c>
      <c r="G614" t="s">
        <v>1082</v>
      </c>
      <c r="H614" t="s">
        <v>930</v>
      </c>
      <c r="I614">
        <v>3</v>
      </c>
      <c r="J614" t="b">
        <v>1</v>
      </c>
      <c r="K614">
        <v>1.4084507042253521E-2</v>
      </c>
      <c r="L614">
        <v>134184</v>
      </c>
      <c r="M614" t="s">
        <v>1083</v>
      </c>
      <c r="N614">
        <v>213</v>
      </c>
      <c r="O614">
        <v>383</v>
      </c>
      <c r="P614" t="s">
        <v>748</v>
      </c>
      <c r="Q614">
        <v>0</v>
      </c>
      <c r="R614">
        <v>0</v>
      </c>
      <c r="S614" t="s">
        <v>40</v>
      </c>
      <c r="T614">
        <v>261</v>
      </c>
      <c r="W614"/>
      <c r="Y614" t="s">
        <v>377</v>
      </c>
      <c r="Z614" t="s">
        <v>378</v>
      </c>
      <c r="AA614" t="s">
        <v>379</v>
      </c>
      <c r="AB614" t="s">
        <v>514</v>
      </c>
      <c r="AC614" t="s">
        <v>41</v>
      </c>
      <c r="AD614" t="s">
        <v>41</v>
      </c>
      <c r="AE614" t="s">
        <v>41</v>
      </c>
      <c r="AF614" t="s">
        <v>41</v>
      </c>
      <c r="AK614"/>
    </row>
    <row r="615" spans="1:38" x14ac:dyDescent="0.25">
      <c r="A615" t="s">
        <v>44</v>
      </c>
      <c r="B615">
        <v>45955.527939814812</v>
      </c>
      <c r="C615">
        <v>89561</v>
      </c>
      <c r="D615" t="s">
        <v>560</v>
      </c>
      <c r="E615">
        <v>4500062</v>
      </c>
      <c r="F615">
        <v>105472</v>
      </c>
      <c r="G615" t="s">
        <v>1055</v>
      </c>
      <c r="H615" t="s">
        <v>1084</v>
      </c>
      <c r="I615">
        <v>10</v>
      </c>
      <c r="J615" t="b">
        <v>0</v>
      </c>
      <c r="K615">
        <v>0.83333333333333337</v>
      </c>
      <c r="L615">
        <v>2106246</v>
      </c>
      <c r="M615" t="s">
        <v>1056</v>
      </c>
      <c r="N615">
        <v>12</v>
      </c>
      <c r="O615">
        <v>12</v>
      </c>
      <c r="P615"/>
      <c r="Q615">
        <v>134905</v>
      </c>
      <c r="R615">
        <v>2</v>
      </c>
      <c r="S615" t="s">
        <v>40</v>
      </c>
      <c r="T615">
        <v>261</v>
      </c>
      <c r="U615">
        <v>147664</v>
      </c>
      <c r="V615">
        <v>48</v>
      </c>
      <c r="W615" t="s">
        <v>40</v>
      </c>
      <c r="X615">
        <v>261</v>
      </c>
      <c r="Y615" t="s">
        <v>377</v>
      </c>
      <c r="Z615" t="s">
        <v>378</v>
      </c>
      <c r="AA615" t="s">
        <v>379</v>
      </c>
      <c r="AB615" t="s">
        <v>400</v>
      </c>
      <c r="AC615" t="s">
        <v>379</v>
      </c>
      <c r="AD615" t="s">
        <v>384</v>
      </c>
      <c r="AE615" t="s">
        <v>41</v>
      </c>
      <c r="AF615" t="s">
        <v>41</v>
      </c>
      <c r="AK615"/>
    </row>
    <row r="616" spans="1:38" x14ac:dyDescent="0.25">
      <c r="A616" t="s">
        <v>39</v>
      </c>
      <c r="B616">
        <v>45955.662094907406</v>
      </c>
      <c r="C616">
        <v>91937</v>
      </c>
      <c r="D616" t="s">
        <v>560</v>
      </c>
      <c r="E616">
        <v>4500484</v>
      </c>
      <c r="F616">
        <v>2104881</v>
      </c>
      <c r="G616" t="s">
        <v>600</v>
      </c>
      <c r="H616" t="s">
        <v>960</v>
      </c>
      <c r="I616">
        <v>10</v>
      </c>
      <c r="J616" t="b">
        <v>1</v>
      </c>
      <c r="K616">
        <v>1.1111111111111112</v>
      </c>
      <c r="L616">
        <v>2106201</v>
      </c>
      <c r="M616" t="s">
        <v>602</v>
      </c>
      <c r="N616">
        <v>9</v>
      </c>
      <c r="O616">
        <v>9</v>
      </c>
      <c r="P616"/>
      <c r="Q616">
        <v>134905</v>
      </c>
      <c r="R616">
        <v>2</v>
      </c>
      <c r="S616" t="s">
        <v>40</v>
      </c>
      <c r="T616">
        <v>261</v>
      </c>
      <c r="U616">
        <v>147664</v>
      </c>
      <c r="V616">
        <v>48</v>
      </c>
      <c r="W616" t="s">
        <v>40</v>
      </c>
      <c r="X616">
        <v>261</v>
      </c>
      <c r="Y616" t="s">
        <v>377</v>
      </c>
      <c r="Z616" t="s">
        <v>378</v>
      </c>
      <c r="AA616" t="s">
        <v>379</v>
      </c>
      <c r="AB616" t="s">
        <v>384</v>
      </c>
      <c r="AC616" t="s">
        <v>379</v>
      </c>
      <c r="AD616" t="s">
        <v>559</v>
      </c>
      <c r="AE616" t="s">
        <v>41</v>
      </c>
      <c r="AF616" t="s">
        <v>41</v>
      </c>
      <c r="AK616"/>
    </row>
    <row r="617" spans="1:38" x14ac:dyDescent="0.25">
      <c r="A617" t="s">
        <v>45</v>
      </c>
      <c r="B617">
        <v>45955.804351851853</v>
      </c>
      <c r="C617">
        <v>92447</v>
      </c>
      <c r="D617" t="s">
        <v>843</v>
      </c>
      <c r="E617">
        <v>4496420</v>
      </c>
      <c r="F617">
        <v>134183</v>
      </c>
      <c r="G617" t="s">
        <v>1082</v>
      </c>
      <c r="H617" t="s">
        <v>930</v>
      </c>
      <c r="I617">
        <v>1.5</v>
      </c>
      <c r="J617" t="b">
        <v>1</v>
      </c>
      <c r="K617">
        <v>8.8235294117647058E-3</v>
      </c>
      <c r="L617">
        <v>134184</v>
      </c>
      <c r="M617" t="s">
        <v>1083</v>
      </c>
      <c r="N617">
        <v>170</v>
      </c>
      <c r="O617">
        <v>170</v>
      </c>
      <c r="P617" t="s">
        <v>681</v>
      </c>
      <c r="Q617">
        <v>0</v>
      </c>
      <c r="R617">
        <v>0</v>
      </c>
      <c r="S617" t="s">
        <v>40</v>
      </c>
      <c r="T617">
        <v>261</v>
      </c>
      <c r="W617"/>
      <c r="Y617" t="s">
        <v>377</v>
      </c>
      <c r="Z617" t="s">
        <v>378</v>
      </c>
      <c r="AA617" t="s">
        <v>379</v>
      </c>
      <c r="AB617" t="s">
        <v>642</v>
      </c>
      <c r="AC617" t="s">
        <v>41</v>
      </c>
      <c r="AD617" t="s">
        <v>41</v>
      </c>
      <c r="AE617" t="s">
        <v>41</v>
      </c>
      <c r="AF617" t="s">
        <v>41</v>
      </c>
      <c r="AK617"/>
    </row>
    <row r="618" spans="1:38" x14ac:dyDescent="0.25">
      <c r="A618" t="s">
        <v>38</v>
      </c>
      <c r="B618">
        <v>45955.836608796293</v>
      </c>
      <c r="C618">
        <v>91800</v>
      </c>
      <c r="D618" t="s">
        <v>843</v>
      </c>
      <c r="E618">
        <v>4501047</v>
      </c>
      <c r="F618">
        <v>2104815</v>
      </c>
      <c r="G618" t="s">
        <v>1085</v>
      </c>
      <c r="H618" t="s">
        <v>930</v>
      </c>
      <c r="I618">
        <v>7.5</v>
      </c>
      <c r="J618" t="b">
        <v>1</v>
      </c>
      <c r="K618">
        <v>0.25</v>
      </c>
      <c r="L618">
        <v>2106136</v>
      </c>
      <c r="M618" t="s">
        <v>1086</v>
      </c>
      <c r="N618">
        <v>30</v>
      </c>
      <c r="O618">
        <v>30</v>
      </c>
      <c r="P618"/>
      <c r="Q618">
        <v>134908</v>
      </c>
      <c r="R618">
        <v>1</v>
      </c>
      <c r="S618" t="s">
        <v>40</v>
      </c>
      <c r="T618">
        <v>261</v>
      </c>
      <c r="U618">
        <v>147664</v>
      </c>
      <c r="V618">
        <v>24</v>
      </c>
      <c r="W618" t="s">
        <v>40</v>
      </c>
      <c r="X618">
        <v>261</v>
      </c>
      <c r="Y618" t="s">
        <v>377</v>
      </c>
      <c r="Z618" t="s">
        <v>378</v>
      </c>
      <c r="AA618" t="s">
        <v>379</v>
      </c>
      <c r="AB618" t="s">
        <v>1058</v>
      </c>
      <c r="AC618" t="s">
        <v>41</v>
      </c>
      <c r="AD618" t="s">
        <v>41</v>
      </c>
      <c r="AE618" t="s">
        <v>41</v>
      </c>
      <c r="AF618" t="s">
        <v>41</v>
      </c>
      <c r="AK618"/>
    </row>
    <row r="619" spans="1:38" x14ac:dyDescent="0.25">
      <c r="A619" t="s">
        <v>42</v>
      </c>
      <c r="B619">
        <v>45955.883703703701</v>
      </c>
      <c r="C619">
        <v>91167</v>
      </c>
      <c r="D619" t="s">
        <v>682</v>
      </c>
      <c r="E619">
        <v>4495168</v>
      </c>
      <c r="F619">
        <v>113677</v>
      </c>
      <c r="G619" t="s">
        <v>687</v>
      </c>
      <c r="H619" t="s">
        <v>986</v>
      </c>
      <c r="I619">
        <v>14</v>
      </c>
      <c r="J619" t="b">
        <v>1</v>
      </c>
      <c r="K619">
        <v>1.75</v>
      </c>
      <c r="L619">
        <v>113679</v>
      </c>
      <c r="M619" t="s">
        <v>689</v>
      </c>
      <c r="N619">
        <v>8</v>
      </c>
      <c r="O619">
        <v>8</v>
      </c>
      <c r="P619"/>
      <c r="Q619">
        <v>134905</v>
      </c>
      <c r="R619">
        <v>1</v>
      </c>
      <c r="S619" t="s">
        <v>40</v>
      </c>
      <c r="T619">
        <v>261</v>
      </c>
      <c r="U619">
        <v>147664</v>
      </c>
      <c r="V619">
        <v>48</v>
      </c>
      <c r="W619" t="s">
        <v>40</v>
      </c>
      <c r="X619">
        <v>261</v>
      </c>
      <c r="Y619" t="s">
        <v>377</v>
      </c>
      <c r="Z619" t="s">
        <v>378</v>
      </c>
      <c r="AA619" t="s">
        <v>384</v>
      </c>
      <c r="AB619" t="s">
        <v>384</v>
      </c>
      <c r="AC619" t="s">
        <v>41</v>
      </c>
      <c r="AD619" t="s">
        <v>41</v>
      </c>
      <c r="AE619" t="s">
        <v>41</v>
      </c>
      <c r="AF619" t="s">
        <v>41</v>
      </c>
      <c r="AI619">
        <v>134905</v>
      </c>
      <c r="AJ619">
        <v>1</v>
      </c>
      <c r="AK619" t="s">
        <v>40</v>
      </c>
      <c r="AL619">
        <v>261</v>
      </c>
    </row>
    <row r="620" spans="1:38" x14ac:dyDescent="0.25">
      <c r="A620" t="s">
        <v>43</v>
      </c>
      <c r="B620">
        <v>45955.995613425926</v>
      </c>
      <c r="C620">
        <v>92534</v>
      </c>
      <c r="D620" t="s">
        <v>682</v>
      </c>
      <c r="E620">
        <v>4497434</v>
      </c>
      <c r="F620">
        <v>2310135</v>
      </c>
      <c r="G620" t="s">
        <v>1052</v>
      </c>
      <c r="H620" t="s">
        <v>926</v>
      </c>
      <c r="I620">
        <v>64.3</v>
      </c>
      <c r="J620" t="b">
        <v>1</v>
      </c>
      <c r="K620">
        <v>0.15606796116504854</v>
      </c>
      <c r="L620">
        <v>2310136</v>
      </c>
      <c r="M620" t="s">
        <v>1053</v>
      </c>
      <c r="N620">
        <v>412</v>
      </c>
      <c r="O620">
        <v>412</v>
      </c>
      <c r="P620"/>
      <c r="Q620">
        <v>134974</v>
      </c>
      <c r="R620">
        <v>1</v>
      </c>
      <c r="S620" t="s">
        <v>40</v>
      </c>
      <c r="T620">
        <v>261</v>
      </c>
      <c r="W620"/>
      <c r="Y620" t="s">
        <v>377</v>
      </c>
      <c r="Z620" t="s">
        <v>378</v>
      </c>
      <c r="AA620" t="s">
        <v>379</v>
      </c>
      <c r="AB620" t="s">
        <v>1087</v>
      </c>
      <c r="AC620" t="s">
        <v>41</v>
      </c>
      <c r="AD620" t="s">
        <v>41</v>
      </c>
      <c r="AE620" t="s">
        <v>41</v>
      </c>
      <c r="AF620" t="s">
        <v>41</v>
      </c>
      <c r="AK620"/>
    </row>
    <row r="621" spans="1:38" x14ac:dyDescent="0.25">
      <c r="A621" t="s">
        <v>37</v>
      </c>
      <c r="B621">
        <v>45956.086585648147</v>
      </c>
      <c r="C621">
        <v>91802</v>
      </c>
      <c r="D621" t="s">
        <v>682</v>
      </c>
      <c r="E621">
        <v>4501048</v>
      </c>
      <c r="F621">
        <v>2104815</v>
      </c>
      <c r="G621" t="s">
        <v>1085</v>
      </c>
      <c r="H621" t="s">
        <v>979</v>
      </c>
      <c r="I621">
        <v>7.5</v>
      </c>
      <c r="J621" t="b">
        <v>1</v>
      </c>
      <c r="K621">
        <v>0.25</v>
      </c>
      <c r="L621">
        <v>2106136</v>
      </c>
      <c r="M621" t="s">
        <v>1086</v>
      </c>
      <c r="N621">
        <v>30</v>
      </c>
      <c r="O621">
        <v>30</v>
      </c>
      <c r="P621"/>
      <c r="Q621">
        <v>134907</v>
      </c>
      <c r="R621">
        <v>1</v>
      </c>
      <c r="S621" t="s">
        <v>40</v>
      </c>
      <c r="T621">
        <v>261</v>
      </c>
      <c r="U621">
        <v>147664</v>
      </c>
      <c r="V621">
        <v>24</v>
      </c>
      <c r="W621" t="s">
        <v>40</v>
      </c>
      <c r="X621">
        <v>261</v>
      </c>
      <c r="Y621" t="s">
        <v>377</v>
      </c>
      <c r="Z621" t="s">
        <v>378</v>
      </c>
      <c r="AA621" t="s">
        <v>379</v>
      </c>
      <c r="AB621" t="s">
        <v>1058</v>
      </c>
      <c r="AC621" t="s">
        <v>41</v>
      </c>
      <c r="AD621" t="s">
        <v>41</v>
      </c>
      <c r="AE621" t="s">
        <v>41</v>
      </c>
      <c r="AF621" t="s">
        <v>41</v>
      </c>
      <c r="AK621"/>
    </row>
    <row r="622" spans="1:38" x14ac:dyDescent="0.25">
      <c r="A622" t="s">
        <v>44</v>
      </c>
      <c r="B622">
        <v>45956.332118055558</v>
      </c>
      <c r="C622">
        <v>91939</v>
      </c>
      <c r="D622" t="s">
        <v>401</v>
      </c>
      <c r="E622">
        <v>4501810</v>
      </c>
      <c r="F622">
        <v>2104880</v>
      </c>
      <c r="G622" t="s">
        <v>577</v>
      </c>
      <c r="H622" t="s">
        <v>1088</v>
      </c>
      <c r="I622">
        <v>7</v>
      </c>
      <c r="J622" t="b">
        <v>1</v>
      </c>
      <c r="K622">
        <v>1.4</v>
      </c>
      <c r="L622">
        <v>2106200</v>
      </c>
      <c r="M622" t="s">
        <v>579</v>
      </c>
      <c r="N622">
        <v>5</v>
      </c>
      <c r="O622">
        <v>5</v>
      </c>
      <c r="P622"/>
      <c r="Q622">
        <v>134905</v>
      </c>
      <c r="R622">
        <v>1</v>
      </c>
      <c r="S622" t="s">
        <v>40</v>
      </c>
      <c r="T622">
        <v>261</v>
      </c>
      <c r="U622">
        <v>147664</v>
      </c>
      <c r="V622">
        <v>24</v>
      </c>
      <c r="W622" t="s">
        <v>40</v>
      </c>
      <c r="X622">
        <v>261</v>
      </c>
      <c r="Y622" t="s">
        <v>377</v>
      </c>
      <c r="Z622" t="s">
        <v>378</v>
      </c>
      <c r="AA622" t="s">
        <v>379</v>
      </c>
      <c r="AB622" t="s">
        <v>559</v>
      </c>
      <c r="AC622" t="s">
        <v>41</v>
      </c>
      <c r="AD622" t="s">
        <v>41</v>
      </c>
      <c r="AE622" t="s">
        <v>41</v>
      </c>
      <c r="AF622" t="s">
        <v>41</v>
      </c>
      <c r="AK622"/>
    </row>
    <row r="623" spans="1:38" x14ac:dyDescent="0.25">
      <c r="A623" t="s">
        <v>44</v>
      </c>
      <c r="B623">
        <v>45956.334918981483</v>
      </c>
      <c r="C623">
        <v>91939</v>
      </c>
      <c r="D623" t="s">
        <v>401</v>
      </c>
      <c r="E623">
        <v>4501809</v>
      </c>
      <c r="F623">
        <v>2104880</v>
      </c>
      <c r="G623" t="s">
        <v>577</v>
      </c>
      <c r="H623" t="s">
        <v>1088</v>
      </c>
      <c r="I623">
        <v>7</v>
      </c>
      <c r="J623" t="b">
        <v>1</v>
      </c>
      <c r="K623">
        <v>1.75</v>
      </c>
      <c r="L623">
        <v>2106200</v>
      </c>
      <c r="M623" t="s">
        <v>579</v>
      </c>
      <c r="N623">
        <v>4</v>
      </c>
      <c r="O623">
        <v>4</v>
      </c>
      <c r="P623"/>
      <c r="Q623">
        <v>134905</v>
      </c>
      <c r="R623">
        <v>1</v>
      </c>
      <c r="S623" t="s">
        <v>40</v>
      </c>
      <c r="T623">
        <v>261</v>
      </c>
      <c r="U623">
        <v>147664</v>
      </c>
      <c r="V623">
        <v>24</v>
      </c>
      <c r="W623" t="s">
        <v>40</v>
      </c>
      <c r="X623">
        <v>261</v>
      </c>
      <c r="Y623" t="s">
        <v>377</v>
      </c>
      <c r="Z623" t="s">
        <v>378</v>
      </c>
      <c r="AA623" t="s">
        <v>379</v>
      </c>
      <c r="AB623" t="s">
        <v>384</v>
      </c>
      <c r="AC623" t="s">
        <v>41</v>
      </c>
      <c r="AD623" t="s">
        <v>41</v>
      </c>
      <c r="AE623" t="s">
        <v>41</v>
      </c>
      <c r="AF623" t="s">
        <v>41</v>
      </c>
      <c r="AK623"/>
    </row>
    <row r="624" spans="1:38" x14ac:dyDescent="0.25">
      <c r="A624" t="s">
        <v>43</v>
      </c>
      <c r="B624">
        <v>45956.492847222224</v>
      </c>
      <c r="C624">
        <v>89562</v>
      </c>
      <c r="D624" t="s">
        <v>401</v>
      </c>
      <c r="E624">
        <v>4500063</v>
      </c>
      <c r="F624">
        <v>105472</v>
      </c>
      <c r="G624" t="s">
        <v>1055</v>
      </c>
      <c r="H624" t="s">
        <v>1089</v>
      </c>
      <c r="I624">
        <v>10</v>
      </c>
      <c r="J624" t="b">
        <v>1</v>
      </c>
      <c r="K624">
        <v>0.83333333333333337</v>
      </c>
      <c r="L624">
        <v>2106246</v>
      </c>
      <c r="M624" t="s">
        <v>1056</v>
      </c>
      <c r="N624">
        <v>12</v>
      </c>
      <c r="O624">
        <v>12</v>
      </c>
      <c r="P624"/>
      <c r="Q624">
        <v>134905</v>
      </c>
      <c r="R624">
        <v>1</v>
      </c>
      <c r="S624" t="s">
        <v>40</v>
      </c>
      <c r="T624">
        <v>261</v>
      </c>
      <c r="U624">
        <v>147664</v>
      </c>
      <c r="V624">
        <v>48</v>
      </c>
      <c r="W624" t="s">
        <v>40</v>
      </c>
      <c r="X624">
        <v>261</v>
      </c>
      <c r="Y624" t="s">
        <v>377</v>
      </c>
      <c r="Z624" t="s">
        <v>378</v>
      </c>
      <c r="AA624" t="s">
        <v>379</v>
      </c>
      <c r="AB624" t="s">
        <v>400</v>
      </c>
      <c r="AC624" t="s">
        <v>379</v>
      </c>
      <c r="AD624" t="s">
        <v>384</v>
      </c>
      <c r="AE624" t="s">
        <v>41</v>
      </c>
      <c r="AF624" t="s">
        <v>41</v>
      </c>
      <c r="AI624">
        <v>134905</v>
      </c>
      <c r="AJ624">
        <v>1</v>
      </c>
      <c r="AK624" t="s">
        <v>40</v>
      </c>
      <c r="AL624">
        <v>261</v>
      </c>
    </row>
    <row r="625" spans="1:38" x14ac:dyDescent="0.25">
      <c r="A625" t="s">
        <v>43</v>
      </c>
      <c r="B625">
        <v>45956.49628472222</v>
      </c>
      <c r="C625">
        <v>89562</v>
      </c>
      <c r="D625" t="s">
        <v>401</v>
      </c>
      <c r="E625">
        <v>4500063</v>
      </c>
      <c r="F625">
        <v>105472</v>
      </c>
      <c r="G625" t="s">
        <v>1055</v>
      </c>
      <c r="H625" t="s">
        <v>1089</v>
      </c>
      <c r="I625">
        <v>10</v>
      </c>
      <c r="J625" t="b">
        <v>1</v>
      </c>
      <c r="K625">
        <v>0.83333333333333337</v>
      </c>
      <c r="L625">
        <v>2106246</v>
      </c>
      <c r="M625" t="s">
        <v>1056</v>
      </c>
      <c r="N625">
        <v>12</v>
      </c>
      <c r="O625">
        <v>12</v>
      </c>
      <c r="P625"/>
      <c r="Q625">
        <v>134905</v>
      </c>
      <c r="R625">
        <v>1</v>
      </c>
      <c r="S625" t="s">
        <v>40</v>
      </c>
      <c r="T625">
        <v>261</v>
      </c>
      <c r="U625">
        <v>147664</v>
      </c>
      <c r="V625">
        <v>48</v>
      </c>
      <c r="W625" t="s">
        <v>40</v>
      </c>
      <c r="X625">
        <v>261</v>
      </c>
      <c r="Y625" t="s">
        <v>377</v>
      </c>
      <c r="Z625" t="s">
        <v>378</v>
      </c>
      <c r="AA625" t="s">
        <v>379</v>
      </c>
      <c r="AB625" t="s">
        <v>400</v>
      </c>
      <c r="AC625" t="s">
        <v>379</v>
      </c>
      <c r="AD625" t="s">
        <v>384</v>
      </c>
      <c r="AE625" t="s">
        <v>41</v>
      </c>
      <c r="AF625" t="s">
        <v>41</v>
      </c>
      <c r="AI625">
        <v>134905</v>
      </c>
      <c r="AJ625">
        <v>1</v>
      </c>
      <c r="AK625" t="s">
        <v>40</v>
      </c>
      <c r="AL625">
        <v>261</v>
      </c>
    </row>
    <row r="626" spans="1:38" x14ac:dyDescent="0.25">
      <c r="A626" t="s">
        <v>37</v>
      </c>
      <c r="B626">
        <v>45956.581192129626</v>
      </c>
      <c r="C626">
        <v>92448</v>
      </c>
      <c r="D626" t="s">
        <v>401</v>
      </c>
      <c r="E626">
        <v>4498717</v>
      </c>
      <c r="F626">
        <v>2310464</v>
      </c>
      <c r="G626" t="s">
        <v>1090</v>
      </c>
      <c r="H626" t="s">
        <v>979</v>
      </c>
      <c r="I626">
        <v>3</v>
      </c>
      <c r="J626" t="b">
        <v>1</v>
      </c>
      <c r="K626">
        <v>7.8947368421052634E-3</v>
      </c>
      <c r="L626">
        <v>2310464</v>
      </c>
      <c r="M626" t="s">
        <v>1090</v>
      </c>
      <c r="N626">
        <v>380</v>
      </c>
      <c r="O626">
        <v>380</v>
      </c>
      <c r="P626"/>
      <c r="Q626">
        <v>134976</v>
      </c>
      <c r="R626">
        <v>1</v>
      </c>
      <c r="S626" t="s">
        <v>40</v>
      </c>
      <c r="T626">
        <v>261</v>
      </c>
      <c r="W626"/>
      <c r="Y626" t="s">
        <v>377</v>
      </c>
      <c r="Z626" t="s">
        <v>378</v>
      </c>
      <c r="AA626" t="s">
        <v>379</v>
      </c>
      <c r="AB626" t="s">
        <v>1091</v>
      </c>
      <c r="AC626" t="s">
        <v>41</v>
      </c>
      <c r="AD626" t="s">
        <v>41</v>
      </c>
      <c r="AE626" t="s">
        <v>41</v>
      </c>
      <c r="AF626" t="s">
        <v>41</v>
      </c>
      <c r="AK626"/>
    </row>
    <row r="627" spans="1:38" x14ac:dyDescent="0.25">
      <c r="A627" t="s">
        <v>38</v>
      </c>
      <c r="B627">
        <v>45956.62190972222</v>
      </c>
      <c r="C627">
        <v>92311</v>
      </c>
      <c r="D627" t="s">
        <v>401</v>
      </c>
      <c r="E627">
        <v>4495304</v>
      </c>
      <c r="F627">
        <v>120139</v>
      </c>
      <c r="G627" t="s">
        <v>1092</v>
      </c>
      <c r="H627" t="s">
        <v>618</v>
      </c>
      <c r="I627">
        <v>14</v>
      </c>
      <c r="J627" t="b">
        <v>1</v>
      </c>
      <c r="K627">
        <v>1.75</v>
      </c>
      <c r="L627">
        <v>120139</v>
      </c>
      <c r="M627" t="s">
        <v>1092</v>
      </c>
      <c r="N627">
        <v>8</v>
      </c>
      <c r="O627">
        <v>8</v>
      </c>
      <c r="P627"/>
      <c r="Q627">
        <v>143539</v>
      </c>
      <c r="R627">
        <v>1</v>
      </c>
      <c r="S627" t="s">
        <v>40</v>
      </c>
      <c r="T627">
        <v>261</v>
      </c>
      <c r="U627">
        <v>147664</v>
      </c>
      <c r="V627">
        <v>48</v>
      </c>
      <c r="W627" t="s">
        <v>40</v>
      </c>
      <c r="X627">
        <v>261</v>
      </c>
      <c r="Y627" t="s">
        <v>377</v>
      </c>
      <c r="Z627" t="s">
        <v>378</v>
      </c>
      <c r="AA627" t="s">
        <v>384</v>
      </c>
      <c r="AB627" t="s">
        <v>384</v>
      </c>
      <c r="AC627" t="s">
        <v>41</v>
      </c>
      <c r="AD627" t="s">
        <v>41</v>
      </c>
      <c r="AE627" t="s">
        <v>41</v>
      </c>
      <c r="AF627" t="s">
        <v>41</v>
      </c>
      <c r="AI627">
        <v>149831</v>
      </c>
      <c r="AJ627">
        <v>1</v>
      </c>
      <c r="AK627" t="s">
        <v>40</v>
      </c>
      <c r="AL627">
        <v>261</v>
      </c>
    </row>
    <row r="628" spans="1:38" x14ac:dyDescent="0.25">
      <c r="A628" t="s">
        <v>45</v>
      </c>
      <c r="B628">
        <v>45956.679780092592</v>
      </c>
      <c r="C628">
        <v>90693</v>
      </c>
      <c r="D628" t="s">
        <v>401</v>
      </c>
      <c r="E628">
        <v>4500991</v>
      </c>
      <c r="F628">
        <v>2107049</v>
      </c>
      <c r="G628" t="s">
        <v>1070</v>
      </c>
      <c r="H628" t="s">
        <v>979</v>
      </c>
      <c r="I628">
        <v>10</v>
      </c>
      <c r="J628" t="b">
        <v>1</v>
      </c>
      <c r="K628">
        <v>7.2992700729927001E-2</v>
      </c>
      <c r="L628">
        <v>2107049</v>
      </c>
      <c r="M628" t="s">
        <v>1070</v>
      </c>
      <c r="N628">
        <v>137</v>
      </c>
      <c r="O628">
        <v>137</v>
      </c>
      <c r="P628"/>
      <c r="Q628">
        <v>134976</v>
      </c>
      <c r="R628">
        <v>1</v>
      </c>
      <c r="S628" t="s">
        <v>40</v>
      </c>
      <c r="T628">
        <v>261</v>
      </c>
      <c r="W628"/>
      <c r="Y628" t="s">
        <v>377</v>
      </c>
      <c r="Z628" t="s">
        <v>378</v>
      </c>
      <c r="AA628" t="s">
        <v>379</v>
      </c>
      <c r="AB628" t="s">
        <v>1093</v>
      </c>
      <c r="AC628" t="s">
        <v>41</v>
      </c>
      <c r="AD628" t="s">
        <v>41</v>
      </c>
      <c r="AE628" t="s">
        <v>41</v>
      </c>
      <c r="AF628" t="s">
        <v>41</v>
      </c>
      <c r="AK628"/>
    </row>
    <row r="629" spans="1:38" x14ac:dyDescent="0.25">
      <c r="A629" t="s">
        <v>45</v>
      </c>
      <c r="B629">
        <v>45956.684560185182</v>
      </c>
      <c r="C629">
        <v>90693</v>
      </c>
      <c r="D629" t="s">
        <v>401</v>
      </c>
      <c r="E629">
        <v>4501083</v>
      </c>
      <c r="F629">
        <v>2105798</v>
      </c>
      <c r="G629" t="s">
        <v>1069</v>
      </c>
      <c r="H629" t="s">
        <v>979</v>
      </c>
      <c r="I629">
        <v>10</v>
      </c>
      <c r="J629" t="b">
        <v>1</v>
      </c>
      <c r="K629">
        <v>7.2992700729927001E-2</v>
      </c>
      <c r="L629">
        <v>2107049</v>
      </c>
      <c r="M629" t="s">
        <v>1070</v>
      </c>
      <c r="N629">
        <v>137</v>
      </c>
      <c r="O629">
        <v>137</v>
      </c>
      <c r="P629"/>
      <c r="Q629">
        <v>134976</v>
      </c>
      <c r="R629">
        <v>1</v>
      </c>
      <c r="S629" t="s">
        <v>40</v>
      </c>
      <c r="T629">
        <v>261</v>
      </c>
      <c r="W629"/>
      <c r="Y629" t="s">
        <v>377</v>
      </c>
      <c r="Z629" t="s">
        <v>378</v>
      </c>
      <c r="AA629" t="s">
        <v>379</v>
      </c>
      <c r="AB629" t="s">
        <v>1093</v>
      </c>
      <c r="AC629" t="s">
        <v>41</v>
      </c>
      <c r="AD629" t="s">
        <v>41</v>
      </c>
      <c r="AE629" t="s">
        <v>41</v>
      </c>
      <c r="AF629" t="s">
        <v>41</v>
      </c>
      <c r="AK629"/>
    </row>
    <row r="630" spans="1:38" x14ac:dyDescent="0.25">
      <c r="A630" t="s">
        <v>42</v>
      </c>
      <c r="B630">
        <v>45956.982476851852</v>
      </c>
      <c r="C630">
        <v>91803</v>
      </c>
      <c r="D630" t="s">
        <v>563</v>
      </c>
      <c r="E630">
        <v>4501049</v>
      </c>
      <c r="F630">
        <v>2104815</v>
      </c>
      <c r="G630" t="s">
        <v>1085</v>
      </c>
      <c r="H630" t="s">
        <v>951</v>
      </c>
      <c r="I630">
        <v>7.5</v>
      </c>
      <c r="J630" t="b">
        <v>1</v>
      </c>
      <c r="K630">
        <v>0.25</v>
      </c>
      <c r="L630">
        <v>2106136</v>
      </c>
      <c r="M630" t="s">
        <v>1086</v>
      </c>
      <c r="N630">
        <v>30</v>
      </c>
      <c r="O630">
        <v>30</v>
      </c>
      <c r="P630"/>
      <c r="Q630">
        <v>134971</v>
      </c>
      <c r="R630">
        <v>1</v>
      </c>
      <c r="S630" t="s">
        <v>40</v>
      </c>
      <c r="T630">
        <v>261</v>
      </c>
      <c r="U630">
        <v>147664</v>
      </c>
      <c r="V630">
        <v>24</v>
      </c>
      <c r="W630" t="s">
        <v>40</v>
      </c>
      <c r="X630">
        <v>261</v>
      </c>
      <c r="Y630" t="s">
        <v>377</v>
      </c>
      <c r="Z630" t="s">
        <v>378</v>
      </c>
      <c r="AA630" t="s">
        <v>379</v>
      </c>
      <c r="AB630" t="s">
        <v>1058</v>
      </c>
      <c r="AC630" t="s">
        <v>41</v>
      </c>
      <c r="AD630" t="s">
        <v>41</v>
      </c>
      <c r="AE630" t="s">
        <v>41</v>
      </c>
      <c r="AF630" t="s">
        <v>41</v>
      </c>
      <c r="AK630"/>
    </row>
    <row r="631" spans="1:38" x14ac:dyDescent="0.25">
      <c r="A631" t="s">
        <v>44</v>
      </c>
      <c r="B631">
        <v>45957.129062499997</v>
      </c>
      <c r="C631">
        <v>91168</v>
      </c>
      <c r="D631" t="s">
        <v>563</v>
      </c>
      <c r="E631">
        <v>4500463</v>
      </c>
      <c r="F631">
        <v>156316</v>
      </c>
      <c r="G631" t="s">
        <v>899</v>
      </c>
      <c r="H631" t="s">
        <v>976</v>
      </c>
      <c r="I631">
        <v>14</v>
      </c>
      <c r="J631" t="b">
        <v>1</v>
      </c>
      <c r="K631">
        <v>3.5</v>
      </c>
      <c r="L631">
        <v>156315</v>
      </c>
      <c r="M631" t="s">
        <v>901</v>
      </c>
      <c r="N631">
        <v>4</v>
      </c>
      <c r="O631">
        <v>4</v>
      </c>
      <c r="P631"/>
      <c r="Q631">
        <v>134905</v>
      </c>
      <c r="R631">
        <v>1</v>
      </c>
      <c r="S631" t="s">
        <v>40</v>
      </c>
      <c r="T631">
        <v>261</v>
      </c>
      <c r="U631">
        <v>147664</v>
      </c>
      <c r="V631">
        <v>24</v>
      </c>
      <c r="W631" t="s">
        <v>40</v>
      </c>
      <c r="X631">
        <v>261</v>
      </c>
      <c r="Y631" t="s">
        <v>377</v>
      </c>
      <c r="Z631" t="s">
        <v>378</v>
      </c>
      <c r="AA631" t="s">
        <v>379</v>
      </c>
      <c r="AB631" t="s">
        <v>384</v>
      </c>
      <c r="AC631" t="s">
        <v>41</v>
      </c>
      <c r="AD631" t="s">
        <v>41</v>
      </c>
      <c r="AE631" t="s">
        <v>41</v>
      </c>
      <c r="AF631" t="s">
        <v>41</v>
      </c>
      <c r="AK631"/>
    </row>
    <row r="632" spans="1:38" x14ac:dyDescent="0.25">
      <c r="A632" t="s">
        <v>44</v>
      </c>
      <c r="B632">
        <v>45957.130196759259</v>
      </c>
      <c r="C632">
        <v>91168</v>
      </c>
      <c r="D632" t="s">
        <v>563</v>
      </c>
      <c r="E632">
        <v>4500464</v>
      </c>
      <c r="F632">
        <v>156316</v>
      </c>
      <c r="G632" t="s">
        <v>899</v>
      </c>
      <c r="H632" t="s">
        <v>976</v>
      </c>
      <c r="I632">
        <v>14</v>
      </c>
      <c r="J632" t="b">
        <v>1</v>
      </c>
      <c r="K632">
        <v>3.5</v>
      </c>
      <c r="L632">
        <v>156315</v>
      </c>
      <c r="M632" t="s">
        <v>901</v>
      </c>
      <c r="N632">
        <v>4</v>
      </c>
      <c r="O632">
        <v>4</v>
      </c>
      <c r="P632"/>
      <c r="Q632">
        <v>134905</v>
      </c>
      <c r="R632">
        <v>1</v>
      </c>
      <c r="S632" t="s">
        <v>40</v>
      </c>
      <c r="T632">
        <v>261</v>
      </c>
      <c r="U632">
        <v>147664</v>
      </c>
      <c r="V632">
        <v>24</v>
      </c>
      <c r="W632" t="s">
        <v>40</v>
      </c>
      <c r="X632">
        <v>261</v>
      </c>
      <c r="Y632" t="s">
        <v>377</v>
      </c>
      <c r="Z632" t="s">
        <v>378</v>
      </c>
      <c r="AA632" t="s">
        <v>379</v>
      </c>
      <c r="AB632" t="s">
        <v>384</v>
      </c>
      <c r="AC632" t="s">
        <v>41</v>
      </c>
      <c r="AD632" t="s">
        <v>41</v>
      </c>
      <c r="AE632" t="s">
        <v>41</v>
      </c>
      <c r="AF632" t="s">
        <v>41</v>
      </c>
      <c r="AK632"/>
    </row>
    <row r="633" spans="1:38" x14ac:dyDescent="0.25">
      <c r="A633" t="s">
        <v>37</v>
      </c>
      <c r="B633">
        <v>45957.443645833337</v>
      </c>
      <c r="C633">
        <v>91940</v>
      </c>
      <c r="D633" t="s">
        <v>646</v>
      </c>
      <c r="E633">
        <v>4501811</v>
      </c>
      <c r="F633">
        <v>2104880</v>
      </c>
      <c r="G633" t="s">
        <v>577</v>
      </c>
      <c r="H633" t="s">
        <v>1094</v>
      </c>
      <c r="I633">
        <v>10</v>
      </c>
      <c r="J633" t="b">
        <v>1</v>
      </c>
      <c r="K633">
        <v>2.5</v>
      </c>
      <c r="L633">
        <v>2106200</v>
      </c>
      <c r="M633" t="s">
        <v>579</v>
      </c>
      <c r="N633">
        <v>4</v>
      </c>
      <c r="O633">
        <v>4</v>
      </c>
      <c r="P633"/>
      <c r="Q633">
        <v>134906</v>
      </c>
      <c r="R633">
        <v>1</v>
      </c>
      <c r="S633" t="s">
        <v>40</v>
      </c>
      <c r="T633">
        <v>261</v>
      </c>
      <c r="U633">
        <v>147664</v>
      </c>
      <c r="V633">
        <v>24</v>
      </c>
      <c r="W633" t="s">
        <v>40</v>
      </c>
      <c r="X633">
        <v>261</v>
      </c>
      <c r="Y633" t="s">
        <v>377</v>
      </c>
      <c r="Z633" t="s">
        <v>378</v>
      </c>
      <c r="AA633" t="s">
        <v>379</v>
      </c>
      <c r="AB633" t="s">
        <v>384</v>
      </c>
      <c r="AC633" t="s">
        <v>41</v>
      </c>
      <c r="AD633" t="s">
        <v>41</v>
      </c>
      <c r="AE633" t="s">
        <v>41</v>
      </c>
      <c r="AF633" t="s">
        <v>41</v>
      </c>
      <c r="AK633"/>
    </row>
    <row r="634" spans="1:38" x14ac:dyDescent="0.25">
      <c r="A634" t="s">
        <v>37</v>
      </c>
      <c r="B634">
        <v>45957.444803240738</v>
      </c>
      <c r="C634">
        <v>91940</v>
      </c>
      <c r="D634" t="s">
        <v>646</v>
      </c>
      <c r="E634">
        <v>4501812</v>
      </c>
      <c r="F634">
        <v>2104880</v>
      </c>
      <c r="G634" t="s">
        <v>577</v>
      </c>
      <c r="H634" t="s">
        <v>1094</v>
      </c>
      <c r="I634">
        <v>0</v>
      </c>
      <c r="J634" t="b">
        <v>1</v>
      </c>
      <c r="K634">
        <v>0</v>
      </c>
      <c r="L634">
        <v>2106200</v>
      </c>
      <c r="M634" t="s">
        <v>579</v>
      </c>
      <c r="N634">
        <v>5</v>
      </c>
      <c r="O634">
        <v>5</v>
      </c>
      <c r="P634"/>
      <c r="Q634">
        <v>2301936</v>
      </c>
      <c r="R634">
        <v>1</v>
      </c>
      <c r="S634" t="s">
        <v>40</v>
      </c>
      <c r="T634">
        <v>261</v>
      </c>
      <c r="U634">
        <v>147664</v>
      </c>
      <c r="V634">
        <v>24</v>
      </c>
      <c r="W634" t="s">
        <v>40</v>
      </c>
      <c r="X634">
        <v>261</v>
      </c>
      <c r="Y634" t="s">
        <v>377</v>
      </c>
      <c r="Z634" t="s">
        <v>378</v>
      </c>
      <c r="AA634" t="s">
        <v>379</v>
      </c>
      <c r="AB634" t="s">
        <v>559</v>
      </c>
      <c r="AC634" t="s">
        <v>41</v>
      </c>
      <c r="AD634" t="s">
        <v>41</v>
      </c>
      <c r="AE634" t="s">
        <v>41</v>
      </c>
      <c r="AF634" t="s">
        <v>41</v>
      </c>
      <c r="AK634"/>
    </row>
    <row r="635" spans="1:38" x14ac:dyDescent="0.25">
      <c r="A635" t="s">
        <v>43</v>
      </c>
      <c r="B635">
        <v>45957.569305555553</v>
      </c>
      <c r="C635">
        <v>92452</v>
      </c>
      <c r="D635" t="s">
        <v>646</v>
      </c>
      <c r="E635">
        <v>4498706</v>
      </c>
      <c r="F635">
        <v>2310463</v>
      </c>
      <c r="G635" t="s">
        <v>1095</v>
      </c>
      <c r="H635" t="s">
        <v>930</v>
      </c>
      <c r="I635">
        <v>3</v>
      </c>
      <c r="J635" t="b">
        <v>1</v>
      </c>
      <c r="K635">
        <v>7.8534031413612562E-3</v>
      </c>
      <c r="L635">
        <v>2310464</v>
      </c>
      <c r="M635" t="s">
        <v>1090</v>
      </c>
      <c r="N635">
        <v>382</v>
      </c>
      <c r="O635">
        <v>472</v>
      </c>
      <c r="P635"/>
      <c r="Q635">
        <v>134976</v>
      </c>
      <c r="R635">
        <v>2</v>
      </c>
      <c r="S635" t="s">
        <v>40</v>
      </c>
      <c r="T635">
        <v>261</v>
      </c>
      <c r="W635"/>
      <c r="Y635" t="s">
        <v>377</v>
      </c>
      <c r="Z635" t="s">
        <v>378</v>
      </c>
      <c r="AA635" t="s">
        <v>379</v>
      </c>
      <c r="AB635" t="s">
        <v>1096</v>
      </c>
      <c r="AC635" t="s">
        <v>379</v>
      </c>
      <c r="AD635" t="s">
        <v>957</v>
      </c>
      <c r="AE635" t="s">
        <v>41</v>
      </c>
      <c r="AF635" t="s">
        <v>41</v>
      </c>
      <c r="AK635"/>
    </row>
    <row r="636" spans="1:38" x14ac:dyDescent="0.25">
      <c r="A636" t="s">
        <v>47</v>
      </c>
      <c r="B636">
        <v>45957.593923611108</v>
      </c>
      <c r="C636">
        <v>92535</v>
      </c>
      <c r="D636" t="s">
        <v>646</v>
      </c>
      <c r="E636">
        <v>4500633</v>
      </c>
      <c r="F636">
        <v>133168</v>
      </c>
      <c r="G636" t="s">
        <v>863</v>
      </c>
      <c r="H636" t="s">
        <v>990</v>
      </c>
      <c r="I636">
        <v>64.25</v>
      </c>
      <c r="J636" t="b">
        <v>1</v>
      </c>
      <c r="K636">
        <v>0.75588235294117645</v>
      </c>
      <c r="L636">
        <v>144374</v>
      </c>
      <c r="M636" t="s">
        <v>865</v>
      </c>
      <c r="N636">
        <v>85</v>
      </c>
      <c r="O636">
        <v>85</v>
      </c>
      <c r="P636"/>
      <c r="Q636">
        <v>134908</v>
      </c>
      <c r="R636">
        <v>1</v>
      </c>
      <c r="S636" t="s">
        <v>40</v>
      </c>
      <c r="T636">
        <v>261</v>
      </c>
      <c r="U636">
        <v>147664</v>
      </c>
      <c r="V636">
        <v>24</v>
      </c>
      <c r="W636" t="s">
        <v>40</v>
      </c>
      <c r="X636">
        <v>261</v>
      </c>
      <c r="Y636" t="s">
        <v>377</v>
      </c>
      <c r="Z636" t="s">
        <v>378</v>
      </c>
      <c r="AA636" t="s">
        <v>379</v>
      </c>
      <c r="AB636" t="s">
        <v>841</v>
      </c>
      <c r="AC636" t="s">
        <v>41</v>
      </c>
      <c r="AD636" t="s">
        <v>41</v>
      </c>
      <c r="AE636" t="s">
        <v>41</v>
      </c>
      <c r="AF636" t="s">
        <v>41</v>
      </c>
      <c r="AK636"/>
    </row>
    <row r="637" spans="1:38" x14ac:dyDescent="0.25">
      <c r="A637" t="s">
        <v>42</v>
      </c>
      <c r="B637">
        <v>45957.685706018521</v>
      </c>
      <c r="C637">
        <v>90696</v>
      </c>
      <c r="D637" t="s">
        <v>646</v>
      </c>
      <c r="E637">
        <v>4501083</v>
      </c>
      <c r="F637">
        <v>2105798</v>
      </c>
      <c r="G637" t="s">
        <v>1069</v>
      </c>
      <c r="H637" t="s">
        <v>979</v>
      </c>
      <c r="I637">
        <v>10</v>
      </c>
      <c r="J637" t="b">
        <v>1</v>
      </c>
      <c r="K637">
        <v>4.1152263374485597E-2</v>
      </c>
      <c r="L637">
        <v>2107049</v>
      </c>
      <c r="M637" t="s">
        <v>1070</v>
      </c>
      <c r="N637">
        <v>243</v>
      </c>
      <c r="O637">
        <v>217</v>
      </c>
      <c r="P637"/>
      <c r="Q637">
        <v>134976</v>
      </c>
      <c r="R637">
        <v>1</v>
      </c>
      <c r="S637" t="s">
        <v>40</v>
      </c>
      <c r="T637">
        <v>261</v>
      </c>
      <c r="W637"/>
      <c r="Y637" t="s">
        <v>377</v>
      </c>
      <c r="Z637" t="s">
        <v>378</v>
      </c>
      <c r="AA637" t="s">
        <v>379</v>
      </c>
      <c r="AB637" t="s">
        <v>801</v>
      </c>
      <c r="AC637" t="s">
        <v>41</v>
      </c>
      <c r="AD637" t="s">
        <v>41</v>
      </c>
      <c r="AE637" t="s">
        <v>41</v>
      </c>
      <c r="AF637" t="s">
        <v>41</v>
      </c>
      <c r="AK637"/>
    </row>
    <row r="638" spans="1:38" x14ac:dyDescent="0.25">
      <c r="A638" t="s">
        <v>48</v>
      </c>
      <c r="B638">
        <v>45958.147303240738</v>
      </c>
      <c r="C638">
        <v>91805</v>
      </c>
      <c r="D638" t="s">
        <v>590</v>
      </c>
      <c r="E638">
        <v>4501050</v>
      </c>
      <c r="F638">
        <v>2104815</v>
      </c>
      <c r="G638" t="s">
        <v>1085</v>
      </c>
      <c r="H638" t="s">
        <v>924</v>
      </c>
      <c r="I638">
        <v>7.5</v>
      </c>
      <c r="J638" t="b">
        <v>1</v>
      </c>
      <c r="K638">
        <v>0.25</v>
      </c>
      <c r="L638">
        <v>2106136</v>
      </c>
      <c r="M638" t="s">
        <v>1086</v>
      </c>
      <c r="N638">
        <v>30</v>
      </c>
      <c r="O638">
        <v>30</v>
      </c>
      <c r="P638"/>
      <c r="Q638">
        <v>134908</v>
      </c>
      <c r="R638">
        <v>1</v>
      </c>
      <c r="S638" t="s">
        <v>40</v>
      </c>
      <c r="T638">
        <v>261</v>
      </c>
      <c r="U638">
        <v>147664</v>
      </c>
      <c r="V638">
        <v>24</v>
      </c>
      <c r="W638" t="s">
        <v>40</v>
      </c>
      <c r="X638">
        <v>261</v>
      </c>
      <c r="Y638" t="s">
        <v>377</v>
      </c>
      <c r="Z638" t="s">
        <v>378</v>
      </c>
      <c r="AA638" t="s">
        <v>379</v>
      </c>
      <c r="AB638" t="s">
        <v>1058</v>
      </c>
      <c r="AC638" t="s">
        <v>41</v>
      </c>
      <c r="AD638" t="s">
        <v>41</v>
      </c>
      <c r="AE638" t="s">
        <v>41</v>
      </c>
      <c r="AF638" t="s">
        <v>41</v>
      </c>
      <c r="AK638"/>
    </row>
    <row r="639" spans="1:38" x14ac:dyDescent="0.25">
      <c r="A639" t="s">
        <v>44</v>
      </c>
      <c r="B639">
        <v>45958.148634259262</v>
      </c>
      <c r="C639">
        <v>91171</v>
      </c>
      <c r="D639" t="s">
        <v>590</v>
      </c>
      <c r="E639">
        <v>4500465</v>
      </c>
      <c r="F639">
        <v>156316</v>
      </c>
      <c r="G639" t="s">
        <v>899</v>
      </c>
      <c r="H639" t="s">
        <v>994</v>
      </c>
      <c r="I639">
        <v>14</v>
      </c>
      <c r="J639" t="b">
        <v>1</v>
      </c>
      <c r="K639">
        <v>3.5</v>
      </c>
      <c r="L639">
        <v>156315</v>
      </c>
      <c r="M639" t="s">
        <v>901</v>
      </c>
      <c r="N639">
        <v>4</v>
      </c>
      <c r="O639">
        <v>4</v>
      </c>
      <c r="P639"/>
      <c r="Q639">
        <v>134906</v>
      </c>
      <c r="R639">
        <v>1</v>
      </c>
      <c r="S639" t="s">
        <v>40</v>
      </c>
      <c r="T639">
        <v>261</v>
      </c>
      <c r="U639">
        <v>147664</v>
      </c>
      <c r="V639">
        <v>24</v>
      </c>
      <c r="W639" t="s">
        <v>40</v>
      </c>
      <c r="X639">
        <v>261</v>
      </c>
      <c r="Y639" t="s">
        <v>377</v>
      </c>
      <c r="Z639" t="s">
        <v>378</v>
      </c>
      <c r="AA639" t="s">
        <v>379</v>
      </c>
      <c r="AB639" t="s">
        <v>384</v>
      </c>
      <c r="AC639" t="s">
        <v>41</v>
      </c>
      <c r="AD639" t="s">
        <v>41</v>
      </c>
      <c r="AE639" t="s">
        <v>41</v>
      </c>
      <c r="AF639" t="s">
        <v>41</v>
      </c>
      <c r="AK639"/>
    </row>
    <row r="640" spans="1:38" x14ac:dyDescent="0.25">
      <c r="A640" t="s">
        <v>44</v>
      </c>
      <c r="B640">
        <v>45958.149710648147</v>
      </c>
      <c r="C640">
        <v>91171</v>
      </c>
      <c r="D640" t="s">
        <v>590</v>
      </c>
      <c r="E640">
        <v>4500466</v>
      </c>
      <c r="F640">
        <v>156316</v>
      </c>
      <c r="G640" t="s">
        <v>899</v>
      </c>
      <c r="H640" t="s">
        <v>994</v>
      </c>
      <c r="I640">
        <v>14</v>
      </c>
      <c r="J640" t="b">
        <v>1</v>
      </c>
      <c r="K640">
        <v>3.5</v>
      </c>
      <c r="L640">
        <v>156315</v>
      </c>
      <c r="M640" t="s">
        <v>901</v>
      </c>
      <c r="N640">
        <v>4</v>
      </c>
      <c r="O640">
        <v>4</v>
      </c>
      <c r="P640"/>
      <c r="Q640">
        <v>134905</v>
      </c>
      <c r="R640">
        <v>1</v>
      </c>
      <c r="S640" t="s">
        <v>40</v>
      </c>
      <c r="T640">
        <v>261</v>
      </c>
      <c r="U640">
        <v>147664</v>
      </c>
      <c r="V640">
        <v>24</v>
      </c>
      <c r="W640" t="s">
        <v>40</v>
      </c>
      <c r="X640">
        <v>261</v>
      </c>
      <c r="Y640" t="s">
        <v>377</v>
      </c>
      <c r="Z640" t="s">
        <v>378</v>
      </c>
      <c r="AA640" t="s">
        <v>379</v>
      </c>
      <c r="AB640" t="s">
        <v>384</v>
      </c>
      <c r="AC640" t="s">
        <v>41</v>
      </c>
      <c r="AD640" t="s">
        <v>41</v>
      </c>
      <c r="AE640" t="s">
        <v>41</v>
      </c>
      <c r="AF640" t="s">
        <v>41</v>
      </c>
      <c r="AK640"/>
    </row>
    <row r="641" spans="1:38" x14ac:dyDescent="0.25">
      <c r="A641" t="s">
        <v>37</v>
      </c>
      <c r="B641">
        <v>45958.219236111108</v>
      </c>
      <c r="C641">
        <v>91806</v>
      </c>
      <c r="D641" t="s">
        <v>590</v>
      </c>
      <c r="E641">
        <v>4501051</v>
      </c>
      <c r="F641">
        <v>2104815</v>
      </c>
      <c r="G641" t="s">
        <v>1085</v>
      </c>
      <c r="H641" t="s">
        <v>926</v>
      </c>
      <c r="I641">
        <v>7.5</v>
      </c>
      <c r="J641" t="b">
        <v>1</v>
      </c>
      <c r="K641">
        <v>0.25</v>
      </c>
      <c r="L641">
        <v>2106136</v>
      </c>
      <c r="M641" t="s">
        <v>1086</v>
      </c>
      <c r="N641">
        <v>30</v>
      </c>
      <c r="O641">
        <v>30</v>
      </c>
      <c r="P641"/>
      <c r="Q641">
        <v>134908</v>
      </c>
      <c r="R641">
        <v>1</v>
      </c>
      <c r="S641" t="s">
        <v>40</v>
      </c>
      <c r="T641">
        <v>261</v>
      </c>
      <c r="U641">
        <v>147664</v>
      </c>
      <c r="V641">
        <v>24</v>
      </c>
      <c r="W641" t="s">
        <v>40</v>
      </c>
      <c r="X641">
        <v>261</v>
      </c>
      <c r="Y641" t="s">
        <v>377</v>
      </c>
      <c r="Z641" t="s">
        <v>378</v>
      </c>
      <c r="AA641" t="s">
        <v>379</v>
      </c>
      <c r="AB641" t="s">
        <v>1058</v>
      </c>
      <c r="AC641" t="s">
        <v>41</v>
      </c>
      <c r="AD641" t="s">
        <v>41</v>
      </c>
      <c r="AE641" t="s">
        <v>41</v>
      </c>
      <c r="AF641" t="s">
        <v>41</v>
      </c>
      <c r="AK641"/>
    </row>
    <row r="642" spans="1:38" x14ac:dyDescent="0.25">
      <c r="A642" t="s">
        <v>43</v>
      </c>
      <c r="B642">
        <v>45958.426863425928</v>
      </c>
      <c r="C642">
        <v>89564</v>
      </c>
      <c r="D642" t="s">
        <v>866</v>
      </c>
      <c r="E642">
        <v>4500044</v>
      </c>
      <c r="F642">
        <v>105454</v>
      </c>
      <c r="G642" t="s">
        <v>783</v>
      </c>
      <c r="H642" t="s">
        <v>962</v>
      </c>
      <c r="I642">
        <v>7.5</v>
      </c>
      <c r="J642" t="b">
        <v>1</v>
      </c>
      <c r="K642">
        <v>0.625</v>
      </c>
      <c r="L642">
        <v>2106228</v>
      </c>
      <c r="M642" t="s">
        <v>784</v>
      </c>
      <c r="N642">
        <v>12</v>
      </c>
      <c r="O642">
        <v>12</v>
      </c>
      <c r="P642"/>
      <c r="Q642">
        <v>134905</v>
      </c>
      <c r="R642">
        <v>1</v>
      </c>
      <c r="S642" t="s">
        <v>40</v>
      </c>
      <c r="T642">
        <v>261</v>
      </c>
      <c r="U642">
        <v>147664</v>
      </c>
      <c r="V642">
        <v>48</v>
      </c>
      <c r="W642" t="s">
        <v>40</v>
      </c>
      <c r="X642">
        <v>261</v>
      </c>
      <c r="Y642" t="s">
        <v>377</v>
      </c>
      <c r="Z642" t="s">
        <v>378</v>
      </c>
      <c r="AA642" t="s">
        <v>379</v>
      </c>
      <c r="AB642" t="s">
        <v>400</v>
      </c>
      <c r="AC642" t="s">
        <v>379</v>
      </c>
      <c r="AD642" t="s">
        <v>384</v>
      </c>
      <c r="AE642" t="s">
        <v>41</v>
      </c>
      <c r="AF642" t="s">
        <v>41</v>
      </c>
      <c r="AI642">
        <v>134905</v>
      </c>
      <c r="AJ642">
        <v>1</v>
      </c>
      <c r="AK642" t="s">
        <v>40</v>
      </c>
      <c r="AL642">
        <v>261</v>
      </c>
    </row>
    <row r="643" spans="1:38" x14ac:dyDescent="0.25">
      <c r="A643" t="s">
        <v>42</v>
      </c>
      <c r="B643">
        <v>45958.473113425927</v>
      </c>
      <c r="C643">
        <v>91941</v>
      </c>
      <c r="D643" t="s">
        <v>866</v>
      </c>
      <c r="E643">
        <v>4501814</v>
      </c>
      <c r="F643">
        <v>2104880</v>
      </c>
      <c r="G643" t="s">
        <v>577</v>
      </c>
      <c r="H643" t="s">
        <v>1042</v>
      </c>
      <c r="I643">
        <v>10</v>
      </c>
      <c r="J643" t="b">
        <v>1</v>
      </c>
      <c r="K643">
        <v>2</v>
      </c>
      <c r="L643">
        <v>2106200</v>
      </c>
      <c r="M643" t="s">
        <v>579</v>
      </c>
      <c r="N643">
        <v>5</v>
      </c>
      <c r="O643">
        <v>5</v>
      </c>
      <c r="P643"/>
      <c r="Q643">
        <v>155687</v>
      </c>
      <c r="R643">
        <v>1</v>
      </c>
      <c r="S643" t="s">
        <v>40</v>
      </c>
      <c r="T643">
        <v>261</v>
      </c>
      <c r="U643">
        <v>147664</v>
      </c>
      <c r="V643">
        <v>24</v>
      </c>
      <c r="W643" t="s">
        <v>40</v>
      </c>
      <c r="X643">
        <v>261</v>
      </c>
      <c r="Y643" t="s">
        <v>377</v>
      </c>
      <c r="Z643" t="s">
        <v>378</v>
      </c>
      <c r="AA643" t="s">
        <v>379</v>
      </c>
      <c r="AB643" t="s">
        <v>559</v>
      </c>
      <c r="AC643" t="s">
        <v>41</v>
      </c>
      <c r="AD643" t="s">
        <v>41</v>
      </c>
      <c r="AE643" t="s">
        <v>41</v>
      </c>
      <c r="AF643" t="s">
        <v>41</v>
      </c>
      <c r="AK643"/>
    </row>
    <row r="644" spans="1:38" x14ac:dyDescent="0.25">
      <c r="A644" t="s">
        <v>42</v>
      </c>
      <c r="B644">
        <v>45958.475081018521</v>
      </c>
      <c r="C644">
        <v>91941</v>
      </c>
      <c r="D644" t="s">
        <v>866</v>
      </c>
      <c r="E644">
        <v>4501813</v>
      </c>
      <c r="F644">
        <v>2104880</v>
      </c>
      <c r="G644" t="s">
        <v>577</v>
      </c>
      <c r="H644" t="s">
        <v>1042</v>
      </c>
      <c r="I644">
        <v>10</v>
      </c>
      <c r="J644" t="b">
        <v>1</v>
      </c>
      <c r="K644">
        <v>2.5</v>
      </c>
      <c r="L644">
        <v>2106200</v>
      </c>
      <c r="M644" t="s">
        <v>579</v>
      </c>
      <c r="N644">
        <v>4</v>
      </c>
      <c r="O644">
        <v>4</v>
      </c>
      <c r="P644"/>
      <c r="Q644">
        <v>134905</v>
      </c>
      <c r="R644">
        <v>1</v>
      </c>
      <c r="S644" t="s">
        <v>40</v>
      </c>
      <c r="T644">
        <v>261</v>
      </c>
      <c r="U644">
        <v>147664</v>
      </c>
      <c r="V644">
        <v>24</v>
      </c>
      <c r="W644" t="s">
        <v>40</v>
      </c>
      <c r="X644">
        <v>261</v>
      </c>
      <c r="Y644" t="s">
        <v>377</v>
      </c>
      <c r="Z644" t="s">
        <v>378</v>
      </c>
      <c r="AA644" t="s">
        <v>379</v>
      </c>
      <c r="AB644" t="s">
        <v>384</v>
      </c>
      <c r="AC644" t="s">
        <v>41</v>
      </c>
      <c r="AD644" t="s">
        <v>41</v>
      </c>
      <c r="AE644" t="s">
        <v>41</v>
      </c>
      <c r="AF644" t="s">
        <v>41</v>
      </c>
      <c r="AK644"/>
    </row>
    <row r="645" spans="1:38" x14ac:dyDescent="0.25">
      <c r="A645" t="s">
        <v>37</v>
      </c>
      <c r="B645">
        <v>45958.55909722222</v>
      </c>
      <c r="C645">
        <v>92455</v>
      </c>
      <c r="D645" t="s">
        <v>866</v>
      </c>
      <c r="E645">
        <v>4498706</v>
      </c>
      <c r="F645">
        <v>2310463</v>
      </c>
      <c r="G645" t="s">
        <v>1095</v>
      </c>
      <c r="H645" t="s">
        <v>930</v>
      </c>
      <c r="I645">
        <v>2.5</v>
      </c>
      <c r="J645" t="b">
        <v>1</v>
      </c>
      <c r="K645">
        <v>6.6137566137566134E-3</v>
      </c>
      <c r="L645">
        <v>2310464</v>
      </c>
      <c r="M645" t="s">
        <v>1090</v>
      </c>
      <c r="N645">
        <v>378</v>
      </c>
      <c r="O645">
        <v>360</v>
      </c>
      <c r="P645"/>
      <c r="Q645">
        <v>134976</v>
      </c>
      <c r="R645">
        <v>1</v>
      </c>
      <c r="S645" t="s">
        <v>40</v>
      </c>
      <c r="T645">
        <v>261</v>
      </c>
      <c r="V645">
        <v>0</v>
      </c>
      <c r="W645"/>
      <c r="Y645" t="s">
        <v>377</v>
      </c>
      <c r="Z645" t="s">
        <v>378</v>
      </c>
      <c r="AA645" t="s">
        <v>379</v>
      </c>
      <c r="AB645" t="s">
        <v>1097</v>
      </c>
      <c r="AC645" t="s">
        <v>379</v>
      </c>
      <c r="AD645" t="s">
        <v>957</v>
      </c>
      <c r="AE645" t="s">
        <v>41</v>
      </c>
      <c r="AF645" t="s">
        <v>41</v>
      </c>
      <c r="AI645">
        <v>134976</v>
      </c>
      <c r="AJ645">
        <v>1</v>
      </c>
      <c r="AK645" t="s">
        <v>40</v>
      </c>
      <c r="AL645">
        <v>261</v>
      </c>
    </row>
    <row r="646" spans="1:38" x14ac:dyDescent="0.25">
      <c r="A646" t="s">
        <v>47</v>
      </c>
      <c r="B646">
        <v>45958.640208333331</v>
      </c>
      <c r="C646">
        <v>90697</v>
      </c>
      <c r="D646" t="s">
        <v>866</v>
      </c>
      <c r="E646">
        <v>4502060</v>
      </c>
      <c r="F646">
        <v>2105798</v>
      </c>
      <c r="G646" t="s">
        <v>1069</v>
      </c>
      <c r="H646" t="s">
        <v>951</v>
      </c>
      <c r="I646">
        <v>10</v>
      </c>
      <c r="J646" t="b">
        <v>1</v>
      </c>
      <c r="K646">
        <v>7.4626865671641784E-2</v>
      </c>
      <c r="L646">
        <v>2107049</v>
      </c>
      <c r="M646" t="s">
        <v>1070</v>
      </c>
      <c r="N646">
        <v>134</v>
      </c>
      <c r="O646">
        <v>215</v>
      </c>
      <c r="P646"/>
      <c r="Q646">
        <v>134976</v>
      </c>
      <c r="R646">
        <v>1</v>
      </c>
      <c r="S646" t="s">
        <v>40</v>
      </c>
      <c r="T646">
        <v>261</v>
      </c>
      <c r="W646"/>
      <c r="Y646" t="s">
        <v>377</v>
      </c>
      <c r="Z646" t="s">
        <v>378</v>
      </c>
      <c r="AA646" t="s">
        <v>379</v>
      </c>
      <c r="AB646" t="s">
        <v>1098</v>
      </c>
      <c r="AC646" t="s">
        <v>41</v>
      </c>
      <c r="AD646" t="s">
        <v>41</v>
      </c>
      <c r="AE646" t="s">
        <v>41</v>
      </c>
      <c r="AF646" t="s">
        <v>41</v>
      </c>
      <c r="AK646"/>
    </row>
    <row r="647" spans="1:38" x14ac:dyDescent="0.25">
      <c r="A647" t="s">
        <v>39</v>
      </c>
      <c r="B647">
        <v>45958.982743055552</v>
      </c>
      <c r="C647">
        <v>92536</v>
      </c>
      <c r="D647" t="s">
        <v>590</v>
      </c>
      <c r="E647">
        <v>4500634</v>
      </c>
      <c r="F647">
        <v>133168</v>
      </c>
      <c r="G647" t="s">
        <v>863</v>
      </c>
      <c r="H647" t="s">
        <v>927</v>
      </c>
      <c r="I647">
        <v>64.3</v>
      </c>
      <c r="J647" t="b">
        <v>1</v>
      </c>
      <c r="K647">
        <v>0.75647058823529412</v>
      </c>
      <c r="L647">
        <v>144374</v>
      </c>
      <c r="M647" t="s">
        <v>865</v>
      </c>
      <c r="N647">
        <v>85</v>
      </c>
      <c r="O647">
        <v>85</v>
      </c>
      <c r="P647"/>
      <c r="Q647">
        <v>134908</v>
      </c>
      <c r="R647">
        <v>1</v>
      </c>
      <c r="S647" t="s">
        <v>40</v>
      </c>
      <c r="T647">
        <v>261</v>
      </c>
      <c r="U647">
        <v>147664</v>
      </c>
      <c r="V647">
        <v>24</v>
      </c>
      <c r="W647" t="s">
        <v>40</v>
      </c>
      <c r="X647">
        <v>261</v>
      </c>
      <c r="Y647" t="s">
        <v>377</v>
      </c>
      <c r="Z647" t="s">
        <v>378</v>
      </c>
      <c r="AA647" t="s">
        <v>379</v>
      </c>
      <c r="AB647" t="s">
        <v>841</v>
      </c>
      <c r="AC647" t="s">
        <v>41</v>
      </c>
      <c r="AD647" t="s">
        <v>41</v>
      </c>
      <c r="AE647" t="s">
        <v>41</v>
      </c>
      <c r="AF647" t="s">
        <v>41</v>
      </c>
      <c r="AK647"/>
    </row>
    <row r="648" spans="1:38" x14ac:dyDescent="0.25">
      <c r="A648" t="s">
        <v>38</v>
      </c>
      <c r="B648">
        <v>45959.037812499999</v>
      </c>
      <c r="C648">
        <v>89563</v>
      </c>
      <c r="D648" t="s">
        <v>590</v>
      </c>
      <c r="E648">
        <v>4500043</v>
      </c>
      <c r="F648">
        <v>105454</v>
      </c>
      <c r="G648" t="s">
        <v>783</v>
      </c>
      <c r="H648" t="s">
        <v>959</v>
      </c>
      <c r="I648">
        <v>7.5</v>
      </c>
      <c r="J648" t="b">
        <v>1</v>
      </c>
      <c r="K648">
        <v>0.625</v>
      </c>
      <c r="L648">
        <v>2106228</v>
      </c>
      <c r="M648" t="s">
        <v>784</v>
      </c>
      <c r="N648">
        <v>12</v>
      </c>
      <c r="O648">
        <v>12</v>
      </c>
      <c r="P648"/>
      <c r="Q648">
        <v>134905</v>
      </c>
      <c r="R648">
        <v>2</v>
      </c>
      <c r="S648" t="s">
        <v>40</v>
      </c>
      <c r="T648">
        <v>261</v>
      </c>
      <c r="U648">
        <v>147664</v>
      </c>
      <c r="V648">
        <v>48</v>
      </c>
      <c r="W648" t="s">
        <v>40</v>
      </c>
      <c r="X648">
        <v>261</v>
      </c>
      <c r="Y648" t="s">
        <v>377</v>
      </c>
      <c r="Z648" t="s">
        <v>378</v>
      </c>
      <c r="AA648" t="s">
        <v>379</v>
      </c>
      <c r="AB648" t="s">
        <v>400</v>
      </c>
      <c r="AC648" t="s">
        <v>379</v>
      </c>
      <c r="AD648" t="s">
        <v>384</v>
      </c>
      <c r="AE648" t="s">
        <v>41</v>
      </c>
      <c r="AF648" t="s">
        <v>41</v>
      </c>
      <c r="AK648"/>
    </row>
    <row r="649" spans="1:38" x14ac:dyDescent="0.25">
      <c r="A649" t="s">
        <v>43</v>
      </c>
      <c r="B649">
        <v>45959.196805555555</v>
      </c>
      <c r="C649">
        <v>91807</v>
      </c>
      <c r="D649" t="s">
        <v>590</v>
      </c>
      <c r="E649">
        <v>4501052</v>
      </c>
      <c r="F649">
        <v>2104815</v>
      </c>
      <c r="G649" t="s">
        <v>1085</v>
      </c>
      <c r="H649" t="s">
        <v>1004</v>
      </c>
      <c r="I649">
        <v>7.5</v>
      </c>
      <c r="J649" t="b">
        <v>1</v>
      </c>
      <c r="K649">
        <v>0.25</v>
      </c>
      <c r="L649">
        <v>2106136</v>
      </c>
      <c r="M649" t="s">
        <v>1086</v>
      </c>
      <c r="N649">
        <v>30</v>
      </c>
      <c r="O649">
        <v>30</v>
      </c>
      <c r="P649"/>
      <c r="Q649">
        <v>134971</v>
      </c>
      <c r="R649">
        <v>1</v>
      </c>
      <c r="S649" t="s">
        <v>40</v>
      </c>
      <c r="T649">
        <v>261</v>
      </c>
      <c r="U649">
        <v>147664</v>
      </c>
      <c r="V649">
        <v>24</v>
      </c>
      <c r="W649" t="s">
        <v>40</v>
      </c>
      <c r="X649">
        <v>261</v>
      </c>
      <c r="Y649" t="s">
        <v>377</v>
      </c>
      <c r="Z649" t="s">
        <v>378</v>
      </c>
      <c r="AA649" t="s">
        <v>379</v>
      </c>
      <c r="AB649" t="s">
        <v>1058</v>
      </c>
      <c r="AC649" t="s">
        <v>41</v>
      </c>
      <c r="AD649" t="s">
        <v>41</v>
      </c>
      <c r="AE649" t="s">
        <v>41</v>
      </c>
      <c r="AF649" t="s">
        <v>41</v>
      </c>
      <c r="AK649"/>
    </row>
    <row r="650" spans="1:38" x14ac:dyDescent="0.25">
      <c r="A650" t="s">
        <v>37</v>
      </c>
      <c r="B650">
        <v>45959.198541666665</v>
      </c>
      <c r="C650">
        <v>91943</v>
      </c>
      <c r="D650" t="s">
        <v>590</v>
      </c>
      <c r="E650">
        <v>4501815</v>
      </c>
      <c r="F650">
        <v>2104880</v>
      </c>
      <c r="G650" t="s">
        <v>577</v>
      </c>
      <c r="H650" t="s">
        <v>1051</v>
      </c>
      <c r="I650">
        <v>10</v>
      </c>
      <c r="J650" t="b">
        <v>1</v>
      </c>
      <c r="K650">
        <v>2.5</v>
      </c>
      <c r="L650">
        <v>2106200</v>
      </c>
      <c r="M650" t="s">
        <v>579</v>
      </c>
      <c r="N650">
        <v>4</v>
      </c>
      <c r="O650">
        <v>4</v>
      </c>
      <c r="P650"/>
      <c r="Q650">
        <v>134905</v>
      </c>
      <c r="R650">
        <v>1</v>
      </c>
      <c r="S650" t="s">
        <v>40</v>
      </c>
      <c r="T650">
        <v>261</v>
      </c>
      <c r="U650">
        <v>147664</v>
      </c>
      <c r="V650">
        <v>24</v>
      </c>
      <c r="W650" t="s">
        <v>40</v>
      </c>
      <c r="X650">
        <v>261</v>
      </c>
      <c r="Y650" t="s">
        <v>377</v>
      </c>
      <c r="Z650" t="s">
        <v>378</v>
      </c>
      <c r="AA650" t="s">
        <v>379</v>
      </c>
      <c r="AB650" t="s">
        <v>384</v>
      </c>
      <c r="AC650" t="s">
        <v>41</v>
      </c>
      <c r="AD650" t="s">
        <v>41</v>
      </c>
      <c r="AE650" t="s">
        <v>41</v>
      </c>
      <c r="AF650" t="s">
        <v>41</v>
      </c>
      <c r="AK650"/>
    </row>
    <row r="651" spans="1:38" x14ac:dyDescent="0.25">
      <c r="A651" t="s">
        <v>37</v>
      </c>
      <c r="B651">
        <v>45959.199525462966</v>
      </c>
      <c r="C651">
        <v>91943</v>
      </c>
      <c r="D651" t="s">
        <v>590</v>
      </c>
      <c r="E651">
        <v>4501816</v>
      </c>
      <c r="F651">
        <v>2104880</v>
      </c>
      <c r="G651" t="s">
        <v>577</v>
      </c>
      <c r="H651" t="s">
        <v>1051</v>
      </c>
      <c r="I651">
        <v>10</v>
      </c>
      <c r="J651" t="b">
        <v>1</v>
      </c>
      <c r="K651">
        <v>2</v>
      </c>
      <c r="L651">
        <v>2106200</v>
      </c>
      <c r="M651" t="s">
        <v>579</v>
      </c>
      <c r="N651">
        <v>5</v>
      </c>
      <c r="O651">
        <v>5</v>
      </c>
      <c r="P651"/>
      <c r="Q651">
        <v>134905</v>
      </c>
      <c r="R651">
        <v>1</v>
      </c>
      <c r="S651" t="s">
        <v>40</v>
      </c>
      <c r="T651">
        <v>261</v>
      </c>
      <c r="U651">
        <v>147664</v>
      </c>
      <c r="V651">
        <v>24</v>
      </c>
      <c r="W651" t="s">
        <v>40</v>
      </c>
      <c r="X651">
        <v>261</v>
      </c>
      <c r="Y651" t="s">
        <v>377</v>
      </c>
      <c r="Z651" t="s">
        <v>378</v>
      </c>
      <c r="AA651" t="s">
        <v>379</v>
      </c>
      <c r="AB651" t="s">
        <v>559</v>
      </c>
      <c r="AC651" t="s">
        <v>41</v>
      </c>
      <c r="AD651" t="s">
        <v>41</v>
      </c>
      <c r="AE651" t="s">
        <v>41</v>
      </c>
      <c r="AF651" t="s">
        <v>41</v>
      </c>
      <c r="AK651"/>
    </row>
    <row r="652" spans="1:38" x14ac:dyDescent="0.25">
      <c r="A652" t="s">
        <v>48</v>
      </c>
      <c r="B652">
        <v>45959.34337962963</v>
      </c>
      <c r="C652">
        <v>91808</v>
      </c>
      <c r="D652" t="s">
        <v>459</v>
      </c>
      <c r="E652">
        <v>4501053</v>
      </c>
      <c r="F652">
        <v>2104815</v>
      </c>
      <c r="G652" t="s">
        <v>1085</v>
      </c>
      <c r="H652" t="s">
        <v>1084</v>
      </c>
      <c r="I652">
        <v>7.5</v>
      </c>
      <c r="J652" t="b">
        <v>1</v>
      </c>
      <c r="K652">
        <v>0.35714285714285715</v>
      </c>
      <c r="L652">
        <v>2106136</v>
      </c>
      <c r="M652" t="s">
        <v>1086</v>
      </c>
      <c r="N652">
        <v>21</v>
      </c>
      <c r="O652">
        <v>21</v>
      </c>
      <c r="P652"/>
      <c r="Q652">
        <v>134907</v>
      </c>
      <c r="R652">
        <v>1</v>
      </c>
      <c r="S652" t="s">
        <v>40</v>
      </c>
      <c r="T652">
        <v>261</v>
      </c>
      <c r="U652">
        <v>147664</v>
      </c>
      <c r="V652">
        <v>24</v>
      </c>
      <c r="W652" t="s">
        <v>40</v>
      </c>
      <c r="X652">
        <v>261</v>
      </c>
      <c r="Y652" t="s">
        <v>377</v>
      </c>
      <c r="Z652" t="s">
        <v>378</v>
      </c>
      <c r="AA652" t="s">
        <v>379</v>
      </c>
      <c r="AB652" t="s">
        <v>1099</v>
      </c>
      <c r="AC652" t="s">
        <v>41</v>
      </c>
      <c r="AD652" t="s">
        <v>41</v>
      </c>
      <c r="AE652" t="s">
        <v>41</v>
      </c>
      <c r="AF652" t="s">
        <v>41</v>
      </c>
      <c r="AK652"/>
    </row>
    <row r="653" spans="1:38" x14ac:dyDescent="0.25">
      <c r="A653" t="s">
        <v>43</v>
      </c>
      <c r="B653">
        <v>45959.559675925928</v>
      </c>
      <c r="C653">
        <v>89565</v>
      </c>
      <c r="D653" t="s">
        <v>459</v>
      </c>
      <c r="E653">
        <v>4500047</v>
      </c>
      <c r="F653">
        <v>105454</v>
      </c>
      <c r="G653" t="s">
        <v>783</v>
      </c>
      <c r="H653" t="s">
        <v>976</v>
      </c>
      <c r="I653">
        <v>7.5</v>
      </c>
      <c r="J653" t="b">
        <v>1</v>
      </c>
      <c r="K653">
        <v>0.625</v>
      </c>
      <c r="L653">
        <v>2106228</v>
      </c>
      <c r="M653" t="s">
        <v>784</v>
      </c>
      <c r="N653">
        <v>12</v>
      </c>
      <c r="O653">
        <v>12</v>
      </c>
      <c r="P653"/>
      <c r="Q653">
        <v>134905</v>
      </c>
      <c r="R653">
        <v>1</v>
      </c>
      <c r="S653" t="s">
        <v>40</v>
      </c>
      <c r="T653">
        <v>261</v>
      </c>
      <c r="U653">
        <v>147664</v>
      </c>
      <c r="V653">
        <v>24</v>
      </c>
      <c r="W653" t="s">
        <v>40</v>
      </c>
      <c r="X653">
        <v>261</v>
      </c>
      <c r="Y653" t="s">
        <v>377</v>
      </c>
      <c r="Z653" t="s">
        <v>378</v>
      </c>
      <c r="AA653" t="s">
        <v>379</v>
      </c>
      <c r="AB653" t="s">
        <v>400</v>
      </c>
      <c r="AC653" t="s">
        <v>379</v>
      </c>
      <c r="AD653" t="s">
        <v>384</v>
      </c>
      <c r="AE653" t="s">
        <v>41</v>
      </c>
      <c r="AF653" t="s">
        <v>41</v>
      </c>
      <c r="AK653"/>
    </row>
    <row r="654" spans="1:38" x14ac:dyDescent="0.25">
      <c r="A654" t="s">
        <v>47</v>
      </c>
      <c r="B654">
        <v>45959.709687499999</v>
      </c>
      <c r="C654">
        <v>92456</v>
      </c>
      <c r="D654" t="s">
        <v>459</v>
      </c>
      <c r="E654">
        <v>4498708</v>
      </c>
      <c r="F654">
        <v>2310463</v>
      </c>
      <c r="G654" t="s">
        <v>1095</v>
      </c>
      <c r="H654" t="s">
        <v>951</v>
      </c>
      <c r="I654">
        <v>2.5</v>
      </c>
      <c r="J654" t="b">
        <v>1</v>
      </c>
      <c r="K654">
        <v>1.0416666666666666E-2</v>
      </c>
      <c r="L654">
        <v>2310464</v>
      </c>
      <c r="M654" t="s">
        <v>1090</v>
      </c>
      <c r="N654">
        <v>240</v>
      </c>
      <c r="O654">
        <v>416</v>
      </c>
      <c r="P654"/>
      <c r="Q654">
        <v>134976</v>
      </c>
      <c r="R654">
        <v>1</v>
      </c>
      <c r="S654" t="s">
        <v>40</v>
      </c>
      <c r="T654">
        <v>261</v>
      </c>
      <c r="W654"/>
      <c r="Y654" t="s">
        <v>377</v>
      </c>
      <c r="Z654" t="s">
        <v>378</v>
      </c>
      <c r="AA654" t="s">
        <v>379</v>
      </c>
      <c r="AB654" t="s">
        <v>596</v>
      </c>
      <c r="AC654" t="s">
        <v>41</v>
      </c>
      <c r="AD654" t="s">
        <v>41</v>
      </c>
      <c r="AE654" t="s">
        <v>41</v>
      </c>
      <c r="AF654" t="s">
        <v>41</v>
      </c>
      <c r="AK654"/>
    </row>
    <row r="655" spans="1:38" x14ac:dyDescent="0.25">
      <c r="A655" t="s">
        <v>39</v>
      </c>
      <c r="B655">
        <v>45959.711412037039</v>
      </c>
      <c r="C655">
        <v>92459</v>
      </c>
      <c r="D655" t="s">
        <v>459</v>
      </c>
      <c r="E655">
        <v>4498708</v>
      </c>
      <c r="F655">
        <v>2310463</v>
      </c>
      <c r="G655" t="s">
        <v>1095</v>
      </c>
      <c r="H655" t="s">
        <v>951</v>
      </c>
      <c r="I655">
        <v>2.5</v>
      </c>
      <c r="J655" t="b">
        <v>1</v>
      </c>
      <c r="K655">
        <v>1.4204545454545454E-2</v>
      </c>
      <c r="L655">
        <v>2310464</v>
      </c>
      <c r="M655" t="s">
        <v>1090</v>
      </c>
      <c r="N655">
        <v>176</v>
      </c>
      <c r="O655">
        <v>0</v>
      </c>
      <c r="P655"/>
      <c r="Q655">
        <v>134975</v>
      </c>
      <c r="R655">
        <v>1</v>
      </c>
      <c r="S655" t="s">
        <v>40</v>
      </c>
      <c r="T655">
        <v>261</v>
      </c>
      <c r="W655"/>
      <c r="Y655" t="s">
        <v>377</v>
      </c>
      <c r="Z655" t="s">
        <v>378</v>
      </c>
      <c r="AA655" t="s">
        <v>379</v>
      </c>
      <c r="AB655" t="s">
        <v>685</v>
      </c>
      <c r="AC655" t="s">
        <v>41</v>
      </c>
      <c r="AD655" t="s">
        <v>41</v>
      </c>
      <c r="AE655" t="s">
        <v>41</v>
      </c>
      <c r="AF655" t="s">
        <v>41</v>
      </c>
      <c r="AK655"/>
    </row>
    <row r="656" spans="1:38" x14ac:dyDescent="0.25">
      <c r="A656" t="s">
        <v>42</v>
      </c>
      <c r="B656">
        <v>45959.977407407408</v>
      </c>
      <c r="C656">
        <v>91172</v>
      </c>
      <c r="D656" t="s">
        <v>745</v>
      </c>
      <c r="E656">
        <v>4501757</v>
      </c>
      <c r="F656">
        <v>156316</v>
      </c>
      <c r="G656" t="s">
        <v>899</v>
      </c>
      <c r="H656" t="s">
        <v>1003</v>
      </c>
      <c r="I656">
        <v>14</v>
      </c>
      <c r="J656" t="b">
        <v>1</v>
      </c>
      <c r="K656">
        <v>3.5</v>
      </c>
      <c r="L656">
        <v>156315</v>
      </c>
      <c r="M656" t="s">
        <v>901</v>
      </c>
      <c r="N656">
        <v>4</v>
      </c>
      <c r="O656">
        <v>4</v>
      </c>
      <c r="P656"/>
      <c r="Q656">
        <v>134905</v>
      </c>
      <c r="R656">
        <v>2</v>
      </c>
      <c r="S656" t="s">
        <v>40</v>
      </c>
      <c r="T656">
        <v>261</v>
      </c>
      <c r="U656">
        <v>147664</v>
      </c>
      <c r="V656">
        <v>48</v>
      </c>
      <c r="W656" t="s">
        <v>40</v>
      </c>
      <c r="X656">
        <v>261</v>
      </c>
      <c r="Y656" t="s">
        <v>377</v>
      </c>
      <c r="Z656" t="s">
        <v>378</v>
      </c>
      <c r="AA656" t="s">
        <v>379</v>
      </c>
      <c r="AB656" t="s">
        <v>384</v>
      </c>
      <c r="AC656" t="s">
        <v>41</v>
      </c>
      <c r="AD656" t="s">
        <v>41</v>
      </c>
      <c r="AE656" t="s">
        <v>41</v>
      </c>
      <c r="AF656" t="s">
        <v>41</v>
      </c>
      <c r="AK656"/>
    </row>
    <row r="657" spans="1:38" x14ac:dyDescent="0.25">
      <c r="A657" t="s">
        <v>42</v>
      </c>
      <c r="B657">
        <v>45959.978993055556</v>
      </c>
      <c r="C657">
        <v>91172</v>
      </c>
      <c r="D657" t="s">
        <v>745</v>
      </c>
      <c r="E657">
        <v>4501756</v>
      </c>
      <c r="F657">
        <v>156316</v>
      </c>
      <c r="G657" t="s">
        <v>899</v>
      </c>
      <c r="H657" t="s">
        <v>1003</v>
      </c>
      <c r="I657">
        <v>14</v>
      </c>
      <c r="J657" t="b">
        <v>1</v>
      </c>
      <c r="K657">
        <v>3.5</v>
      </c>
      <c r="L657">
        <v>156315</v>
      </c>
      <c r="M657" t="s">
        <v>901</v>
      </c>
      <c r="N657">
        <v>4</v>
      </c>
      <c r="O657">
        <v>4</v>
      </c>
      <c r="P657"/>
      <c r="Q657">
        <v>0</v>
      </c>
      <c r="R657">
        <v>0</v>
      </c>
      <c r="S657" t="s">
        <v>40</v>
      </c>
      <c r="T657">
        <v>261</v>
      </c>
      <c r="W657"/>
      <c r="Y657" t="s">
        <v>377</v>
      </c>
      <c r="Z657" t="s">
        <v>378</v>
      </c>
      <c r="AA657" t="s">
        <v>379</v>
      </c>
      <c r="AB657" t="s">
        <v>384</v>
      </c>
      <c r="AC657" t="s">
        <v>41</v>
      </c>
      <c r="AD657" t="s">
        <v>41</v>
      </c>
      <c r="AE657" t="s">
        <v>41</v>
      </c>
      <c r="AF657" t="s">
        <v>41</v>
      </c>
      <c r="AK657"/>
    </row>
    <row r="658" spans="1:38" x14ac:dyDescent="0.25">
      <c r="A658" t="s">
        <v>45</v>
      </c>
      <c r="B658">
        <v>45960.004351851851</v>
      </c>
      <c r="C658">
        <v>92538</v>
      </c>
      <c r="D658" t="s">
        <v>745</v>
      </c>
      <c r="E658">
        <v>4500635</v>
      </c>
      <c r="F658">
        <v>133168</v>
      </c>
      <c r="G658" t="s">
        <v>863</v>
      </c>
      <c r="H658" t="s">
        <v>935</v>
      </c>
      <c r="I658">
        <v>64.3</v>
      </c>
      <c r="J658" t="b">
        <v>1</v>
      </c>
      <c r="K658">
        <v>0.75647058823529412</v>
      </c>
      <c r="L658">
        <v>144374</v>
      </c>
      <c r="M658" t="s">
        <v>865</v>
      </c>
      <c r="N658">
        <v>85</v>
      </c>
      <c r="O658">
        <v>85</v>
      </c>
      <c r="P658"/>
      <c r="Q658">
        <v>134908</v>
      </c>
      <c r="R658">
        <v>1</v>
      </c>
      <c r="S658" t="s">
        <v>40</v>
      </c>
      <c r="T658">
        <v>261</v>
      </c>
      <c r="U658">
        <v>147664</v>
      </c>
      <c r="V658">
        <v>24</v>
      </c>
      <c r="W658" t="s">
        <v>40</v>
      </c>
      <c r="X658">
        <v>261</v>
      </c>
      <c r="Y658" t="s">
        <v>377</v>
      </c>
      <c r="Z658" t="s">
        <v>378</v>
      </c>
      <c r="AA658" t="s">
        <v>379</v>
      </c>
      <c r="AB658" t="s">
        <v>841</v>
      </c>
      <c r="AC658" t="s">
        <v>41</v>
      </c>
      <c r="AD658" t="s">
        <v>41</v>
      </c>
      <c r="AE658" t="s">
        <v>41</v>
      </c>
      <c r="AF658" t="s">
        <v>41</v>
      </c>
      <c r="AK658"/>
    </row>
    <row r="659" spans="1:38" x14ac:dyDescent="0.25">
      <c r="A659" t="s">
        <v>39</v>
      </c>
      <c r="B659">
        <v>45960.325416666667</v>
      </c>
      <c r="C659">
        <v>90698</v>
      </c>
      <c r="D659" t="s">
        <v>560</v>
      </c>
      <c r="E659">
        <v>4502060</v>
      </c>
      <c r="F659">
        <v>2105798</v>
      </c>
      <c r="G659" t="s">
        <v>1069</v>
      </c>
      <c r="H659" t="s">
        <v>951</v>
      </c>
      <c r="I659">
        <v>10</v>
      </c>
      <c r="J659" t="b">
        <v>1</v>
      </c>
      <c r="K659">
        <v>3.4722222222222224E-2</v>
      </c>
      <c r="L659">
        <v>2107049</v>
      </c>
      <c r="M659" t="s">
        <v>1070</v>
      </c>
      <c r="N659">
        <v>288</v>
      </c>
      <c r="O659">
        <v>182</v>
      </c>
      <c r="P659"/>
      <c r="Q659">
        <v>134976</v>
      </c>
      <c r="R659">
        <v>1</v>
      </c>
      <c r="S659" t="s">
        <v>40</v>
      </c>
      <c r="T659">
        <v>261</v>
      </c>
      <c r="W659"/>
      <c r="Y659" t="s">
        <v>377</v>
      </c>
      <c r="Z659" t="s">
        <v>378</v>
      </c>
      <c r="AA659" t="s">
        <v>379</v>
      </c>
      <c r="AB659" t="s">
        <v>1100</v>
      </c>
      <c r="AC659" t="s">
        <v>41</v>
      </c>
      <c r="AD659" t="s">
        <v>41</v>
      </c>
      <c r="AE659" t="s">
        <v>41</v>
      </c>
      <c r="AF659" t="s">
        <v>41</v>
      </c>
      <c r="AK659"/>
    </row>
    <row r="660" spans="1:38" x14ac:dyDescent="0.25">
      <c r="A660" t="s">
        <v>47</v>
      </c>
      <c r="B660">
        <v>45960.459398148145</v>
      </c>
      <c r="C660">
        <v>92457</v>
      </c>
      <c r="D660" t="s">
        <v>560</v>
      </c>
      <c r="E660">
        <v>4498709</v>
      </c>
      <c r="F660">
        <v>2310463</v>
      </c>
      <c r="G660" t="s">
        <v>1095</v>
      </c>
      <c r="H660" t="s">
        <v>924</v>
      </c>
      <c r="I660">
        <v>2.5</v>
      </c>
      <c r="J660" t="b">
        <v>1</v>
      </c>
      <c r="K660">
        <v>6.9444444444444441E-3</v>
      </c>
      <c r="L660">
        <v>2310464</v>
      </c>
      <c r="M660" t="s">
        <v>1090</v>
      </c>
      <c r="N660">
        <v>360</v>
      </c>
      <c r="O660">
        <v>360</v>
      </c>
      <c r="P660"/>
      <c r="Q660">
        <v>134976</v>
      </c>
      <c r="R660">
        <v>1</v>
      </c>
      <c r="S660" t="s">
        <v>40</v>
      </c>
      <c r="T660">
        <v>261</v>
      </c>
      <c r="W660"/>
      <c r="Y660" t="s">
        <v>377</v>
      </c>
      <c r="Z660" t="s">
        <v>378</v>
      </c>
      <c r="AA660" t="s">
        <v>379</v>
      </c>
      <c r="AB660" t="s">
        <v>725</v>
      </c>
      <c r="AC660" t="s">
        <v>41</v>
      </c>
      <c r="AD660" t="s">
        <v>41</v>
      </c>
      <c r="AE660" t="s">
        <v>41</v>
      </c>
      <c r="AF660" t="s">
        <v>41</v>
      </c>
      <c r="AK660"/>
    </row>
    <row r="661" spans="1:38" x14ac:dyDescent="0.25">
      <c r="A661" t="s">
        <v>44</v>
      </c>
      <c r="B661">
        <v>45960.554444444446</v>
      </c>
      <c r="C661">
        <v>89567</v>
      </c>
      <c r="D661" t="s">
        <v>560</v>
      </c>
      <c r="E661">
        <v>4500048</v>
      </c>
      <c r="F661">
        <v>105454</v>
      </c>
      <c r="G661" t="s">
        <v>783</v>
      </c>
      <c r="H661" t="s">
        <v>994</v>
      </c>
      <c r="I661">
        <v>7.5</v>
      </c>
      <c r="J661" t="b">
        <v>1</v>
      </c>
      <c r="K661">
        <v>0.625</v>
      </c>
      <c r="L661">
        <v>2106228</v>
      </c>
      <c r="M661" t="s">
        <v>784</v>
      </c>
      <c r="N661">
        <v>12</v>
      </c>
      <c r="O661">
        <v>12</v>
      </c>
      <c r="P661"/>
      <c r="Q661">
        <v>134905</v>
      </c>
      <c r="R661">
        <v>2</v>
      </c>
      <c r="S661" t="s">
        <v>40</v>
      </c>
      <c r="T661">
        <v>261</v>
      </c>
      <c r="U661">
        <v>147664</v>
      </c>
      <c r="V661">
        <v>48</v>
      </c>
      <c r="W661" t="s">
        <v>40</v>
      </c>
      <c r="X661">
        <v>261</v>
      </c>
      <c r="Y661" t="s">
        <v>377</v>
      </c>
      <c r="Z661" t="s">
        <v>378</v>
      </c>
      <c r="AA661" t="s">
        <v>379</v>
      </c>
      <c r="AB661" t="s">
        <v>400</v>
      </c>
      <c r="AC661" t="s">
        <v>379</v>
      </c>
      <c r="AD661" t="s">
        <v>384</v>
      </c>
      <c r="AE661" t="s">
        <v>41</v>
      </c>
      <c r="AF661" t="s">
        <v>41</v>
      </c>
      <c r="AK661"/>
    </row>
    <row r="662" spans="1:38" x14ac:dyDescent="0.25">
      <c r="A662" t="s">
        <v>39</v>
      </c>
      <c r="B662">
        <v>45960.894791666666</v>
      </c>
      <c r="C662">
        <v>92460</v>
      </c>
      <c r="D662" t="s">
        <v>843</v>
      </c>
      <c r="E662">
        <v>4498710</v>
      </c>
      <c r="F662">
        <v>2310463</v>
      </c>
      <c r="G662" t="s">
        <v>1095</v>
      </c>
      <c r="H662" t="s">
        <v>926</v>
      </c>
      <c r="I662">
        <v>2.5</v>
      </c>
      <c r="J662" t="b">
        <v>1</v>
      </c>
      <c r="K662">
        <v>6.9444444444444441E-3</v>
      </c>
      <c r="L662">
        <v>2310464</v>
      </c>
      <c r="M662" t="s">
        <v>1090</v>
      </c>
      <c r="N662">
        <v>360</v>
      </c>
      <c r="O662">
        <v>360</v>
      </c>
      <c r="P662"/>
      <c r="Q662">
        <v>134974</v>
      </c>
      <c r="R662">
        <v>1</v>
      </c>
      <c r="S662" t="s">
        <v>40</v>
      </c>
      <c r="T662">
        <v>261</v>
      </c>
      <c r="W662"/>
      <c r="Y662" t="s">
        <v>377</v>
      </c>
      <c r="Z662" t="s">
        <v>378</v>
      </c>
      <c r="AA662" t="s">
        <v>379</v>
      </c>
      <c r="AB662" t="s">
        <v>725</v>
      </c>
      <c r="AC662" t="s">
        <v>41</v>
      </c>
      <c r="AD662" t="s">
        <v>41</v>
      </c>
      <c r="AE662" t="s">
        <v>41</v>
      </c>
      <c r="AF662" t="s">
        <v>41</v>
      </c>
      <c r="AK662"/>
    </row>
    <row r="663" spans="1:38" x14ac:dyDescent="0.25">
      <c r="A663" t="s">
        <v>43</v>
      </c>
      <c r="B663">
        <v>45961.132986111108</v>
      </c>
      <c r="C663">
        <v>91786</v>
      </c>
      <c r="D663" t="s">
        <v>843</v>
      </c>
      <c r="E663">
        <v>4499001</v>
      </c>
      <c r="F663">
        <v>110321</v>
      </c>
      <c r="G663" t="s">
        <v>1101</v>
      </c>
      <c r="H663" t="s">
        <v>930</v>
      </c>
      <c r="I663">
        <v>4.5</v>
      </c>
      <c r="J663" t="b">
        <v>1</v>
      </c>
      <c r="K663">
        <v>0.10227272727272728</v>
      </c>
      <c r="L663">
        <v>110322</v>
      </c>
      <c r="M663"/>
      <c r="N663">
        <v>44</v>
      </c>
      <c r="O663">
        <v>44</v>
      </c>
      <c r="P663" t="s">
        <v>748</v>
      </c>
      <c r="Q663">
        <v>0</v>
      </c>
      <c r="R663">
        <v>0</v>
      </c>
      <c r="S663" t="s">
        <v>40</v>
      </c>
      <c r="T663">
        <v>261</v>
      </c>
      <c r="W663"/>
      <c r="Y663" t="s">
        <v>377</v>
      </c>
      <c r="Z663" t="s">
        <v>378</v>
      </c>
      <c r="AA663" t="s">
        <v>379</v>
      </c>
      <c r="AB663" t="s">
        <v>1102</v>
      </c>
      <c r="AC663" t="s">
        <v>41</v>
      </c>
      <c r="AD663" t="s">
        <v>41</v>
      </c>
      <c r="AE663" t="s">
        <v>41</v>
      </c>
      <c r="AF663" t="s">
        <v>41</v>
      </c>
      <c r="AK663"/>
    </row>
    <row r="664" spans="1:38" x14ac:dyDescent="0.25">
      <c r="A664" t="s">
        <v>47</v>
      </c>
      <c r="B664">
        <v>45961.198819444442</v>
      </c>
      <c r="C664">
        <v>90699</v>
      </c>
      <c r="D664" t="s">
        <v>843</v>
      </c>
      <c r="E664">
        <v>4501081</v>
      </c>
      <c r="F664">
        <v>2105802</v>
      </c>
      <c r="G664" t="s">
        <v>1103</v>
      </c>
      <c r="H664" t="s">
        <v>930</v>
      </c>
      <c r="I664">
        <v>10</v>
      </c>
      <c r="J664" t="b">
        <v>1</v>
      </c>
      <c r="K664">
        <v>7.1428571428571425E-2</v>
      </c>
      <c r="L664">
        <v>2107053</v>
      </c>
      <c r="M664" t="s">
        <v>1104</v>
      </c>
      <c r="N664">
        <v>140</v>
      </c>
      <c r="O664">
        <v>220</v>
      </c>
      <c r="P664"/>
      <c r="Q664">
        <v>134976</v>
      </c>
      <c r="R664">
        <v>1</v>
      </c>
      <c r="S664" t="s">
        <v>40</v>
      </c>
      <c r="T664">
        <v>261</v>
      </c>
      <c r="W664"/>
      <c r="Y664" t="s">
        <v>49</v>
      </c>
      <c r="Z664" t="s">
        <v>378</v>
      </c>
      <c r="AA664" t="s">
        <v>379</v>
      </c>
      <c r="AB664" t="s">
        <v>1105</v>
      </c>
      <c r="AC664" t="s">
        <v>41</v>
      </c>
      <c r="AD664" t="s">
        <v>41</v>
      </c>
      <c r="AE664" t="s">
        <v>41</v>
      </c>
      <c r="AF664" t="s">
        <v>41</v>
      </c>
      <c r="AK664"/>
    </row>
    <row r="665" spans="1:38" x14ac:dyDescent="0.25">
      <c r="A665" t="s">
        <v>42</v>
      </c>
      <c r="B665">
        <v>45961.329398148147</v>
      </c>
      <c r="C665">
        <v>91173</v>
      </c>
      <c r="D665" t="s">
        <v>889</v>
      </c>
      <c r="E665">
        <v>4501759</v>
      </c>
      <c r="F665">
        <v>156316</v>
      </c>
      <c r="G665" t="s">
        <v>899</v>
      </c>
      <c r="H665" t="s">
        <v>1049</v>
      </c>
      <c r="I665">
        <v>7</v>
      </c>
      <c r="J665" t="b">
        <v>1</v>
      </c>
      <c r="K665">
        <v>1.75</v>
      </c>
      <c r="L665">
        <v>156315</v>
      </c>
      <c r="M665" t="s">
        <v>901</v>
      </c>
      <c r="N665">
        <v>4</v>
      </c>
      <c r="O665">
        <v>4</v>
      </c>
      <c r="P665"/>
      <c r="Q665">
        <v>134906</v>
      </c>
      <c r="R665">
        <v>1</v>
      </c>
      <c r="S665" t="s">
        <v>40</v>
      </c>
      <c r="T665">
        <v>261</v>
      </c>
      <c r="U665">
        <v>147664</v>
      </c>
      <c r="V665">
        <v>24</v>
      </c>
      <c r="W665" t="s">
        <v>40</v>
      </c>
      <c r="X665">
        <v>261</v>
      </c>
      <c r="Y665" t="s">
        <v>377</v>
      </c>
      <c r="Z665" t="s">
        <v>378</v>
      </c>
      <c r="AA665" t="s">
        <v>379</v>
      </c>
      <c r="AB665" t="s">
        <v>384</v>
      </c>
      <c r="AC665" t="s">
        <v>41</v>
      </c>
      <c r="AD665" t="s">
        <v>41</v>
      </c>
      <c r="AE665" t="s">
        <v>41</v>
      </c>
      <c r="AF665" t="s">
        <v>41</v>
      </c>
      <c r="AK665"/>
    </row>
    <row r="666" spans="1:38" x14ac:dyDescent="0.25">
      <c r="A666" t="s">
        <v>42</v>
      </c>
      <c r="B666">
        <v>45961.330578703702</v>
      </c>
      <c r="C666">
        <v>91173</v>
      </c>
      <c r="D666" t="s">
        <v>889</v>
      </c>
      <c r="E666">
        <v>4501758</v>
      </c>
      <c r="F666">
        <v>156316</v>
      </c>
      <c r="G666" t="s">
        <v>899</v>
      </c>
      <c r="H666" t="s">
        <v>1049</v>
      </c>
      <c r="I666">
        <v>7</v>
      </c>
      <c r="J666" t="b">
        <v>1</v>
      </c>
      <c r="K666">
        <v>1.75</v>
      </c>
      <c r="L666">
        <v>156315</v>
      </c>
      <c r="M666" t="s">
        <v>901</v>
      </c>
      <c r="N666">
        <v>4</v>
      </c>
      <c r="O666">
        <v>4</v>
      </c>
      <c r="P666"/>
      <c r="Q666">
        <v>134906</v>
      </c>
      <c r="R666">
        <v>1</v>
      </c>
      <c r="S666" t="s">
        <v>40</v>
      </c>
      <c r="T666">
        <v>261</v>
      </c>
      <c r="U666">
        <v>147664</v>
      </c>
      <c r="V666">
        <v>24</v>
      </c>
      <c r="W666" t="s">
        <v>40</v>
      </c>
      <c r="X666">
        <v>261</v>
      </c>
      <c r="Y666" t="s">
        <v>377</v>
      </c>
      <c r="Z666" t="s">
        <v>378</v>
      </c>
      <c r="AA666" t="s">
        <v>379</v>
      </c>
      <c r="AB666" t="s">
        <v>384</v>
      </c>
      <c r="AC666" t="s">
        <v>41</v>
      </c>
      <c r="AD666" t="s">
        <v>41</v>
      </c>
      <c r="AE666" t="s">
        <v>41</v>
      </c>
      <c r="AF666" t="s">
        <v>41</v>
      </c>
      <c r="AK666"/>
    </row>
    <row r="667" spans="1:38" x14ac:dyDescent="0.25">
      <c r="A667" t="s">
        <v>44</v>
      </c>
      <c r="B667">
        <v>45961.391215277778</v>
      </c>
      <c r="C667">
        <v>91942</v>
      </c>
      <c r="D667" t="s">
        <v>889</v>
      </c>
      <c r="E667">
        <v>4501845</v>
      </c>
      <c r="F667">
        <v>2104879</v>
      </c>
      <c r="G667" t="s">
        <v>556</v>
      </c>
      <c r="H667" t="s">
        <v>1106</v>
      </c>
      <c r="I667">
        <v>5</v>
      </c>
      <c r="J667" t="b">
        <v>1</v>
      </c>
      <c r="K667">
        <v>1.25</v>
      </c>
      <c r="L667">
        <v>2106199</v>
      </c>
      <c r="M667" t="s">
        <v>558</v>
      </c>
      <c r="N667">
        <v>4</v>
      </c>
      <c r="O667">
        <v>4</v>
      </c>
      <c r="P667"/>
      <c r="Q667">
        <v>134907</v>
      </c>
      <c r="R667">
        <v>1</v>
      </c>
      <c r="S667" t="s">
        <v>40</v>
      </c>
      <c r="T667">
        <v>261</v>
      </c>
      <c r="U667">
        <v>147664</v>
      </c>
      <c r="V667">
        <v>24</v>
      </c>
      <c r="W667" t="s">
        <v>40</v>
      </c>
      <c r="X667">
        <v>261</v>
      </c>
      <c r="Y667" t="s">
        <v>377</v>
      </c>
      <c r="Z667" t="s">
        <v>378</v>
      </c>
      <c r="AA667" t="s">
        <v>379</v>
      </c>
      <c r="AB667" t="s">
        <v>384</v>
      </c>
      <c r="AC667" t="s">
        <v>41</v>
      </c>
      <c r="AD667" t="s">
        <v>41</v>
      </c>
      <c r="AE667" t="s">
        <v>41</v>
      </c>
      <c r="AF667" t="s">
        <v>41</v>
      </c>
      <c r="AK667"/>
    </row>
    <row r="668" spans="1:38" x14ac:dyDescent="0.25">
      <c r="A668" t="s">
        <v>44</v>
      </c>
      <c r="B668">
        <v>45961.398032407407</v>
      </c>
      <c r="C668">
        <v>91942</v>
      </c>
      <c r="D668" t="s">
        <v>889</v>
      </c>
      <c r="E668">
        <v>4501846</v>
      </c>
      <c r="F668">
        <v>2104879</v>
      </c>
      <c r="G668" t="s">
        <v>556</v>
      </c>
      <c r="H668" t="s">
        <v>1106</v>
      </c>
      <c r="I668">
        <v>5</v>
      </c>
      <c r="J668" t="b">
        <v>1</v>
      </c>
      <c r="K668">
        <v>1</v>
      </c>
      <c r="L668">
        <v>2106199</v>
      </c>
      <c r="M668" t="s">
        <v>558</v>
      </c>
      <c r="N668">
        <v>5</v>
      </c>
      <c r="O668">
        <v>5</v>
      </c>
      <c r="P668"/>
      <c r="Q668">
        <v>134907</v>
      </c>
      <c r="R668">
        <v>1</v>
      </c>
      <c r="S668" t="s">
        <v>40</v>
      </c>
      <c r="T668">
        <v>261</v>
      </c>
      <c r="U668">
        <v>147664</v>
      </c>
      <c r="V668">
        <v>24</v>
      </c>
      <c r="W668" t="s">
        <v>40</v>
      </c>
      <c r="X668">
        <v>261</v>
      </c>
      <c r="Y668" t="s">
        <v>377</v>
      </c>
      <c r="Z668" t="s">
        <v>378</v>
      </c>
      <c r="AA668" t="s">
        <v>379</v>
      </c>
      <c r="AB668" t="s">
        <v>559</v>
      </c>
      <c r="AC668" t="s">
        <v>41</v>
      </c>
      <c r="AD668" t="s">
        <v>41</v>
      </c>
      <c r="AE668" t="s">
        <v>41</v>
      </c>
      <c r="AF668" t="s">
        <v>41</v>
      </c>
      <c r="AK668"/>
    </row>
    <row r="669" spans="1:38" x14ac:dyDescent="0.25">
      <c r="A669" t="s">
        <v>39</v>
      </c>
      <c r="B669">
        <v>45961.493703703702</v>
      </c>
      <c r="C669">
        <v>89568</v>
      </c>
      <c r="D669" t="s">
        <v>889</v>
      </c>
      <c r="E669">
        <v>4501000</v>
      </c>
      <c r="F669">
        <v>150819</v>
      </c>
      <c r="G669" t="s">
        <v>458</v>
      </c>
      <c r="H669" t="s">
        <v>955</v>
      </c>
      <c r="I669">
        <v>10</v>
      </c>
      <c r="J669" t="b">
        <v>1</v>
      </c>
      <c r="K669">
        <v>0.83333333333333337</v>
      </c>
      <c r="L669">
        <v>150820</v>
      </c>
      <c r="M669" t="s">
        <v>454</v>
      </c>
      <c r="N669">
        <v>12</v>
      </c>
      <c r="O669">
        <v>12</v>
      </c>
      <c r="P669"/>
      <c r="Q669">
        <v>134907</v>
      </c>
      <c r="R669">
        <v>1</v>
      </c>
      <c r="S669" t="s">
        <v>40</v>
      </c>
      <c r="T669">
        <v>261</v>
      </c>
      <c r="U669">
        <v>147664</v>
      </c>
      <c r="V669">
        <v>48</v>
      </c>
      <c r="W669" t="s">
        <v>40</v>
      </c>
      <c r="X669">
        <v>261</v>
      </c>
      <c r="Y669" t="s">
        <v>377</v>
      </c>
      <c r="Z669" t="s">
        <v>378</v>
      </c>
      <c r="AA669" t="s">
        <v>379</v>
      </c>
      <c r="AB669" t="s">
        <v>400</v>
      </c>
      <c r="AC669" t="s">
        <v>379</v>
      </c>
      <c r="AD669" t="s">
        <v>384</v>
      </c>
      <c r="AE669" t="s">
        <v>41</v>
      </c>
      <c r="AF669" t="s">
        <v>41</v>
      </c>
      <c r="AI669">
        <v>134907</v>
      </c>
      <c r="AJ669">
        <v>1</v>
      </c>
      <c r="AK669" t="s">
        <v>40</v>
      </c>
      <c r="AL669">
        <v>261</v>
      </c>
    </row>
    <row r="670" spans="1:38" x14ac:dyDescent="0.25">
      <c r="A670" t="s">
        <v>42</v>
      </c>
      <c r="B670">
        <v>45961.594131944446</v>
      </c>
      <c r="C670">
        <v>92461</v>
      </c>
      <c r="D670" t="s">
        <v>889</v>
      </c>
      <c r="E670">
        <v>4498711</v>
      </c>
      <c r="F670">
        <v>2310463</v>
      </c>
      <c r="G670" t="s">
        <v>1095</v>
      </c>
      <c r="H670" t="s">
        <v>1004</v>
      </c>
      <c r="I670">
        <v>2.5</v>
      </c>
      <c r="J670" t="b">
        <v>1</v>
      </c>
      <c r="K670">
        <v>6.8870523415977963E-3</v>
      </c>
      <c r="L670">
        <v>2310464</v>
      </c>
      <c r="M670" t="s">
        <v>1090</v>
      </c>
      <c r="N670">
        <v>363</v>
      </c>
      <c r="O670">
        <v>353</v>
      </c>
      <c r="P670"/>
      <c r="Q670">
        <v>134976</v>
      </c>
      <c r="R670">
        <v>1</v>
      </c>
      <c r="S670" t="s">
        <v>40</v>
      </c>
      <c r="T670">
        <v>261</v>
      </c>
      <c r="V670">
        <v>0</v>
      </c>
      <c r="W670"/>
      <c r="Y670" t="s">
        <v>377</v>
      </c>
      <c r="Z670" t="s">
        <v>378</v>
      </c>
      <c r="AA670" t="s">
        <v>379</v>
      </c>
      <c r="AB670" t="s">
        <v>892</v>
      </c>
      <c r="AC670" t="s">
        <v>379</v>
      </c>
      <c r="AD670" t="s">
        <v>653</v>
      </c>
      <c r="AE670" t="s">
        <v>41</v>
      </c>
      <c r="AF670" t="s">
        <v>41</v>
      </c>
      <c r="AI670">
        <v>134976</v>
      </c>
      <c r="AJ670">
        <v>1</v>
      </c>
      <c r="AK670" t="s">
        <v>40</v>
      </c>
      <c r="AL670">
        <v>261</v>
      </c>
    </row>
    <row r="671" spans="1:38" x14ac:dyDescent="0.25">
      <c r="A671" t="s">
        <v>38</v>
      </c>
      <c r="B671">
        <v>45961.932071759256</v>
      </c>
      <c r="C671">
        <v>91944</v>
      </c>
      <c r="D671" t="s">
        <v>531</v>
      </c>
      <c r="E671">
        <v>4501848</v>
      </c>
      <c r="F671">
        <v>2104879</v>
      </c>
      <c r="G671" t="s">
        <v>556</v>
      </c>
      <c r="H671" t="s">
        <v>1107</v>
      </c>
      <c r="I671">
        <v>10</v>
      </c>
      <c r="J671" t="b">
        <v>1</v>
      </c>
      <c r="K671">
        <v>2</v>
      </c>
      <c r="L671">
        <v>2106199</v>
      </c>
      <c r="M671" t="s">
        <v>558</v>
      </c>
      <c r="N671">
        <v>5</v>
      </c>
      <c r="O671">
        <v>9</v>
      </c>
      <c r="P671"/>
      <c r="Q671">
        <v>134971</v>
      </c>
      <c r="R671">
        <v>1</v>
      </c>
      <c r="S671" t="s">
        <v>40</v>
      </c>
      <c r="T671">
        <v>261</v>
      </c>
      <c r="U671">
        <v>147664</v>
      </c>
      <c r="V671">
        <v>24</v>
      </c>
      <c r="W671" t="s">
        <v>40</v>
      </c>
      <c r="X671">
        <v>261</v>
      </c>
      <c r="Y671" t="s">
        <v>377</v>
      </c>
      <c r="Z671" t="s">
        <v>378</v>
      </c>
      <c r="AA671" t="s">
        <v>379</v>
      </c>
      <c r="AB671" t="s">
        <v>559</v>
      </c>
      <c r="AC671" t="s">
        <v>41</v>
      </c>
      <c r="AD671" t="s">
        <v>41</v>
      </c>
      <c r="AE671" t="s">
        <v>41</v>
      </c>
      <c r="AF671" t="s">
        <v>41</v>
      </c>
      <c r="AK671"/>
    </row>
    <row r="672" spans="1:38" x14ac:dyDescent="0.25">
      <c r="A672" t="s">
        <v>38</v>
      </c>
      <c r="B672">
        <v>45961.934884259259</v>
      </c>
      <c r="C672">
        <v>91944</v>
      </c>
      <c r="D672" t="s">
        <v>531</v>
      </c>
      <c r="E672">
        <v>4501848</v>
      </c>
      <c r="F672">
        <v>2104879</v>
      </c>
      <c r="G672" t="s">
        <v>556</v>
      </c>
      <c r="H672" t="s">
        <v>1107</v>
      </c>
      <c r="I672">
        <v>10</v>
      </c>
      <c r="J672" t="b">
        <v>1</v>
      </c>
      <c r="K672">
        <v>2</v>
      </c>
      <c r="L672">
        <v>2106199</v>
      </c>
      <c r="M672" t="s">
        <v>558</v>
      </c>
      <c r="N672">
        <v>5</v>
      </c>
      <c r="O672">
        <v>5</v>
      </c>
      <c r="P672"/>
      <c r="Q672">
        <v>134971</v>
      </c>
      <c r="R672">
        <v>1</v>
      </c>
      <c r="S672" t="s">
        <v>40</v>
      </c>
      <c r="T672">
        <v>261</v>
      </c>
      <c r="U672">
        <v>147664</v>
      </c>
      <c r="V672">
        <v>24</v>
      </c>
      <c r="W672" t="s">
        <v>40</v>
      </c>
      <c r="X672">
        <v>261</v>
      </c>
      <c r="Y672" t="s">
        <v>377</v>
      </c>
      <c r="Z672" t="s">
        <v>378</v>
      </c>
      <c r="AA672" t="s">
        <v>379</v>
      </c>
      <c r="AB672" t="s">
        <v>559</v>
      </c>
      <c r="AC672" t="s">
        <v>41</v>
      </c>
      <c r="AD672" t="s">
        <v>41</v>
      </c>
      <c r="AE672" t="s">
        <v>41</v>
      </c>
      <c r="AF672" t="s">
        <v>41</v>
      </c>
      <c r="AK672"/>
    </row>
    <row r="673" spans="1:37" x14ac:dyDescent="0.25">
      <c r="A673" t="s">
        <v>38</v>
      </c>
      <c r="B673">
        <v>45961.935937499999</v>
      </c>
      <c r="C673">
        <v>91944</v>
      </c>
      <c r="D673" t="s">
        <v>531</v>
      </c>
      <c r="E673">
        <v>4501847</v>
      </c>
      <c r="F673">
        <v>2104879</v>
      </c>
      <c r="G673" t="s">
        <v>556</v>
      </c>
      <c r="H673" t="s">
        <v>1107</v>
      </c>
      <c r="I673">
        <v>10</v>
      </c>
      <c r="J673" t="b">
        <v>1</v>
      </c>
      <c r="K673">
        <v>2.5</v>
      </c>
      <c r="L673">
        <v>2106199</v>
      </c>
      <c r="M673" t="s">
        <v>558</v>
      </c>
      <c r="N673">
        <v>4</v>
      </c>
      <c r="O673">
        <v>4</v>
      </c>
      <c r="P673"/>
      <c r="Q673">
        <v>134971</v>
      </c>
      <c r="R673">
        <v>1</v>
      </c>
      <c r="S673" t="s">
        <v>40</v>
      </c>
      <c r="T673">
        <v>261</v>
      </c>
      <c r="U673">
        <v>147664</v>
      </c>
      <c r="V673">
        <v>24</v>
      </c>
      <c r="W673" t="s">
        <v>40</v>
      </c>
      <c r="X673">
        <v>261</v>
      </c>
      <c r="Y673" t="s">
        <v>377</v>
      </c>
      <c r="Z673" t="s">
        <v>378</v>
      </c>
      <c r="AA673" t="s">
        <v>379</v>
      </c>
      <c r="AB673" t="s">
        <v>384</v>
      </c>
      <c r="AC673" t="s">
        <v>41</v>
      </c>
      <c r="AD673" t="s">
        <v>41</v>
      </c>
      <c r="AE673" t="s">
        <v>41</v>
      </c>
      <c r="AF673" t="s">
        <v>41</v>
      </c>
      <c r="AK673"/>
    </row>
    <row r="674" spans="1:37" x14ac:dyDescent="0.25">
      <c r="A674" t="s">
        <v>43</v>
      </c>
      <c r="B674">
        <v>45962.098946759259</v>
      </c>
      <c r="C674">
        <v>90701</v>
      </c>
      <c r="D674" t="s">
        <v>531</v>
      </c>
      <c r="E674">
        <v>4501081</v>
      </c>
      <c r="F674">
        <v>2105802</v>
      </c>
      <c r="G674" t="s">
        <v>1103</v>
      </c>
      <c r="H674" t="s">
        <v>930</v>
      </c>
      <c r="I674">
        <v>10</v>
      </c>
      <c r="J674" t="b">
        <v>1</v>
      </c>
      <c r="K674">
        <v>5.6497175141242938E-2</v>
      </c>
      <c r="L674">
        <v>2107053</v>
      </c>
      <c r="M674" t="s">
        <v>1104</v>
      </c>
      <c r="N674">
        <v>177</v>
      </c>
      <c r="O674">
        <v>88</v>
      </c>
      <c r="P674"/>
      <c r="Q674">
        <v>134976</v>
      </c>
      <c r="R674">
        <v>1</v>
      </c>
      <c r="S674" t="s">
        <v>40</v>
      </c>
      <c r="T674">
        <v>261</v>
      </c>
      <c r="W674"/>
      <c r="Y674" t="s">
        <v>49</v>
      </c>
      <c r="Z674" t="s">
        <v>378</v>
      </c>
      <c r="AA674" t="s">
        <v>379</v>
      </c>
      <c r="AB674" t="s">
        <v>653</v>
      </c>
      <c r="AC674" t="s">
        <v>41</v>
      </c>
      <c r="AD674" t="s">
        <v>41</v>
      </c>
      <c r="AE674" t="s">
        <v>41</v>
      </c>
      <c r="AF674" t="s">
        <v>41</v>
      </c>
      <c r="AK674"/>
    </row>
    <row r="675" spans="1:37" x14ac:dyDescent="0.25">
      <c r="A675" t="s">
        <v>37</v>
      </c>
      <c r="B675">
        <v>45962.100659722222</v>
      </c>
      <c r="C675">
        <v>92540</v>
      </c>
      <c r="D675" t="s">
        <v>531</v>
      </c>
      <c r="E675">
        <v>4500636</v>
      </c>
      <c r="F675">
        <v>133168</v>
      </c>
      <c r="G675" t="s">
        <v>863</v>
      </c>
      <c r="H675" t="s">
        <v>1039</v>
      </c>
      <c r="I675">
        <v>64.3</v>
      </c>
      <c r="J675" t="b">
        <v>1</v>
      </c>
      <c r="K675">
        <v>0.74767441860465111</v>
      </c>
      <c r="L675">
        <v>144374</v>
      </c>
      <c r="M675" t="s">
        <v>865</v>
      </c>
      <c r="N675">
        <v>86</v>
      </c>
      <c r="O675">
        <v>86</v>
      </c>
      <c r="P675"/>
      <c r="Q675">
        <v>134971</v>
      </c>
      <c r="R675">
        <v>1</v>
      </c>
      <c r="S675" t="s">
        <v>40</v>
      </c>
      <c r="T675">
        <v>261</v>
      </c>
      <c r="U675">
        <v>147664</v>
      </c>
      <c r="V675">
        <v>24</v>
      </c>
      <c r="W675" t="s">
        <v>40</v>
      </c>
      <c r="X675">
        <v>261</v>
      </c>
      <c r="Y675" t="s">
        <v>377</v>
      </c>
      <c r="Z675" t="s">
        <v>378</v>
      </c>
      <c r="AA675" t="s">
        <v>379</v>
      </c>
      <c r="AB675" t="s">
        <v>845</v>
      </c>
      <c r="AC675" t="s">
        <v>41</v>
      </c>
      <c r="AD675" t="s">
        <v>41</v>
      </c>
      <c r="AE675" t="s">
        <v>41</v>
      </c>
      <c r="AF675" t="s">
        <v>41</v>
      </c>
      <c r="AK675"/>
    </row>
    <row r="676" spans="1:37" x14ac:dyDescent="0.25">
      <c r="A676" t="s">
        <v>42</v>
      </c>
      <c r="B676">
        <v>45962.326203703706</v>
      </c>
      <c r="C676">
        <v>89570</v>
      </c>
      <c r="D676" t="s">
        <v>1043</v>
      </c>
      <c r="E676">
        <v>4501001</v>
      </c>
      <c r="F676">
        <v>150819</v>
      </c>
      <c r="G676" t="s">
        <v>458</v>
      </c>
      <c r="H676" t="s">
        <v>900</v>
      </c>
      <c r="I676">
        <v>10</v>
      </c>
      <c r="J676" t="b">
        <v>1</v>
      </c>
      <c r="K676">
        <v>0.83333333333333337</v>
      </c>
      <c r="L676">
        <v>150820</v>
      </c>
      <c r="M676" t="s">
        <v>454</v>
      </c>
      <c r="N676">
        <v>12</v>
      </c>
      <c r="O676">
        <v>12</v>
      </c>
      <c r="P676"/>
      <c r="Q676">
        <v>134907</v>
      </c>
      <c r="R676">
        <v>2</v>
      </c>
      <c r="S676" t="s">
        <v>40</v>
      </c>
      <c r="T676">
        <v>261</v>
      </c>
      <c r="U676">
        <v>147664</v>
      </c>
      <c r="V676">
        <v>48</v>
      </c>
      <c r="W676" t="s">
        <v>40</v>
      </c>
      <c r="X676">
        <v>261</v>
      </c>
      <c r="Y676" t="s">
        <v>377</v>
      </c>
      <c r="Z676" t="s">
        <v>378</v>
      </c>
      <c r="AA676" t="s">
        <v>379</v>
      </c>
      <c r="AB676" t="s">
        <v>400</v>
      </c>
      <c r="AC676" t="s">
        <v>379</v>
      </c>
      <c r="AD676" t="s">
        <v>384</v>
      </c>
      <c r="AE676" t="s">
        <v>41</v>
      </c>
      <c r="AF676" t="s">
        <v>41</v>
      </c>
      <c r="AK676"/>
    </row>
    <row r="677" spans="1:37" x14ac:dyDescent="0.25">
      <c r="A677" t="s">
        <v>37</v>
      </c>
      <c r="B677">
        <v>45962.496712962966</v>
      </c>
      <c r="C677">
        <v>92462</v>
      </c>
      <c r="D677" t="s">
        <v>1043</v>
      </c>
      <c r="E677">
        <v>4498712</v>
      </c>
      <c r="F677">
        <v>2310463</v>
      </c>
      <c r="G677" t="s">
        <v>1095</v>
      </c>
      <c r="H677" t="s">
        <v>1084</v>
      </c>
      <c r="I677">
        <v>2.5</v>
      </c>
      <c r="J677" t="b">
        <v>0</v>
      </c>
      <c r="K677">
        <v>6.648936170212766E-3</v>
      </c>
      <c r="L677">
        <v>2310464</v>
      </c>
      <c r="M677" t="s">
        <v>1090</v>
      </c>
      <c r="N677">
        <v>376</v>
      </c>
      <c r="O677">
        <v>360</v>
      </c>
      <c r="P677"/>
      <c r="Q677">
        <v>134976</v>
      </c>
      <c r="R677">
        <v>2</v>
      </c>
      <c r="S677" t="s">
        <v>40</v>
      </c>
      <c r="T677">
        <v>261</v>
      </c>
      <c r="W677"/>
      <c r="Y677" t="s">
        <v>377</v>
      </c>
      <c r="Z677" t="s">
        <v>378</v>
      </c>
      <c r="AA677" t="s">
        <v>379</v>
      </c>
      <c r="AB677" t="s">
        <v>1097</v>
      </c>
      <c r="AC677" t="s">
        <v>379</v>
      </c>
      <c r="AD677" t="s">
        <v>892</v>
      </c>
      <c r="AE677" t="s">
        <v>41</v>
      </c>
      <c r="AF677" t="s">
        <v>41</v>
      </c>
      <c r="AK677"/>
    </row>
    <row r="678" spans="1:37" x14ac:dyDescent="0.25">
      <c r="A678" t="s">
        <v>43</v>
      </c>
      <c r="B678">
        <v>45962.8828125</v>
      </c>
      <c r="C678">
        <v>91175</v>
      </c>
      <c r="D678" t="s">
        <v>1025</v>
      </c>
      <c r="E678">
        <v>4501760</v>
      </c>
      <c r="F678">
        <v>156316</v>
      </c>
      <c r="G678" t="s">
        <v>899</v>
      </c>
      <c r="H678" t="s">
        <v>1072</v>
      </c>
      <c r="I678">
        <v>14</v>
      </c>
      <c r="J678" t="b">
        <v>1</v>
      </c>
      <c r="K678">
        <v>3.5</v>
      </c>
      <c r="L678">
        <v>156315</v>
      </c>
      <c r="M678" t="s">
        <v>901</v>
      </c>
      <c r="N678">
        <v>4</v>
      </c>
      <c r="O678">
        <v>4</v>
      </c>
      <c r="P678"/>
      <c r="Q678">
        <v>134905</v>
      </c>
      <c r="R678">
        <v>2</v>
      </c>
      <c r="S678" t="s">
        <v>40</v>
      </c>
      <c r="T678">
        <v>261</v>
      </c>
      <c r="U678">
        <v>147664</v>
      </c>
      <c r="V678">
        <v>48</v>
      </c>
      <c r="W678" t="s">
        <v>40</v>
      </c>
      <c r="X678">
        <v>261</v>
      </c>
      <c r="Y678" t="s">
        <v>377</v>
      </c>
      <c r="Z678" t="s">
        <v>378</v>
      </c>
      <c r="AA678" t="s">
        <v>384</v>
      </c>
      <c r="AB678" t="s">
        <v>384</v>
      </c>
      <c r="AC678" t="s">
        <v>41</v>
      </c>
      <c r="AD678" t="s">
        <v>41</v>
      </c>
      <c r="AE678" t="s">
        <v>41</v>
      </c>
      <c r="AF678" t="s">
        <v>41</v>
      </c>
      <c r="AK678"/>
    </row>
    <row r="679" spans="1:37" x14ac:dyDescent="0.25">
      <c r="A679" t="s">
        <v>43</v>
      </c>
      <c r="B679">
        <v>45962.884421296294</v>
      </c>
      <c r="C679">
        <v>91175</v>
      </c>
      <c r="D679" t="s">
        <v>1025</v>
      </c>
      <c r="E679">
        <v>4501761</v>
      </c>
      <c r="F679">
        <v>156316</v>
      </c>
      <c r="G679" t="s">
        <v>899</v>
      </c>
      <c r="H679" t="s">
        <v>1072</v>
      </c>
      <c r="I679">
        <v>0</v>
      </c>
      <c r="J679" t="b">
        <v>1</v>
      </c>
      <c r="K679">
        <v>0</v>
      </c>
      <c r="L679">
        <v>156315</v>
      </c>
      <c r="M679" t="s">
        <v>901</v>
      </c>
      <c r="N679">
        <v>4</v>
      </c>
      <c r="O679">
        <v>4</v>
      </c>
      <c r="P679"/>
      <c r="Q679">
        <v>0</v>
      </c>
      <c r="R679">
        <v>0</v>
      </c>
      <c r="S679" t="s">
        <v>40</v>
      </c>
      <c r="T679">
        <v>261</v>
      </c>
      <c r="W679"/>
      <c r="Y679" t="s">
        <v>377</v>
      </c>
      <c r="Z679" t="s">
        <v>378</v>
      </c>
      <c r="AA679" t="s">
        <v>379</v>
      </c>
      <c r="AB679" t="s">
        <v>384</v>
      </c>
      <c r="AC679" t="s">
        <v>41</v>
      </c>
      <c r="AD679" t="s">
        <v>41</v>
      </c>
      <c r="AE679" t="s">
        <v>41</v>
      </c>
      <c r="AF679" t="s">
        <v>41</v>
      </c>
      <c r="AK679"/>
    </row>
    <row r="680" spans="1:37" x14ac:dyDescent="0.25">
      <c r="A680" t="s">
        <v>42</v>
      </c>
      <c r="B680">
        <v>45962.907430555555</v>
      </c>
      <c r="C680">
        <v>91945</v>
      </c>
      <c r="D680" t="s">
        <v>1025</v>
      </c>
      <c r="E680">
        <v>4501849</v>
      </c>
      <c r="F680">
        <v>2104879</v>
      </c>
      <c r="G680" t="s">
        <v>556</v>
      </c>
      <c r="H680" t="s">
        <v>1108</v>
      </c>
      <c r="I680">
        <v>5</v>
      </c>
      <c r="J680" t="b">
        <v>1</v>
      </c>
      <c r="K680">
        <v>1.25</v>
      </c>
      <c r="L680">
        <v>2106199</v>
      </c>
      <c r="M680" t="s">
        <v>558</v>
      </c>
      <c r="N680">
        <v>4</v>
      </c>
      <c r="O680">
        <v>4</v>
      </c>
      <c r="P680"/>
      <c r="Q680">
        <v>134907</v>
      </c>
      <c r="R680">
        <v>1</v>
      </c>
      <c r="S680" t="s">
        <v>40</v>
      </c>
      <c r="T680">
        <v>261</v>
      </c>
      <c r="U680">
        <v>147664</v>
      </c>
      <c r="V680">
        <v>24</v>
      </c>
      <c r="W680" t="s">
        <v>40</v>
      </c>
      <c r="X680">
        <v>261</v>
      </c>
      <c r="Y680" t="s">
        <v>377</v>
      </c>
      <c r="Z680" t="s">
        <v>378</v>
      </c>
      <c r="AA680" t="s">
        <v>379</v>
      </c>
      <c r="AB680" t="s">
        <v>384</v>
      </c>
      <c r="AC680" t="s">
        <v>41</v>
      </c>
      <c r="AD680" t="s">
        <v>41</v>
      </c>
      <c r="AE680" t="s">
        <v>41</v>
      </c>
      <c r="AF680" t="s">
        <v>41</v>
      </c>
      <c r="AK680"/>
    </row>
    <row r="681" spans="1:37" x14ac:dyDescent="0.25">
      <c r="A681" t="s">
        <v>42</v>
      </c>
      <c r="B681">
        <v>45962.908182870371</v>
      </c>
      <c r="C681">
        <v>91945</v>
      </c>
      <c r="D681" t="s">
        <v>1025</v>
      </c>
      <c r="E681">
        <v>4501850</v>
      </c>
      <c r="F681">
        <v>2104879</v>
      </c>
      <c r="G681" t="s">
        <v>556</v>
      </c>
      <c r="H681" t="s">
        <v>1108</v>
      </c>
      <c r="I681">
        <v>5</v>
      </c>
      <c r="J681" t="b">
        <v>1</v>
      </c>
      <c r="K681">
        <v>1</v>
      </c>
      <c r="L681">
        <v>2106199</v>
      </c>
      <c r="M681" t="s">
        <v>558</v>
      </c>
      <c r="N681">
        <v>5</v>
      </c>
      <c r="O681">
        <v>5</v>
      </c>
      <c r="P681"/>
      <c r="Q681">
        <v>134907</v>
      </c>
      <c r="R681">
        <v>1</v>
      </c>
      <c r="S681" t="s">
        <v>40</v>
      </c>
      <c r="T681">
        <v>261</v>
      </c>
      <c r="U681">
        <v>147664</v>
      </c>
      <c r="V681">
        <v>24</v>
      </c>
      <c r="W681" t="s">
        <v>40</v>
      </c>
      <c r="X681">
        <v>261</v>
      </c>
      <c r="Y681" t="s">
        <v>377</v>
      </c>
      <c r="Z681" t="s">
        <v>378</v>
      </c>
      <c r="AA681" t="s">
        <v>379</v>
      </c>
      <c r="AB681" t="s">
        <v>559</v>
      </c>
      <c r="AC681" t="s">
        <v>41</v>
      </c>
      <c r="AD681" t="s">
        <v>41</v>
      </c>
      <c r="AE681" t="s">
        <v>41</v>
      </c>
      <c r="AF681" t="s">
        <v>41</v>
      </c>
      <c r="AK681"/>
    </row>
    <row r="682" spans="1:37" x14ac:dyDescent="0.25">
      <c r="A682" t="s">
        <v>38</v>
      </c>
      <c r="B682">
        <v>45963.065439814818</v>
      </c>
      <c r="C682">
        <v>91785</v>
      </c>
      <c r="D682" t="s">
        <v>1025</v>
      </c>
      <c r="E682">
        <v>4413143</v>
      </c>
      <c r="F682">
        <v>2104493</v>
      </c>
      <c r="G682" t="s">
        <v>1109</v>
      </c>
      <c r="H682" t="s">
        <v>930</v>
      </c>
      <c r="I682">
        <v>4.5</v>
      </c>
      <c r="J682" t="b">
        <v>1</v>
      </c>
      <c r="K682">
        <v>0.140625</v>
      </c>
      <c r="L682">
        <v>2105861</v>
      </c>
      <c r="M682" t="s">
        <v>1110</v>
      </c>
      <c r="N682">
        <v>32</v>
      </c>
      <c r="O682">
        <v>32</v>
      </c>
      <c r="P682"/>
      <c r="Q682">
        <v>134974</v>
      </c>
      <c r="R682">
        <v>1</v>
      </c>
      <c r="S682" t="s">
        <v>40</v>
      </c>
      <c r="T682">
        <v>261</v>
      </c>
      <c r="W682"/>
      <c r="Y682" t="s">
        <v>679</v>
      </c>
      <c r="Z682" t="s">
        <v>378</v>
      </c>
      <c r="AA682" t="s">
        <v>379</v>
      </c>
      <c r="AB682" t="s">
        <v>972</v>
      </c>
      <c r="AC682" t="s">
        <v>41</v>
      </c>
      <c r="AD682" t="s">
        <v>41</v>
      </c>
      <c r="AE682" t="s">
        <v>41</v>
      </c>
      <c r="AF682" t="s">
        <v>41</v>
      </c>
      <c r="AK682"/>
    </row>
    <row r="683" spans="1:37" x14ac:dyDescent="0.25">
      <c r="A683" t="s">
        <v>37</v>
      </c>
      <c r="B683">
        <v>45963.044618055559</v>
      </c>
      <c r="C683">
        <v>89571</v>
      </c>
      <c r="D683" t="s">
        <v>1025</v>
      </c>
      <c r="E683">
        <v>4501867</v>
      </c>
      <c r="F683">
        <v>150819</v>
      </c>
      <c r="G683" t="s">
        <v>458</v>
      </c>
      <c r="H683" t="s">
        <v>912</v>
      </c>
      <c r="I683">
        <v>10</v>
      </c>
      <c r="J683" t="b">
        <v>1</v>
      </c>
      <c r="K683">
        <v>0.83333333333333337</v>
      </c>
      <c r="L683">
        <v>150820</v>
      </c>
      <c r="M683" t="s">
        <v>454</v>
      </c>
      <c r="N683">
        <v>12</v>
      </c>
      <c r="O683">
        <v>12</v>
      </c>
      <c r="P683"/>
      <c r="Q683">
        <v>134971</v>
      </c>
      <c r="R683">
        <v>2</v>
      </c>
      <c r="S683" t="s">
        <v>40</v>
      </c>
      <c r="T683">
        <v>261</v>
      </c>
      <c r="U683">
        <v>147664</v>
      </c>
      <c r="V683">
        <v>48</v>
      </c>
      <c r="W683" t="s">
        <v>40</v>
      </c>
      <c r="X683">
        <v>261</v>
      </c>
      <c r="Y683" t="s">
        <v>377</v>
      </c>
      <c r="Z683" t="s">
        <v>378</v>
      </c>
      <c r="AA683" t="s">
        <v>379</v>
      </c>
      <c r="AB683" t="s">
        <v>400</v>
      </c>
      <c r="AC683" t="s">
        <v>379</v>
      </c>
      <c r="AD683" t="s">
        <v>384</v>
      </c>
      <c r="AE683" t="s">
        <v>41</v>
      </c>
      <c r="AF683" t="s">
        <v>41</v>
      </c>
      <c r="AK683"/>
    </row>
    <row r="684" spans="1:37" x14ac:dyDescent="0.25">
      <c r="A684" t="s">
        <v>37</v>
      </c>
      <c r="B684">
        <v>45963.507719907408</v>
      </c>
      <c r="C684">
        <v>92545</v>
      </c>
      <c r="D684" t="s">
        <v>560</v>
      </c>
      <c r="E684">
        <v>4498713</v>
      </c>
      <c r="F684">
        <v>2310463</v>
      </c>
      <c r="G684" t="s">
        <v>1095</v>
      </c>
      <c r="H684" t="s">
        <v>1089</v>
      </c>
      <c r="I684">
        <v>3</v>
      </c>
      <c r="J684" t="b">
        <v>1</v>
      </c>
      <c r="K684">
        <v>8.3333333333333332E-3</v>
      </c>
      <c r="L684">
        <v>2310464</v>
      </c>
      <c r="M684" t="s">
        <v>1090</v>
      </c>
      <c r="N684">
        <v>360</v>
      </c>
      <c r="O684">
        <v>360</v>
      </c>
      <c r="P684"/>
      <c r="Q684">
        <v>134976</v>
      </c>
      <c r="R684">
        <v>1</v>
      </c>
      <c r="S684" t="s">
        <v>40</v>
      </c>
      <c r="T684">
        <v>261</v>
      </c>
      <c r="W684"/>
      <c r="Y684" t="s">
        <v>377</v>
      </c>
      <c r="Z684" t="s">
        <v>378</v>
      </c>
      <c r="AA684" t="s">
        <v>379</v>
      </c>
      <c r="AB684" t="s">
        <v>725</v>
      </c>
      <c r="AC684" t="s">
        <v>41</v>
      </c>
      <c r="AD684" t="s">
        <v>41</v>
      </c>
      <c r="AE684" t="s">
        <v>41</v>
      </c>
      <c r="AF684" t="s">
        <v>41</v>
      </c>
      <c r="AK684"/>
    </row>
    <row r="685" spans="1:37" x14ac:dyDescent="0.25">
      <c r="A685" t="s">
        <v>45</v>
      </c>
      <c r="B685">
        <v>45963.570821759262</v>
      </c>
      <c r="C685">
        <v>92541</v>
      </c>
      <c r="D685" t="s">
        <v>560</v>
      </c>
      <c r="E685">
        <v>4497435</v>
      </c>
      <c r="F685">
        <v>2310135</v>
      </c>
      <c r="G685" t="s">
        <v>1052</v>
      </c>
      <c r="H685" t="s">
        <v>1004</v>
      </c>
      <c r="I685">
        <v>64.3</v>
      </c>
      <c r="J685" t="b">
        <v>1</v>
      </c>
      <c r="K685">
        <v>0.15382775119617223</v>
      </c>
      <c r="L685">
        <v>2310136</v>
      </c>
      <c r="M685" t="s">
        <v>1053</v>
      </c>
      <c r="N685">
        <v>418</v>
      </c>
      <c r="O685">
        <v>418</v>
      </c>
      <c r="P685"/>
      <c r="Q685">
        <v>134974</v>
      </c>
      <c r="R685">
        <v>1</v>
      </c>
      <c r="S685" t="s">
        <v>40</v>
      </c>
      <c r="T685">
        <v>261</v>
      </c>
      <c r="W685"/>
      <c r="Y685" t="s">
        <v>377</v>
      </c>
      <c r="Z685" t="s">
        <v>378</v>
      </c>
      <c r="AA685" t="s">
        <v>379</v>
      </c>
      <c r="AB685" t="s">
        <v>1111</v>
      </c>
      <c r="AC685" t="s">
        <v>41</v>
      </c>
      <c r="AD685" t="s">
        <v>41</v>
      </c>
      <c r="AE685" t="s">
        <v>41</v>
      </c>
      <c r="AF685" t="s">
        <v>41</v>
      </c>
      <c r="AK685"/>
    </row>
    <row r="686" spans="1:37" x14ac:dyDescent="0.25">
      <c r="A686" t="s">
        <v>43</v>
      </c>
      <c r="B686">
        <v>45963.834988425922</v>
      </c>
      <c r="C686">
        <v>91947</v>
      </c>
      <c r="D686" t="s">
        <v>494</v>
      </c>
      <c r="E686">
        <v>4502532</v>
      </c>
      <c r="F686">
        <v>2104881</v>
      </c>
      <c r="G686" t="s">
        <v>600</v>
      </c>
      <c r="H686" t="s">
        <v>963</v>
      </c>
      <c r="I686">
        <v>10</v>
      </c>
      <c r="J686" t="b">
        <v>1</v>
      </c>
      <c r="K686">
        <v>2</v>
      </c>
      <c r="L686">
        <v>2106201</v>
      </c>
      <c r="M686" t="s">
        <v>602</v>
      </c>
      <c r="N686">
        <v>5</v>
      </c>
      <c r="O686">
        <v>9</v>
      </c>
      <c r="P686"/>
      <c r="Q686">
        <v>155687</v>
      </c>
      <c r="R686">
        <v>1</v>
      </c>
      <c r="S686" t="s">
        <v>40</v>
      </c>
      <c r="T686">
        <v>261</v>
      </c>
      <c r="U686">
        <v>147664</v>
      </c>
      <c r="V686">
        <v>24</v>
      </c>
      <c r="W686" t="s">
        <v>40</v>
      </c>
      <c r="X686">
        <v>261</v>
      </c>
      <c r="Y686" t="s">
        <v>377</v>
      </c>
      <c r="Z686" t="s">
        <v>378</v>
      </c>
      <c r="AA686" t="s">
        <v>379</v>
      </c>
      <c r="AB686" t="s">
        <v>559</v>
      </c>
      <c r="AC686" t="s">
        <v>41</v>
      </c>
      <c r="AD686" t="s">
        <v>41</v>
      </c>
      <c r="AE686" t="s">
        <v>41</v>
      </c>
      <c r="AF686" t="s">
        <v>41</v>
      </c>
      <c r="AK686"/>
    </row>
    <row r="687" spans="1:37" x14ac:dyDescent="0.25">
      <c r="A687" t="s">
        <v>43</v>
      </c>
      <c r="B687">
        <v>45963.836736111109</v>
      </c>
      <c r="C687">
        <v>91947</v>
      </c>
      <c r="D687" t="s">
        <v>494</v>
      </c>
      <c r="E687">
        <v>4502531</v>
      </c>
      <c r="F687">
        <v>2104881</v>
      </c>
      <c r="G687" t="s">
        <v>600</v>
      </c>
      <c r="H687" t="s">
        <v>963</v>
      </c>
      <c r="I687">
        <v>10</v>
      </c>
      <c r="J687" t="b">
        <v>1</v>
      </c>
      <c r="K687">
        <v>2.5</v>
      </c>
      <c r="L687">
        <v>2106201</v>
      </c>
      <c r="M687" t="s">
        <v>602</v>
      </c>
      <c r="N687">
        <v>4</v>
      </c>
      <c r="O687">
        <v>4</v>
      </c>
      <c r="P687"/>
      <c r="Q687">
        <v>155687</v>
      </c>
      <c r="R687">
        <v>1</v>
      </c>
      <c r="S687" t="s">
        <v>40</v>
      </c>
      <c r="T687">
        <v>261</v>
      </c>
      <c r="U687">
        <v>147664</v>
      </c>
      <c r="V687">
        <v>24</v>
      </c>
      <c r="W687" t="s">
        <v>40</v>
      </c>
      <c r="X687">
        <v>261</v>
      </c>
      <c r="Y687" t="s">
        <v>377</v>
      </c>
      <c r="Z687" t="s">
        <v>378</v>
      </c>
      <c r="AA687" t="s">
        <v>379</v>
      </c>
      <c r="AB687" t="s">
        <v>384</v>
      </c>
      <c r="AC687" t="s">
        <v>41</v>
      </c>
      <c r="AD687" t="s">
        <v>41</v>
      </c>
      <c r="AE687" t="s">
        <v>41</v>
      </c>
      <c r="AF687" t="s">
        <v>41</v>
      </c>
      <c r="AK687"/>
    </row>
    <row r="688" spans="1:37" x14ac:dyDescent="0.25">
      <c r="A688" t="s">
        <v>38</v>
      </c>
      <c r="B688">
        <v>45964.057256944441</v>
      </c>
      <c r="C688">
        <v>91177</v>
      </c>
      <c r="D688" t="s">
        <v>494</v>
      </c>
      <c r="E688">
        <v>4502494</v>
      </c>
      <c r="F688">
        <v>155446</v>
      </c>
      <c r="G688" t="s">
        <v>785</v>
      </c>
      <c r="H688" t="s">
        <v>959</v>
      </c>
      <c r="I688">
        <v>14</v>
      </c>
      <c r="J688" t="b">
        <v>1</v>
      </c>
      <c r="K688">
        <v>4.666666666666667</v>
      </c>
      <c r="L688">
        <v>155444</v>
      </c>
      <c r="M688" t="s">
        <v>786</v>
      </c>
      <c r="N688">
        <v>3</v>
      </c>
      <c r="O688">
        <v>6</v>
      </c>
      <c r="P688"/>
      <c r="Q688">
        <v>155687</v>
      </c>
      <c r="R688">
        <v>1</v>
      </c>
      <c r="S688" t="s">
        <v>40</v>
      </c>
      <c r="T688">
        <v>261</v>
      </c>
      <c r="U688">
        <v>147664</v>
      </c>
      <c r="V688">
        <v>24</v>
      </c>
      <c r="W688" t="s">
        <v>40</v>
      </c>
      <c r="X688">
        <v>261</v>
      </c>
      <c r="Y688" t="s">
        <v>377</v>
      </c>
      <c r="Z688" t="s">
        <v>378</v>
      </c>
      <c r="AA688" t="s">
        <v>379</v>
      </c>
      <c r="AB688" t="s">
        <v>622</v>
      </c>
      <c r="AC688" t="s">
        <v>41</v>
      </c>
      <c r="AD688" t="s">
        <v>41</v>
      </c>
      <c r="AE688" t="s">
        <v>41</v>
      </c>
      <c r="AF688" t="s">
        <v>41</v>
      </c>
      <c r="AK688"/>
    </row>
    <row r="689" spans="1:38" x14ac:dyDescent="0.25">
      <c r="A689" t="s">
        <v>38</v>
      </c>
      <c r="B689">
        <v>45964.058611111112</v>
      </c>
      <c r="C689">
        <v>91177</v>
      </c>
      <c r="D689" t="s">
        <v>494</v>
      </c>
      <c r="E689">
        <v>4502493</v>
      </c>
      <c r="F689">
        <v>155446</v>
      </c>
      <c r="G689" t="s">
        <v>785</v>
      </c>
      <c r="H689" t="s">
        <v>959</v>
      </c>
      <c r="I689">
        <v>14</v>
      </c>
      <c r="J689" t="b">
        <v>1</v>
      </c>
      <c r="K689">
        <v>4.666666666666667</v>
      </c>
      <c r="L689">
        <v>155444</v>
      </c>
      <c r="M689" t="s">
        <v>786</v>
      </c>
      <c r="N689">
        <v>3</v>
      </c>
      <c r="O689">
        <v>3</v>
      </c>
      <c r="P689"/>
      <c r="Q689">
        <v>155687</v>
      </c>
      <c r="R689">
        <v>1</v>
      </c>
      <c r="S689" t="s">
        <v>40</v>
      </c>
      <c r="T689">
        <v>261</v>
      </c>
      <c r="U689">
        <v>147664</v>
      </c>
      <c r="V689">
        <v>24</v>
      </c>
      <c r="W689" t="s">
        <v>40</v>
      </c>
      <c r="X689">
        <v>261</v>
      </c>
      <c r="Y689" t="s">
        <v>377</v>
      </c>
      <c r="Z689" t="s">
        <v>378</v>
      </c>
      <c r="AA689" t="s">
        <v>379</v>
      </c>
      <c r="AB689" t="s">
        <v>622</v>
      </c>
      <c r="AC689" t="s">
        <v>41</v>
      </c>
      <c r="AD689" t="s">
        <v>41</v>
      </c>
      <c r="AE689" t="s">
        <v>41</v>
      </c>
      <c r="AF689" t="s">
        <v>41</v>
      </c>
      <c r="AK689"/>
    </row>
    <row r="690" spans="1:38" x14ac:dyDescent="0.25">
      <c r="A690" t="s">
        <v>42</v>
      </c>
      <c r="B690">
        <v>45964.07576388889</v>
      </c>
      <c r="C690">
        <v>89572</v>
      </c>
      <c r="D690" t="s">
        <v>494</v>
      </c>
      <c r="E690">
        <v>4502323</v>
      </c>
      <c r="F690">
        <v>150819</v>
      </c>
      <c r="G690" t="s">
        <v>458</v>
      </c>
      <c r="H690" t="s">
        <v>1002</v>
      </c>
      <c r="I690">
        <v>10</v>
      </c>
      <c r="J690" t="b">
        <v>1</v>
      </c>
      <c r="K690">
        <v>0.83333333333333337</v>
      </c>
      <c r="L690">
        <v>150820</v>
      </c>
      <c r="M690" t="s">
        <v>454</v>
      </c>
      <c r="N690">
        <v>12</v>
      </c>
      <c r="O690">
        <v>12</v>
      </c>
      <c r="P690"/>
      <c r="Q690">
        <v>0</v>
      </c>
      <c r="R690">
        <v>0</v>
      </c>
      <c r="S690" t="s">
        <v>40</v>
      </c>
      <c r="T690">
        <v>261</v>
      </c>
      <c r="W690"/>
      <c r="Y690" t="s">
        <v>377</v>
      </c>
      <c r="Z690" t="s">
        <v>378</v>
      </c>
      <c r="AA690" t="s">
        <v>379</v>
      </c>
      <c r="AB690" t="s">
        <v>400</v>
      </c>
      <c r="AC690" t="s">
        <v>379</v>
      </c>
      <c r="AD690" t="s">
        <v>384</v>
      </c>
      <c r="AE690" t="s">
        <v>41</v>
      </c>
      <c r="AF690" t="s">
        <v>41</v>
      </c>
      <c r="AK690"/>
    </row>
    <row r="691" spans="1:38" x14ac:dyDescent="0.25">
      <c r="A691" t="s">
        <v>37</v>
      </c>
      <c r="B691">
        <v>45964.506157407406</v>
      </c>
      <c r="C691">
        <v>90705</v>
      </c>
      <c r="D691" t="s">
        <v>393</v>
      </c>
      <c r="E691">
        <v>4501084</v>
      </c>
      <c r="F691">
        <v>2105800</v>
      </c>
      <c r="G691" t="s">
        <v>1112</v>
      </c>
      <c r="H691" t="s">
        <v>930</v>
      </c>
      <c r="I691">
        <v>10</v>
      </c>
      <c r="J691" t="b">
        <v>1</v>
      </c>
      <c r="K691">
        <v>4.3290043290043288E-2</v>
      </c>
      <c r="L691">
        <v>2107051</v>
      </c>
      <c r="M691" t="s">
        <v>1113</v>
      </c>
      <c r="N691">
        <v>231</v>
      </c>
      <c r="O691">
        <v>231</v>
      </c>
      <c r="P691"/>
      <c r="Q691">
        <v>134976</v>
      </c>
      <c r="R691">
        <v>1</v>
      </c>
      <c r="S691" t="s">
        <v>40</v>
      </c>
      <c r="T691">
        <v>261</v>
      </c>
      <c r="W691"/>
      <c r="Y691" t="s">
        <v>377</v>
      </c>
      <c r="Z691" t="s">
        <v>378</v>
      </c>
      <c r="AA691" t="s">
        <v>379</v>
      </c>
      <c r="AB691" t="s">
        <v>539</v>
      </c>
      <c r="AC691" t="s">
        <v>41</v>
      </c>
      <c r="AD691" t="s">
        <v>41</v>
      </c>
      <c r="AE691" t="s">
        <v>41</v>
      </c>
      <c r="AF691" t="s">
        <v>41</v>
      </c>
      <c r="AK691"/>
    </row>
    <row r="692" spans="1:38" x14ac:dyDescent="0.25">
      <c r="A692" t="s">
        <v>45</v>
      </c>
      <c r="B692">
        <v>45964.648414351854</v>
      </c>
      <c r="C692">
        <v>92464</v>
      </c>
      <c r="D692" t="s">
        <v>393</v>
      </c>
      <c r="E692">
        <v>4498714</v>
      </c>
      <c r="F692">
        <v>2310463</v>
      </c>
      <c r="G692" t="s">
        <v>1095</v>
      </c>
      <c r="H692" t="s">
        <v>1114</v>
      </c>
      <c r="I692">
        <v>2.5</v>
      </c>
      <c r="J692" t="b">
        <v>1</v>
      </c>
      <c r="K692">
        <v>6.9444444444444441E-3</v>
      </c>
      <c r="L692">
        <v>2310464</v>
      </c>
      <c r="M692" t="s">
        <v>1090</v>
      </c>
      <c r="N692">
        <v>360</v>
      </c>
      <c r="O692">
        <v>360</v>
      </c>
      <c r="P692"/>
      <c r="Q692">
        <v>134976</v>
      </c>
      <c r="R692">
        <v>1</v>
      </c>
      <c r="S692" t="s">
        <v>40</v>
      </c>
      <c r="T692">
        <v>261</v>
      </c>
      <c r="W692"/>
      <c r="Y692" t="s">
        <v>377</v>
      </c>
      <c r="Z692" t="s">
        <v>378</v>
      </c>
      <c r="AA692" t="s">
        <v>379</v>
      </c>
      <c r="AB692" t="s">
        <v>725</v>
      </c>
      <c r="AC692" t="s">
        <v>41</v>
      </c>
      <c r="AD692" t="s">
        <v>41</v>
      </c>
      <c r="AE692" t="s">
        <v>41</v>
      </c>
      <c r="AF692" t="s">
        <v>41</v>
      </c>
      <c r="AK692"/>
    </row>
    <row r="693" spans="1:38" x14ac:dyDescent="0.25">
      <c r="A693" t="s">
        <v>44</v>
      </c>
      <c r="B693">
        <v>45964.683888888889</v>
      </c>
      <c r="C693">
        <v>91948</v>
      </c>
      <c r="D693" t="s">
        <v>393</v>
      </c>
      <c r="E693">
        <v>4502534</v>
      </c>
      <c r="F693">
        <v>2104881</v>
      </c>
      <c r="G693" t="s">
        <v>600</v>
      </c>
      <c r="H693" t="s">
        <v>990</v>
      </c>
      <c r="I693">
        <v>10</v>
      </c>
      <c r="J693" t="b">
        <v>1</v>
      </c>
      <c r="K693">
        <v>1.1111111111111112</v>
      </c>
      <c r="L693">
        <v>2106201</v>
      </c>
      <c r="M693" t="s">
        <v>602</v>
      </c>
      <c r="N693">
        <v>9</v>
      </c>
      <c r="O693">
        <v>9</v>
      </c>
      <c r="P693"/>
      <c r="Q693">
        <v>134905</v>
      </c>
      <c r="R693">
        <v>1</v>
      </c>
      <c r="S693" t="s">
        <v>40</v>
      </c>
      <c r="T693">
        <v>261</v>
      </c>
      <c r="U693">
        <v>147664</v>
      </c>
      <c r="V693">
        <v>48</v>
      </c>
      <c r="W693" t="s">
        <v>40</v>
      </c>
      <c r="X693">
        <v>261</v>
      </c>
      <c r="Y693" t="s">
        <v>377</v>
      </c>
      <c r="Z693" t="s">
        <v>378</v>
      </c>
      <c r="AA693" t="s">
        <v>379</v>
      </c>
      <c r="AB693" t="s">
        <v>559</v>
      </c>
      <c r="AC693" t="s">
        <v>379</v>
      </c>
      <c r="AD693" t="s">
        <v>384</v>
      </c>
      <c r="AE693" t="s">
        <v>41</v>
      </c>
      <c r="AF693" t="s">
        <v>41</v>
      </c>
      <c r="AI693">
        <v>134905</v>
      </c>
      <c r="AJ693">
        <v>1</v>
      </c>
      <c r="AK693" t="s">
        <v>40</v>
      </c>
      <c r="AL693">
        <v>261</v>
      </c>
    </row>
    <row r="694" spans="1:38" x14ac:dyDescent="0.25">
      <c r="A694" t="s">
        <v>39</v>
      </c>
      <c r="B694">
        <v>45964.711886574078</v>
      </c>
      <c r="C694">
        <v>92543</v>
      </c>
      <c r="D694" t="s">
        <v>393</v>
      </c>
      <c r="E694">
        <v>4497436</v>
      </c>
      <c r="F694">
        <v>2310135</v>
      </c>
      <c r="G694" t="s">
        <v>1052</v>
      </c>
      <c r="H694" t="s">
        <v>1084</v>
      </c>
      <c r="I694">
        <v>64.3</v>
      </c>
      <c r="J694" t="b">
        <v>1</v>
      </c>
      <c r="K694">
        <v>0.16075</v>
      </c>
      <c r="L694">
        <v>2310136</v>
      </c>
      <c r="M694" t="s">
        <v>1053</v>
      </c>
      <c r="N694">
        <v>400</v>
      </c>
      <c r="O694">
        <v>400</v>
      </c>
      <c r="P694"/>
      <c r="Q694">
        <v>134908</v>
      </c>
      <c r="R694">
        <v>1</v>
      </c>
      <c r="S694" t="s">
        <v>40</v>
      </c>
      <c r="T694">
        <v>261</v>
      </c>
      <c r="U694">
        <v>147664</v>
      </c>
      <c r="V694">
        <v>24</v>
      </c>
      <c r="W694" t="s">
        <v>40</v>
      </c>
      <c r="X694">
        <v>261</v>
      </c>
      <c r="Y694" t="s">
        <v>377</v>
      </c>
      <c r="Z694" t="s">
        <v>378</v>
      </c>
      <c r="AA694" t="s">
        <v>379</v>
      </c>
      <c r="AB694" t="s">
        <v>1079</v>
      </c>
      <c r="AC694" t="s">
        <v>41</v>
      </c>
      <c r="AD694" t="s">
        <v>41</v>
      </c>
      <c r="AE694" t="s">
        <v>41</v>
      </c>
      <c r="AF694" t="s">
        <v>41</v>
      </c>
      <c r="AK694"/>
    </row>
    <row r="695" spans="1:38" x14ac:dyDescent="0.25">
      <c r="A695" t="s">
        <v>38</v>
      </c>
      <c r="B695">
        <v>45965.155405092592</v>
      </c>
      <c r="C695">
        <v>91178</v>
      </c>
      <c r="D695" t="s">
        <v>682</v>
      </c>
      <c r="E695">
        <v>4499562</v>
      </c>
      <c r="F695">
        <v>120138</v>
      </c>
      <c r="G695" t="s">
        <v>911</v>
      </c>
      <c r="H695" t="s">
        <v>924</v>
      </c>
      <c r="I695">
        <v>10</v>
      </c>
      <c r="J695" t="b">
        <v>1</v>
      </c>
      <c r="K695">
        <v>1.25</v>
      </c>
      <c r="L695">
        <v>120139</v>
      </c>
      <c r="M695" t="s">
        <v>1092</v>
      </c>
      <c r="N695">
        <v>8</v>
      </c>
      <c r="O695">
        <v>8</v>
      </c>
      <c r="P695"/>
      <c r="Q695">
        <v>134905</v>
      </c>
      <c r="R695">
        <v>1</v>
      </c>
      <c r="S695" t="s">
        <v>40</v>
      </c>
      <c r="T695">
        <v>261</v>
      </c>
      <c r="U695">
        <v>147664</v>
      </c>
      <c r="V695">
        <v>48</v>
      </c>
      <c r="W695" t="s">
        <v>40</v>
      </c>
      <c r="X695">
        <v>261</v>
      </c>
      <c r="Y695" t="s">
        <v>377</v>
      </c>
      <c r="Z695" t="s">
        <v>378</v>
      </c>
      <c r="AA695" t="s">
        <v>384</v>
      </c>
      <c r="AB695" t="s">
        <v>384</v>
      </c>
      <c r="AC695" t="s">
        <v>41</v>
      </c>
      <c r="AD695" t="s">
        <v>41</v>
      </c>
      <c r="AE695" t="s">
        <v>41</v>
      </c>
      <c r="AF695" t="s">
        <v>41</v>
      </c>
      <c r="AI695">
        <v>134905</v>
      </c>
      <c r="AJ695">
        <v>1</v>
      </c>
      <c r="AK695" t="s">
        <v>40</v>
      </c>
      <c r="AL695">
        <v>261</v>
      </c>
    </row>
    <row r="696" spans="1:38" x14ac:dyDescent="0.25">
      <c r="A696" t="s">
        <v>48</v>
      </c>
      <c r="B696">
        <v>45965.181261574071</v>
      </c>
      <c r="C696">
        <v>89573</v>
      </c>
      <c r="D696" t="s">
        <v>682</v>
      </c>
      <c r="E696">
        <v>4501011</v>
      </c>
      <c r="F696">
        <v>2104856</v>
      </c>
      <c r="G696" t="s">
        <v>1115</v>
      </c>
      <c r="H696" t="s">
        <v>979</v>
      </c>
      <c r="I696">
        <v>10</v>
      </c>
      <c r="J696" t="b">
        <v>1</v>
      </c>
      <c r="K696">
        <v>2.5</v>
      </c>
      <c r="L696">
        <v>2106174</v>
      </c>
      <c r="M696" t="s">
        <v>1116</v>
      </c>
      <c r="N696">
        <v>4</v>
      </c>
      <c r="O696">
        <v>4</v>
      </c>
      <c r="P696"/>
      <c r="Q696">
        <v>134905</v>
      </c>
      <c r="R696">
        <v>1</v>
      </c>
      <c r="S696" t="s">
        <v>40</v>
      </c>
      <c r="T696">
        <v>261</v>
      </c>
      <c r="U696">
        <v>147664</v>
      </c>
      <c r="V696">
        <v>24</v>
      </c>
      <c r="W696" t="s">
        <v>40</v>
      </c>
      <c r="X696">
        <v>261</v>
      </c>
      <c r="Y696" t="s">
        <v>377</v>
      </c>
      <c r="Z696" t="s">
        <v>378</v>
      </c>
      <c r="AA696" t="s">
        <v>379</v>
      </c>
      <c r="AB696" t="s">
        <v>384</v>
      </c>
      <c r="AC696" t="s">
        <v>41</v>
      </c>
      <c r="AD696" t="s">
        <v>41</v>
      </c>
      <c r="AE696" t="s">
        <v>41</v>
      </c>
      <c r="AF696" t="s">
        <v>41</v>
      </c>
      <c r="AK696"/>
    </row>
    <row r="697" spans="1:38" x14ac:dyDescent="0.25">
      <c r="A697" t="s">
        <v>48</v>
      </c>
      <c r="B697">
        <v>45965.183229166665</v>
      </c>
      <c r="C697">
        <v>89573</v>
      </c>
      <c r="D697" t="s">
        <v>682</v>
      </c>
      <c r="E697">
        <v>4501012</v>
      </c>
      <c r="F697">
        <v>2104856</v>
      </c>
      <c r="G697" t="s">
        <v>1115</v>
      </c>
      <c r="H697" t="s">
        <v>979</v>
      </c>
      <c r="I697">
        <v>10</v>
      </c>
      <c r="J697" t="b">
        <v>1</v>
      </c>
      <c r="K697">
        <v>1.25</v>
      </c>
      <c r="L697">
        <v>2106174</v>
      </c>
      <c r="M697" t="s">
        <v>1116</v>
      </c>
      <c r="N697">
        <v>8</v>
      </c>
      <c r="O697">
        <v>8</v>
      </c>
      <c r="P697"/>
      <c r="Q697">
        <v>134905</v>
      </c>
      <c r="R697">
        <v>1</v>
      </c>
      <c r="S697" t="s">
        <v>40</v>
      </c>
      <c r="T697">
        <v>261</v>
      </c>
      <c r="U697">
        <v>147664</v>
      </c>
      <c r="V697">
        <v>24</v>
      </c>
      <c r="W697" t="s">
        <v>40</v>
      </c>
      <c r="X697">
        <v>261</v>
      </c>
      <c r="Y697" t="s">
        <v>377</v>
      </c>
      <c r="Z697" t="s">
        <v>378</v>
      </c>
      <c r="AA697" t="s">
        <v>379</v>
      </c>
      <c r="AB697" t="s">
        <v>400</v>
      </c>
      <c r="AC697" t="s">
        <v>41</v>
      </c>
      <c r="AD697" t="s">
        <v>41</v>
      </c>
      <c r="AE697" t="s">
        <v>41</v>
      </c>
      <c r="AF697" t="s">
        <v>41</v>
      </c>
      <c r="AK697"/>
    </row>
    <row r="698" spans="1:38" x14ac:dyDescent="0.25">
      <c r="A698" t="s">
        <v>37</v>
      </c>
      <c r="B698">
        <v>45965.559965277775</v>
      </c>
      <c r="C698">
        <v>90706</v>
      </c>
      <c r="D698" t="s">
        <v>393</v>
      </c>
      <c r="E698">
        <v>4501084</v>
      </c>
      <c r="F698">
        <v>2105800</v>
      </c>
      <c r="G698" t="s">
        <v>1112</v>
      </c>
      <c r="H698" t="s">
        <v>930</v>
      </c>
      <c r="I698">
        <v>10</v>
      </c>
      <c r="J698" t="b">
        <v>1</v>
      </c>
      <c r="K698">
        <v>5.9523809523809521E-2</v>
      </c>
      <c r="L698">
        <v>2107051</v>
      </c>
      <c r="M698" t="s">
        <v>1113</v>
      </c>
      <c r="N698">
        <v>168</v>
      </c>
      <c r="O698">
        <v>168</v>
      </c>
      <c r="P698"/>
      <c r="Q698">
        <v>134976</v>
      </c>
      <c r="R698">
        <v>1</v>
      </c>
      <c r="S698" t="s">
        <v>40</v>
      </c>
      <c r="T698">
        <v>261</v>
      </c>
      <c r="W698"/>
      <c r="Y698" t="s">
        <v>377</v>
      </c>
      <c r="Z698" t="s">
        <v>378</v>
      </c>
      <c r="AA698" t="s">
        <v>379</v>
      </c>
      <c r="AB698" t="s">
        <v>441</v>
      </c>
      <c r="AC698" t="s">
        <v>41</v>
      </c>
      <c r="AD698" t="s">
        <v>41</v>
      </c>
      <c r="AE698" t="s">
        <v>41</v>
      </c>
      <c r="AF698" t="s">
        <v>41</v>
      </c>
      <c r="AK698"/>
    </row>
    <row r="699" spans="1:38" x14ac:dyDescent="0.25">
      <c r="A699" t="s">
        <v>38</v>
      </c>
      <c r="B699">
        <v>45966.030370370368</v>
      </c>
      <c r="C699">
        <v>91949</v>
      </c>
      <c r="D699" t="s">
        <v>563</v>
      </c>
      <c r="E699">
        <v>4502483</v>
      </c>
      <c r="F699">
        <v>2104880</v>
      </c>
      <c r="G699" t="s">
        <v>577</v>
      </c>
      <c r="H699" t="s">
        <v>1117</v>
      </c>
      <c r="I699">
        <v>10</v>
      </c>
      <c r="J699" t="b">
        <v>1</v>
      </c>
      <c r="K699">
        <v>1.1111111111111112</v>
      </c>
      <c r="L699">
        <v>2106200</v>
      </c>
      <c r="M699" t="s">
        <v>579</v>
      </c>
      <c r="N699">
        <v>9</v>
      </c>
      <c r="O699">
        <v>9</v>
      </c>
      <c r="P699"/>
      <c r="Q699">
        <v>134906</v>
      </c>
      <c r="R699">
        <v>2</v>
      </c>
      <c r="S699" t="s">
        <v>40</v>
      </c>
      <c r="T699">
        <v>261</v>
      </c>
      <c r="U699">
        <v>147664</v>
      </c>
      <c r="V699">
        <v>48</v>
      </c>
      <c r="W699" t="s">
        <v>40</v>
      </c>
      <c r="X699">
        <v>261</v>
      </c>
      <c r="Y699" t="s">
        <v>377</v>
      </c>
      <c r="Z699" t="s">
        <v>378</v>
      </c>
      <c r="AA699" t="s">
        <v>379</v>
      </c>
      <c r="AB699" t="s">
        <v>559</v>
      </c>
      <c r="AC699" t="s">
        <v>379</v>
      </c>
      <c r="AD699" t="s">
        <v>384</v>
      </c>
      <c r="AE699" t="s">
        <v>41</v>
      </c>
      <c r="AF699" t="s">
        <v>41</v>
      </c>
      <c r="AK699"/>
    </row>
    <row r="700" spans="1:38" x14ac:dyDescent="0.25">
      <c r="A700" t="s">
        <v>43</v>
      </c>
      <c r="B700">
        <v>45966.095590277779</v>
      </c>
      <c r="C700">
        <v>91812</v>
      </c>
      <c r="D700" t="s">
        <v>563</v>
      </c>
      <c r="E700">
        <v>4501512</v>
      </c>
      <c r="F700">
        <v>2105247</v>
      </c>
      <c r="G700" t="s">
        <v>991</v>
      </c>
      <c r="H700" t="s">
        <v>979</v>
      </c>
      <c r="I700">
        <v>3</v>
      </c>
      <c r="J700" t="b">
        <v>1</v>
      </c>
      <c r="K700">
        <v>7.4441687344913151E-3</v>
      </c>
      <c r="L700">
        <v>2106518</v>
      </c>
      <c r="M700" t="s">
        <v>992</v>
      </c>
      <c r="N700">
        <v>403</v>
      </c>
      <c r="O700">
        <v>403</v>
      </c>
      <c r="P700"/>
      <c r="Q700">
        <v>134974</v>
      </c>
      <c r="R700">
        <v>2</v>
      </c>
      <c r="S700" t="s">
        <v>40</v>
      </c>
      <c r="T700">
        <v>261</v>
      </c>
      <c r="W700"/>
      <c r="Y700" t="s">
        <v>377</v>
      </c>
      <c r="Z700" t="s">
        <v>378</v>
      </c>
      <c r="AA700" t="s">
        <v>379</v>
      </c>
      <c r="AB700" t="s">
        <v>1118</v>
      </c>
      <c r="AC700" t="s">
        <v>379</v>
      </c>
      <c r="AD700" t="s">
        <v>668</v>
      </c>
      <c r="AE700" t="s">
        <v>41</v>
      </c>
      <c r="AF700" t="s">
        <v>41</v>
      </c>
      <c r="AK700"/>
    </row>
    <row r="701" spans="1:38" x14ac:dyDescent="0.25">
      <c r="A701" t="s">
        <v>42</v>
      </c>
      <c r="B701">
        <v>45966.113136574073</v>
      </c>
      <c r="C701">
        <v>92465</v>
      </c>
      <c r="D701" t="s">
        <v>563</v>
      </c>
      <c r="E701">
        <v>4498715</v>
      </c>
      <c r="F701">
        <v>2310463</v>
      </c>
      <c r="G701" t="s">
        <v>1095</v>
      </c>
      <c r="H701" t="s">
        <v>1013</v>
      </c>
      <c r="I701">
        <v>3</v>
      </c>
      <c r="J701" t="b">
        <v>1</v>
      </c>
      <c r="K701">
        <v>8.130081300813009E-3</v>
      </c>
      <c r="L701">
        <v>2310464</v>
      </c>
      <c r="M701" t="s">
        <v>1090</v>
      </c>
      <c r="N701">
        <v>369</v>
      </c>
      <c r="O701">
        <v>369</v>
      </c>
      <c r="P701"/>
      <c r="Q701">
        <v>134976</v>
      </c>
      <c r="R701">
        <v>1</v>
      </c>
      <c r="S701" t="s">
        <v>40</v>
      </c>
      <c r="T701">
        <v>261</v>
      </c>
      <c r="W701"/>
      <c r="Y701" t="s">
        <v>377</v>
      </c>
      <c r="Z701" t="s">
        <v>378</v>
      </c>
      <c r="AA701" t="s">
        <v>379</v>
      </c>
      <c r="AB701" t="s">
        <v>1119</v>
      </c>
      <c r="AC701" t="s">
        <v>41</v>
      </c>
      <c r="AD701" t="s">
        <v>41</v>
      </c>
      <c r="AE701" t="s">
        <v>41</v>
      </c>
      <c r="AF701" t="s">
        <v>41</v>
      </c>
      <c r="AK701"/>
    </row>
    <row r="702" spans="1:38" x14ac:dyDescent="0.25">
      <c r="A702" t="s">
        <v>44</v>
      </c>
      <c r="B702">
        <v>45966.298750000002</v>
      </c>
      <c r="C702">
        <v>89574</v>
      </c>
      <c r="D702" t="s">
        <v>646</v>
      </c>
      <c r="E702">
        <v>4501013</v>
      </c>
      <c r="F702">
        <v>2104856</v>
      </c>
      <c r="G702" t="s">
        <v>1115</v>
      </c>
      <c r="H702" t="s">
        <v>951</v>
      </c>
      <c r="I702">
        <v>10</v>
      </c>
      <c r="J702" t="b">
        <v>1</v>
      </c>
      <c r="K702">
        <v>0.83333333333333337</v>
      </c>
      <c r="L702">
        <v>2106174</v>
      </c>
      <c r="M702" t="s">
        <v>1116</v>
      </c>
      <c r="N702">
        <v>12</v>
      </c>
      <c r="O702">
        <v>12</v>
      </c>
      <c r="P702"/>
      <c r="Q702">
        <v>143277</v>
      </c>
      <c r="R702">
        <v>2</v>
      </c>
      <c r="S702" t="s">
        <v>40</v>
      </c>
      <c r="T702">
        <v>261</v>
      </c>
      <c r="U702">
        <v>147664</v>
      </c>
      <c r="V702">
        <v>48</v>
      </c>
      <c r="W702" t="s">
        <v>40</v>
      </c>
      <c r="X702">
        <v>261</v>
      </c>
      <c r="Y702" t="s">
        <v>377</v>
      </c>
      <c r="Z702" t="s">
        <v>378</v>
      </c>
      <c r="AA702" t="s">
        <v>379</v>
      </c>
      <c r="AB702" t="s">
        <v>400</v>
      </c>
      <c r="AC702" t="s">
        <v>379</v>
      </c>
      <c r="AD702" t="s">
        <v>384</v>
      </c>
      <c r="AE702" t="s">
        <v>41</v>
      </c>
      <c r="AF702" t="s">
        <v>41</v>
      </c>
      <c r="AK702"/>
    </row>
    <row r="703" spans="1:38" x14ac:dyDescent="0.25">
      <c r="A703" t="s">
        <v>37</v>
      </c>
      <c r="B703">
        <v>45966.413206018522</v>
      </c>
      <c r="C703">
        <v>92466</v>
      </c>
      <c r="D703" t="s">
        <v>646</v>
      </c>
      <c r="E703">
        <v>4498716</v>
      </c>
      <c r="F703">
        <v>2310463</v>
      </c>
      <c r="G703" t="s">
        <v>1095</v>
      </c>
      <c r="H703" t="s">
        <v>1018</v>
      </c>
      <c r="I703">
        <v>3</v>
      </c>
      <c r="J703" t="b">
        <v>1</v>
      </c>
      <c r="K703">
        <v>7.7519379844961239E-3</v>
      </c>
      <c r="L703">
        <v>2310464</v>
      </c>
      <c r="M703" t="s">
        <v>1090</v>
      </c>
      <c r="N703">
        <v>387</v>
      </c>
      <c r="O703">
        <v>376</v>
      </c>
      <c r="P703"/>
      <c r="Q703">
        <v>134976</v>
      </c>
      <c r="R703">
        <v>2</v>
      </c>
      <c r="S703" t="s">
        <v>40</v>
      </c>
      <c r="T703">
        <v>261</v>
      </c>
      <c r="W703"/>
      <c r="Y703" t="s">
        <v>377</v>
      </c>
      <c r="Z703" t="s">
        <v>378</v>
      </c>
      <c r="AA703" t="s">
        <v>379</v>
      </c>
      <c r="AB703" t="s">
        <v>830</v>
      </c>
      <c r="AC703" t="s">
        <v>379</v>
      </c>
      <c r="AD703" t="s">
        <v>1120</v>
      </c>
      <c r="AE703" t="s">
        <v>41</v>
      </c>
      <c r="AF703" t="s">
        <v>41</v>
      </c>
      <c r="AK703"/>
    </row>
    <row r="704" spans="1:38" x14ac:dyDescent="0.25">
      <c r="A704" t="s">
        <v>43</v>
      </c>
      <c r="B704">
        <v>45966.430324074077</v>
      </c>
      <c r="C704">
        <v>91816</v>
      </c>
      <c r="D704" t="s">
        <v>646</v>
      </c>
      <c r="E704">
        <v>4502203</v>
      </c>
      <c r="F704">
        <v>2309881</v>
      </c>
      <c r="G704" t="s">
        <v>977</v>
      </c>
      <c r="H704" t="s">
        <v>951</v>
      </c>
      <c r="I704">
        <v>3</v>
      </c>
      <c r="J704" t="b">
        <v>1</v>
      </c>
      <c r="K704">
        <v>6.8181818181818177E-2</v>
      </c>
      <c r="L704">
        <v>2309882</v>
      </c>
      <c r="M704" t="s">
        <v>978</v>
      </c>
      <c r="N704">
        <v>44</v>
      </c>
      <c r="O704">
        <v>172</v>
      </c>
      <c r="P704"/>
      <c r="Q704">
        <v>134974</v>
      </c>
      <c r="R704">
        <v>1</v>
      </c>
      <c r="S704" t="s">
        <v>40</v>
      </c>
      <c r="T704">
        <v>261</v>
      </c>
      <c r="W704"/>
      <c r="Y704" t="s">
        <v>377</v>
      </c>
      <c r="Z704" t="s">
        <v>378</v>
      </c>
      <c r="AA704" t="s">
        <v>379</v>
      </c>
      <c r="AB704" t="s">
        <v>1102</v>
      </c>
      <c r="AC704" t="s">
        <v>41</v>
      </c>
      <c r="AD704" t="s">
        <v>41</v>
      </c>
      <c r="AE704" t="s">
        <v>41</v>
      </c>
      <c r="AF704" t="s">
        <v>41</v>
      </c>
      <c r="AK704"/>
    </row>
    <row r="705" spans="1:37" x14ac:dyDescent="0.25">
      <c r="A705" t="s">
        <v>45</v>
      </c>
      <c r="B705">
        <v>45966.548206018517</v>
      </c>
      <c r="C705">
        <v>91815</v>
      </c>
      <c r="D705" t="s">
        <v>646</v>
      </c>
      <c r="E705">
        <v>4502203</v>
      </c>
      <c r="F705">
        <v>2309881</v>
      </c>
      <c r="G705" t="s">
        <v>977</v>
      </c>
      <c r="H705" t="s">
        <v>951</v>
      </c>
      <c r="I705">
        <v>2.5</v>
      </c>
      <c r="J705" t="b">
        <v>1</v>
      </c>
      <c r="K705">
        <v>2.032520325203252E-2</v>
      </c>
      <c r="L705">
        <v>2309882</v>
      </c>
      <c r="M705" t="s">
        <v>978</v>
      </c>
      <c r="N705">
        <v>123</v>
      </c>
      <c r="O705">
        <v>0</v>
      </c>
      <c r="P705"/>
      <c r="Q705">
        <v>134974</v>
      </c>
      <c r="R705">
        <v>1</v>
      </c>
      <c r="S705" t="s">
        <v>40</v>
      </c>
      <c r="T705">
        <v>261</v>
      </c>
      <c r="W705"/>
      <c r="Y705" t="s">
        <v>377</v>
      </c>
      <c r="Z705" t="s">
        <v>378</v>
      </c>
      <c r="AA705" t="s">
        <v>379</v>
      </c>
      <c r="AB705" t="s">
        <v>980</v>
      </c>
      <c r="AC705" t="s">
        <v>41</v>
      </c>
      <c r="AD705" t="s">
        <v>41</v>
      </c>
      <c r="AE705" t="s">
        <v>41</v>
      </c>
      <c r="AF705" t="s">
        <v>41</v>
      </c>
      <c r="AK705"/>
    </row>
    <row r="706" spans="1:37" x14ac:dyDescent="0.25">
      <c r="A706" t="s">
        <v>37</v>
      </c>
      <c r="B706">
        <v>45966.629652777781</v>
      </c>
      <c r="C706">
        <v>92473</v>
      </c>
      <c r="D706" t="s">
        <v>646</v>
      </c>
      <c r="E706">
        <v>4500755</v>
      </c>
      <c r="F706">
        <v>2116465</v>
      </c>
      <c r="G706" t="s">
        <v>737</v>
      </c>
      <c r="H706" t="s">
        <v>979</v>
      </c>
      <c r="I706">
        <v>2.5</v>
      </c>
      <c r="J706" t="b">
        <v>1</v>
      </c>
      <c r="K706">
        <v>1.5923566878980892E-2</v>
      </c>
      <c r="L706">
        <v>2117622</v>
      </c>
      <c r="M706" t="s">
        <v>738</v>
      </c>
      <c r="N706">
        <v>157</v>
      </c>
      <c r="O706">
        <v>170</v>
      </c>
      <c r="P706"/>
      <c r="Q706">
        <v>134976</v>
      </c>
      <c r="R706">
        <v>1</v>
      </c>
      <c r="S706" t="s">
        <v>40</v>
      </c>
      <c r="T706">
        <v>261</v>
      </c>
      <c r="W706"/>
      <c r="Y706" t="s">
        <v>377</v>
      </c>
      <c r="Z706" t="s">
        <v>378</v>
      </c>
      <c r="AA706" t="s">
        <v>379</v>
      </c>
      <c r="AB706" t="s">
        <v>1121</v>
      </c>
      <c r="AC706" t="s">
        <v>41</v>
      </c>
      <c r="AD706" t="s">
        <v>41</v>
      </c>
      <c r="AE706" t="s">
        <v>41</v>
      </c>
      <c r="AF706" t="s">
        <v>41</v>
      </c>
      <c r="AK706"/>
    </row>
    <row r="707" spans="1:37" x14ac:dyDescent="0.25">
      <c r="A707" t="s">
        <v>42</v>
      </c>
      <c r="B707">
        <v>45966.727222222224</v>
      </c>
      <c r="C707">
        <v>91180</v>
      </c>
      <c r="D707" t="s">
        <v>646</v>
      </c>
      <c r="E707">
        <v>4499563</v>
      </c>
      <c r="F707">
        <v>120138</v>
      </c>
      <c r="G707" t="s">
        <v>911</v>
      </c>
      <c r="H707" t="s">
        <v>926</v>
      </c>
      <c r="I707">
        <v>14</v>
      </c>
      <c r="J707" t="b">
        <v>1</v>
      </c>
      <c r="K707">
        <v>1.75</v>
      </c>
      <c r="L707">
        <v>120139</v>
      </c>
      <c r="M707" t="s">
        <v>1092</v>
      </c>
      <c r="N707">
        <v>8</v>
      </c>
      <c r="O707">
        <v>8</v>
      </c>
      <c r="P707"/>
      <c r="Q707">
        <v>134906</v>
      </c>
      <c r="R707">
        <v>2</v>
      </c>
      <c r="S707" t="s">
        <v>40</v>
      </c>
      <c r="T707">
        <v>261</v>
      </c>
      <c r="U707">
        <v>147664</v>
      </c>
      <c r="V707">
        <v>48</v>
      </c>
      <c r="W707" t="s">
        <v>40</v>
      </c>
      <c r="X707">
        <v>261</v>
      </c>
      <c r="Y707" t="s">
        <v>377</v>
      </c>
      <c r="Z707" t="s">
        <v>378</v>
      </c>
      <c r="AA707" t="s">
        <v>384</v>
      </c>
      <c r="AB707" t="s">
        <v>384</v>
      </c>
      <c r="AC707" t="s">
        <v>41</v>
      </c>
      <c r="AD707" t="s">
        <v>41</v>
      </c>
      <c r="AE707" t="s">
        <v>41</v>
      </c>
      <c r="AF707" t="s">
        <v>41</v>
      </c>
      <c r="AK707"/>
    </row>
    <row r="708" spans="1:37" x14ac:dyDescent="0.25">
      <c r="A708" t="s">
        <v>38</v>
      </c>
      <c r="B708">
        <v>45966.883923611109</v>
      </c>
      <c r="C708">
        <v>91951</v>
      </c>
      <c r="D708" t="s">
        <v>590</v>
      </c>
      <c r="E708">
        <v>4502484</v>
      </c>
      <c r="F708">
        <v>2104880</v>
      </c>
      <c r="G708" t="s">
        <v>577</v>
      </c>
      <c r="H708" t="s">
        <v>1122</v>
      </c>
      <c r="I708">
        <v>10</v>
      </c>
      <c r="J708" t="b">
        <v>1</v>
      </c>
      <c r="K708">
        <v>2.5</v>
      </c>
      <c r="L708">
        <v>2106200</v>
      </c>
      <c r="M708" t="s">
        <v>579</v>
      </c>
      <c r="N708">
        <v>4</v>
      </c>
      <c r="O708">
        <v>4</v>
      </c>
      <c r="P708"/>
      <c r="Q708">
        <v>134907</v>
      </c>
      <c r="R708">
        <v>1</v>
      </c>
      <c r="S708" t="s">
        <v>40</v>
      </c>
      <c r="T708">
        <v>261</v>
      </c>
      <c r="U708">
        <v>147664</v>
      </c>
      <c r="V708">
        <v>24</v>
      </c>
      <c r="W708" t="s">
        <v>40</v>
      </c>
      <c r="X708">
        <v>261</v>
      </c>
      <c r="Y708" t="s">
        <v>377</v>
      </c>
      <c r="Z708" t="s">
        <v>378</v>
      </c>
      <c r="AA708" t="s">
        <v>379</v>
      </c>
      <c r="AB708" t="s">
        <v>384</v>
      </c>
      <c r="AC708" t="s">
        <v>41</v>
      </c>
      <c r="AD708" t="s">
        <v>41</v>
      </c>
      <c r="AE708" t="s">
        <v>41</v>
      </c>
      <c r="AF708" t="s">
        <v>41</v>
      </c>
      <c r="AK708"/>
    </row>
    <row r="709" spans="1:37" x14ac:dyDescent="0.25">
      <c r="A709" t="s">
        <v>38</v>
      </c>
      <c r="B709">
        <v>45966.890185185184</v>
      </c>
      <c r="C709">
        <v>91951</v>
      </c>
      <c r="D709" t="s">
        <v>590</v>
      </c>
      <c r="E709">
        <v>4502485</v>
      </c>
      <c r="F709">
        <v>2104880</v>
      </c>
      <c r="G709" t="s">
        <v>577</v>
      </c>
      <c r="H709" t="s">
        <v>1122</v>
      </c>
      <c r="I709">
        <v>10</v>
      </c>
      <c r="J709" t="b">
        <v>1</v>
      </c>
      <c r="K709">
        <v>2</v>
      </c>
      <c r="L709">
        <v>2106200</v>
      </c>
      <c r="M709" t="s">
        <v>579</v>
      </c>
      <c r="N709">
        <v>5</v>
      </c>
      <c r="O709">
        <v>5</v>
      </c>
      <c r="P709"/>
      <c r="Q709">
        <v>134907</v>
      </c>
      <c r="R709">
        <v>1</v>
      </c>
      <c r="S709" t="s">
        <v>40</v>
      </c>
      <c r="T709">
        <v>261</v>
      </c>
      <c r="U709">
        <v>147664</v>
      </c>
      <c r="V709">
        <v>24</v>
      </c>
      <c r="W709" t="s">
        <v>40</v>
      </c>
      <c r="X709">
        <v>261</v>
      </c>
      <c r="Y709" t="s">
        <v>377</v>
      </c>
      <c r="Z709" t="s">
        <v>378</v>
      </c>
      <c r="AA709" t="s">
        <v>379</v>
      </c>
      <c r="AB709" t="s">
        <v>559</v>
      </c>
      <c r="AC709" t="s">
        <v>41</v>
      </c>
      <c r="AD709" t="s">
        <v>41</v>
      </c>
      <c r="AE709" t="s">
        <v>41</v>
      </c>
      <c r="AF709" t="s">
        <v>41</v>
      </c>
      <c r="AK709"/>
    </row>
    <row r="710" spans="1:37" x14ac:dyDescent="0.25">
      <c r="A710" t="s">
        <v>39</v>
      </c>
      <c r="B710">
        <v>45967.085914351854</v>
      </c>
      <c r="C710">
        <v>90707</v>
      </c>
      <c r="D710" t="s">
        <v>590</v>
      </c>
      <c r="E710">
        <v>4501085</v>
      </c>
      <c r="F710">
        <v>2105800</v>
      </c>
      <c r="G710" t="s">
        <v>1112</v>
      </c>
      <c r="H710" t="s">
        <v>979</v>
      </c>
      <c r="I710">
        <v>10</v>
      </c>
      <c r="J710" t="b">
        <v>1</v>
      </c>
      <c r="K710">
        <v>3.6496350364963501E-2</v>
      </c>
      <c r="L710">
        <v>2107051</v>
      </c>
      <c r="M710" t="s">
        <v>1113</v>
      </c>
      <c r="N710">
        <v>274</v>
      </c>
      <c r="O710">
        <v>339</v>
      </c>
      <c r="P710"/>
      <c r="Q710">
        <v>134976</v>
      </c>
      <c r="R710">
        <v>1</v>
      </c>
      <c r="S710" t="s">
        <v>40</v>
      </c>
      <c r="T710">
        <v>261</v>
      </c>
      <c r="W710"/>
      <c r="Y710" t="s">
        <v>377</v>
      </c>
      <c r="Z710" t="s">
        <v>378</v>
      </c>
      <c r="AA710" t="s">
        <v>379</v>
      </c>
      <c r="AB710" t="s">
        <v>593</v>
      </c>
      <c r="AC710" t="s">
        <v>41</v>
      </c>
      <c r="AD710" t="s">
        <v>41</v>
      </c>
      <c r="AE710" t="s">
        <v>41</v>
      </c>
      <c r="AF710" t="s">
        <v>41</v>
      </c>
      <c r="AK710"/>
    </row>
    <row r="711" spans="1:37" x14ac:dyDescent="0.25">
      <c r="A711" t="s">
        <v>37</v>
      </c>
      <c r="B711">
        <v>45967.204710648148</v>
      </c>
      <c r="C711">
        <v>89576</v>
      </c>
      <c r="D711" t="s">
        <v>590</v>
      </c>
      <c r="E711">
        <v>4501005</v>
      </c>
      <c r="F711">
        <v>2104854</v>
      </c>
      <c r="G711" t="s">
        <v>1123</v>
      </c>
      <c r="H711" t="s">
        <v>1004</v>
      </c>
      <c r="I711">
        <v>10</v>
      </c>
      <c r="J711" t="b">
        <v>1</v>
      </c>
      <c r="K711">
        <v>2.5</v>
      </c>
      <c r="L711">
        <v>2106172</v>
      </c>
      <c r="M711" t="s">
        <v>1124</v>
      </c>
      <c r="N711">
        <v>4</v>
      </c>
      <c r="O711">
        <v>4</v>
      </c>
      <c r="P711"/>
      <c r="Q711">
        <v>134907</v>
      </c>
      <c r="R711">
        <v>1</v>
      </c>
      <c r="S711" t="s">
        <v>40</v>
      </c>
      <c r="T711">
        <v>261</v>
      </c>
      <c r="U711">
        <v>147664</v>
      </c>
      <c r="V711">
        <v>24</v>
      </c>
      <c r="W711" t="s">
        <v>40</v>
      </c>
      <c r="X711">
        <v>261</v>
      </c>
      <c r="Y711" t="s">
        <v>377</v>
      </c>
      <c r="Z711" t="s">
        <v>378</v>
      </c>
      <c r="AA711" t="s">
        <v>379</v>
      </c>
      <c r="AB711" t="s">
        <v>384</v>
      </c>
      <c r="AC711" t="s">
        <v>41</v>
      </c>
      <c r="AD711" t="s">
        <v>41</v>
      </c>
      <c r="AE711" t="s">
        <v>41</v>
      </c>
      <c r="AF711" t="s">
        <v>41</v>
      </c>
      <c r="AK711"/>
    </row>
    <row r="712" spans="1:37" x14ac:dyDescent="0.25">
      <c r="A712" t="s">
        <v>37</v>
      </c>
      <c r="B712">
        <v>45967.218784722223</v>
      </c>
      <c r="C712">
        <v>89576</v>
      </c>
      <c r="D712" t="s">
        <v>590</v>
      </c>
      <c r="E712">
        <v>4501006</v>
      </c>
      <c r="F712">
        <v>2104854</v>
      </c>
      <c r="G712" t="s">
        <v>1123</v>
      </c>
      <c r="H712" t="s">
        <v>1004</v>
      </c>
      <c r="I712">
        <v>10</v>
      </c>
      <c r="J712" t="b">
        <v>1</v>
      </c>
      <c r="K712">
        <v>1.25</v>
      </c>
      <c r="L712">
        <v>2106172</v>
      </c>
      <c r="M712" t="s">
        <v>1124</v>
      </c>
      <c r="N712">
        <v>8</v>
      </c>
      <c r="O712">
        <v>8</v>
      </c>
      <c r="P712"/>
      <c r="Q712">
        <v>134907</v>
      </c>
      <c r="R712">
        <v>1</v>
      </c>
      <c r="S712" t="s">
        <v>40</v>
      </c>
      <c r="T712">
        <v>261</v>
      </c>
      <c r="U712">
        <v>147664</v>
      </c>
      <c r="V712">
        <v>24</v>
      </c>
      <c r="W712" t="s">
        <v>40</v>
      </c>
      <c r="X712">
        <v>261</v>
      </c>
      <c r="Y712" t="s">
        <v>377</v>
      </c>
      <c r="Z712" t="s">
        <v>378</v>
      </c>
      <c r="AA712" t="s">
        <v>379</v>
      </c>
      <c r="AB712" t="s">
        <v>400</v>
      </c>
      <c r="AC712" t="s">
        <v>41</v>
      </c>
      <c r="AD712" t="s">
        <v>41</v>
      </c>
      <c r="AE712" t="s">
        <v>41</v>
      </c>
      <c r="AF712" t="s">
        <v>41</v>
      </c>
      <c r="AK712"/>
    </row>
    <row r="713" spans="1:37" x14ac:dyDescent="0.25">
      <c r="A713" t="s">
        <v>47</v>
      </c>
      <c r="B713">
        <v>45967.372199074074</v>
      </c>
      <c r="C713">
        <v>92546</v>
      </c>
      <c r="D713" t="s">
        <v>646</v>
      </c>
      <c r="E713">
        <v>4497437</v>
      </c>
      <c r="F713">
        <v>2310135</v>
      </c>
      <c r="G713" t="s">
        <v>1052</v>
      </c>
      <c r="H713" t="s">
        <v>1089</v>
      </c>
      <c r="I713">
        <v>64.25</v>
      </c>
      <c r="J713" t="b">
        <v>1</v>
      </c>
      <c r="K713">
        <v>0.16348600508905853</v>
      </c>
      <c r="L713">
        <v>2310136</v>
      </c>
      <c r="M713" t="s">
        <v>1053</v>
      </c>
      <c r="N713">
        <v>393</v>
      </c>
      <c r="O713">
        <v>400</v>
      </c>
      <c r="P713"/>
      <c r="Q713">
        <v>134974</v>
      </c>
      <c r="R713">
        <v>1</v>
      </c>
      <c r="S713" t="s">
        <v>40</v>
      </c>
      <c r="T713">
        <v>261</v>
      </c>
      <c r="W713"/>
      <c r="Y713" t="s">
        <v>377</v>
      </c>
      <c r="Z713" t="s">
        <v>378</v>
      </c>
      <c r="AA713" t="s">
        <v>379</v>
      </c>
      <c r="AB713" t="s">
        <v>1125</v>
      </c>
      <c r="AC713" t="s">
        <v>41</v>
      </c>
      <c r="AD713" t="s">
        <v>41</v>
      </c>
      <c r="AE713" t="s">
        <v>41</v>
      </c>
      <c r="AF713" t="s">
        <v>41</v>
      </c>
      <c r="AK713"/>
    </row>
    <row r="714" spans="1:37" x14ac:dyDescent="0.25">
      <c r="A714" t="s">
        <v>39</v>
      </c>
      <c r="B714">
        <v>45967.479201388887</v>
      </c>
      <c r="C714">
        <v>91952</v>
      </c>
      <c r="D714" t="s">
        <v>646</v>
      </c>
      <c r="E714">
        <v>4502489</v>
      </c>
      <c r="F714">
        <v>2104879</v>
      </c>
      <c r="G714" t="s">
        <v>556</v>
      </c>
      <c r="H714" t="s">
        <v>1126</v>
      </c>
      <c r="I714">
        <v>10</v>
      </c>
      <c r="J714" t="b">
        <v>1</v>
      </c>
      <c r="K714">
        <v>1.1111111111111112</v>
      </c>
      <c r="L714">
        <v>2106199</v>
      </c>
      <c r="M714" t="s">
        <v>558</v>
      </c>
      <c r="N714">
        <v>9</v>
      </c>
      <c r="O714">
        <v>9</v>
      </c>
      <c r="P714"/>
      <c r="Q714">
        <v>134971</v>
      </c>
      <c r="R714">
        <v>2</v>
      </c>
      <c r="S714" t="s">
        <v>40</v>
      </c>
      <c r="T714">
        <v>261</v>
      </c>
      <c r="U714">
        <v>147664</v>
      </c>
      <c r="V714">
        <v>48</v>
      </c>
      <c r="W714" t="s">
        <v>40</v>
      </c>
      <c r="X714">
        <v>261</v>
      </c>
      <c r="Y714" t="s">
        <v>377</v>
      </c>
      <c r="Z714" t="s">
        <v>378</v>
      </c>
      <c r="AA714" t="s">
        <v>379</v>
      </c>
      <c r="AB714" t="s">
        <v>559</v>
      </c>
      <c r="AC714" t="s">
        <v>379</v>
      </c>
      <c r="AD714" t="s">
        <v>384</v>
      </c>
      <c r="AE714" t="s">
        <v>41</v>
      </c>
      <c r="AF714" t="s">
        <v>41</v>
      </c>
      <c r="AK714"/>
    </row>
    <row r="715" spans="1:37" x14ac:dyDescent="0.25">
      <c r="A715" t="s">
        <v>39</v>
      </c>
      <c r="B715">
        <v>45967.505104166667</v>
      </c>
      <c r="C715">
        <v>91952</v>
      </c>
      <c r="D715" t="s">
        <v>646</v>
      </c>
      <c r="E715">
        <v>4502489</v>
      </c>
      <c r="F715">
        <v>2104879</v>
      </c>
      <c r="G715" t="s">
        <v>556</v>
      </c>
      <c r="H715" t="s">
        <v>1126</v>
      </c>
      <c r="I715">
        <v>10</v>
      </c>
      <c r="J715" t="b">
        <v>1</v>
      </c>
      <c r="K715">
        <v>2</v>
      </c>
      <c r="L715">
        <v>2106199</v>
      </c>
      <c r="M715" t="s">
        <v>558</v>
      </c>
      <c r="N715">
        <v>5</v>
      </c>
      <c r="O715">
        <v>5</v>
      </c>
      <c r="P715"/>
      <c r="Q715">
        <v>134971</v>
      </c>
      <c r="R715">
        <v>1</v>
      </c>
      <c r="S715" t="s">
        <v>40</v>
      </c>
      <c r="T715">
        <v>261</v>
      </c>
      <c r="U715">
        <v>147664</v>
      </c>
      <c r="V715">
        <v>24</v>
      </c>
      <c r="W715" t="s">
        <v>40</v>
      </c>
      <c r="X715">
        <v>261</v>
      </c>
      <c r="Y715" t="s">
        <v>377</v>
      </c>
      <c r="Z715" t="s">
        <v>378</v>
      </c>
      <c r="AA715" t="s">
        <v>379</v>
      </c>
      <c r="AB715" t="s">
        <v>559</v>
      </c>
      <c r="AC715" t="s">
        <v>41</v>
      </c>
      <c r="AD715" t="s">
        <v>41</v>
      </c>
      <c r="AE715" t="s">
        <v>41</v>
      </c>
      <c r="AF715" t="s">
        <v>41</v>
      </c>
      <c r="AK715"/>
    </row>
    <row r="716" spans="1:37" x14ac:dyDescent="0.25">
      <c r="A716" t="s">
        <v>39</v>
      </c>
      <c r="B716">
        <v>45967.506192129629</v>
      </c>
      <c r="C716">
        <v>91952</v>
      </c>
      <c r="D716" t="s">
        <v>646</v>
      </c>
      <c r="E716">
        <v>4502488</v>
      </c>
      <c r="F716">
        <v>2104879</v>
      </c>
      <c r="G716" t="s">
        <v>556</v>
      </c>
      <c r="H716" t="s">
        <v>1126</v>
      </c>
      <c r="I716">
        <v>0</v>
      </c>
      <c r="J716" t="b">
        <v>1</v>
      </c>
      <c r="K716">
        <v>0</v>
      </c>
      <c r="L716">
        <v>2106199</v>
      </c>
      <c r="M716" t="s">
        <v>558</v>
      </c>
      <c r="N716">
        <v>4</v>
      </c>
      <c r="O716">
        <v>4</v>
      </c>
      <c r="P716"/>
      <c r="Q716">
        <v>134971</v>
      </c>
      <c r="R716">
        <v>1</v>
      </c>
      <c r="S716" t="s">
        <v>40</v>
      </c>
      <c r="T716">
        <v>261</v>
      </c>
      <c r="U716">
        <v>147664</v>
      </c>
      <c r="V716">
        <v>24</v>
      </c>
      <c r="W716" t="s">
        <v>40</v>
      </c>
      <c r="X716">
        <v>261</v>
      </c>
      <c r="Y716" t="s">
        <v>377</v>
      </c>
      <c r="Z716" t="s">
        <v>378</v>
      </c>
      <c r="AA716" t="s">
        <v>379</v>
      </c>
      <c r="AB716" t="s">
        <v>384</v>
      </c>
      <c r="AC716" t="s">
        <v>41</v>
      </c>
      <c r="AD716" t="s">
        <v>41</v>
      </c>
      <c r="AE716" t="s">
        <v>41</v>
      </c>
      <c r="AF716" t="s">
        <v>41</v>
      </c>
      <c r="AK716"/>
    </row>
    <row r="717" spans="1:37" x14ac:dyDescent="0.25">
      <c r="A717" t="s">
        <v>42</v>
      </c>
      <c r="B717">
        <v>45967.709490740737</v>
      </c>
      <c r="C717">
        <v>92471</v>
      </c>
      <c r="D717" t="s">
        <v>646</v>
      </c>
      <c r="E717">
        <v>4501953</v>
      </c>
      <c r="F717">
        <v>2310393</v>
      </c>
      <c r="G717" t="s">
        <v>1127</v>
      </c>
      <c r="H717" t="s">
        <v>1128</v>
      </c>
      <c r="I717">
        <v>10</v>
      </c>
      <c r="J717" t="b">
        <v>1</v>
      </c>
      <c r="K717">
        <v>5.2083333333333336E-2</v>
      </c>
      <c r="L717">
        <v>2310394</v>
      </c>
      <c r="M717" t="s">
        <v>1129</v>
      </c>
      <c r="N717">
        <v>192</v>
      </c>
      <c r="O717">
        <v>192</v>
      </c>
      <c r="P717"/>
      <c r="Q717">
        <v>134974</v>
      </c>
      <c r="R717">
        <v>1</v>
      </c>
      <c r="S717" t="s">
        <v>40</v>
      </c>
      <c r="T717">
        <v>261</v>
      </c>
      <c r="W717"/>
      <c r="Y717" t="s">
        <v>377</v>
      </c>
      <c r="Z717" t="s">
        <v>378</v>
      </c>
      <c r="AA717" t="s">
        <v>379</v>
      </c>
      <c r="AB717" t="s">
        <v>944</v>
      </c>
      <c r="AC717" t="s">
        <v>41</v>
      </c>
      <c r="AD717" t="s">
        <v>41</v>
      </c>
      <c r="AE717" t="s">
        <v>41</v>
      </c>
      <c r="AF717" t="s">
        <v>41</v>
      </c>
      <c r="AK717"/>
    </row>
    <row r="718" spans="1:37" x14ac:dyDescent="0.25">
      <c r="A718" t="s">
        <v>37</v>
      </c>
      <c r="B718">
        <v>45968.129965277774</v>
      </c>
      <c r="C718">
        <v>90708</v>
      </c>
      <c r="D718" t="s">
        <v>590</v>
      </c>
      <c r="E718">
        <v>4501085</v>
      </c>
      <c r="F718">
        <v>2105800</v>
      </c>
      <c r="G718" t="s">
        <v>1112</v>
      </c>
      <c r="H718" t="s">
        <v>979</v>
      </c>
      <c r="I718">
        <v>10</v>
      </c>
      <c r="J718" t="b">
        <v>1</v>
      </c>
      <c r="K718">
        <v>6.5789473684210523E-2</v>
      </c>
      <c r="L718">
        <v>2107051</v>
      </c>
      <c r="M718" t="s">
        <v>1113</v>
      </c>
      <c r="N718">
        <v>152</v>
      </c>
      <c r="O718">
        <v>56</v>
      </c>
      <c r="P718"/>
      <c r="Q718">
        <v>134974</v>
      </c>
      <c r="R718">
        <v>1</v>
      </c>
      <c r="S718" t="s">
        <v>40</v>
      </c>
      <c r="T718">
        <v>261</v>
      </c>
      <c r="W718"/>
      <c r="Y718" t="s">
        <v>377</v>
      </c>
      <c r="Z718" t="s">
        <v>378</v>
      </c>
      <c r="AA718" t="s">
        <v>379</v>
      </c>
      <c r="AB718" t="s">
        <v>1130</v>
      </c>
      <c r="AC718" t="s">
        <v>41</v>
      </c>
      <c r="AD718" t="s">
        <v>41</v>
      </c>
      <c r="AE718" t="s">
        <v>41</v>
      </c>
      <c r="AF718" t="s">
        <v>41</v>
      </c>
      <c r="AK718"/>
    </row>
    <row r="719" spans="1:37" x14ac:dyDescent="0.25">
      <c r="A719" t="s">
        <v>47</v>
      </c>
      <c r="B719">
        <v>45968.131481481483</v>
      </c>
      <c r="C719">
        <v>92472</v>
      </c>
      <c r="D719" t="s">
        <v>590</v>
      </c>
      <c r="E719">
        <v>4501851</v>
      </c>
      <c r="F719">
        <v>2116561</v>
      </c>
      <c r="G719" t="s">
        <v>1131</v>
      </c>
      <c r="H719" t="s">
        <v>1128</v>
      </c>
      <c r="I719">
        <v>1.5</v>
      </c>
      <c r="J719" t="b">
        <v>1</v>
      </c>
      <c r="K719">
        <v>7.7720207253886009E-3</v>
      </c>
      <c r="L719">
        <v>2117710</v>
      </c>
      <c r="M719" t="s">
        <v>1132</v>
      </c>
      <c r="N719">
        <v>193</v>
      </c>
      <c r="O719">
        <v>176</v>
      </c>
      <c r="P719"/>
      <c r="Q719">
        <v>134976</v>
      </c>
      <c r="R719">
        <v>1</v>
      </c>
      <c r="S719" t="s">
        <v>40</v>
      </c>
      <c r="T719">
        <v>261</v>
      </c>
      <c r="W719"/>
      <c r="Y719" t="s">
        <v>377</v>
      </c>
      <c r="Z719" t="s">
        <v>378</v>
      </c>
      <c r="AA719" t="s">
        <v>379</v>
      </c>
      <c r="AB719" t="s">
        <v>1133</v>
      </c>
      <c r="AC719" t="s">
        <v>41</v>
      </c>
      <c r="AD719" t="s">
        <v>41</v>
      </c>
      <c r="AE719" t="s">
        <v>41</v>
      </c>
      <c r="AF719" t="s">
        <v>41</v>
      </c>
      <c r="AK719"/>
    </row>
    <row r="720" spans="1:37" x14ac:dyDescent="0.25">
      <c r="A720" t="s">
        <v>39</v>
      </c>
      <c r="B720">
        <v>45968.132754629631</v>
      </c>
      <c r="C720">
        <v>91953</v>
      </c>
      <c r="D720" t="s">
        <v>590</v>
      </c>
      <c r="E720">
        <v>4502490</v>
      </c>
      <c r="F720">
        <v>2104879</v>
      </c>
      <c r="G720" t="s">
        <v>556</v>
      </c>
      <c r="H720" t="s">
        <v>1134</v>
      </c>
      <c r="I720">
        <v>10</v>
      </c>
      <c r="J720" t="b">
        <v>1</v>
      </c>
      <c r="K720">
        <v>2.5</v>
      </c>
      <c r="L720">
        <v>2106199</v>
      </c>
      <c r="M720" t="s">
        <v>558</v>
      </c>
      <c r="N720">
        <v>4</v>
      </c>
      <c r="O720">
        <v>4</v>
      </c>
      <c r="P720"/>
      <c r="Q720">
        <v>134971</v>
      </c>
      <c r="R720">
        <v>1</v>
      </c>
      <c r="S720" t="s">
        <v>40</v>
      </c>
      <c r="T720">
        <v>261</v>
      </c>
      <c r="U720">
        <v>147664</v>
      </c>
      <c r="V720">
        <v>24</v>
      </c>
      <c r="W720" t="s">
        <v>40</v>
      </c>
      <c r="X720">
        <v>261</v>
      </c>
      <c r="Y720" t="s">
        <v>377</v>
      </c>
      <c r="Z720" t="s">
        <v>378</v>
      </c>
      <c r="AA720" t="s">
        <v>379</v>
      </c>
      <c r="AB720" t="s">
        <v>384</v>
      </c>
      <c r="AC720" t="s">
        <v>41</v>
      </c>
      <c r="AD720" t="s">
        <v>41</v>
      </c>
      <c r="AE720" t="s">
        <v>41</v>
      </c>
      <c r="AF720" t="s">
        <v>41</v>
      </c>
      <c r="AK720"/>
    </row>
    <row r="721" spans="1:37" x14ac:dyDescent="0.25">
      <c r="A721" t="s">
        <v>39</v>
      </c>
      <c r="B721">
        <v>45968.134016203701</v>
      </c>
      <c r="C721">
        <v>91953</v>
      </c>
      <c r="D721" t="s">
        <v>590</v>
      </c>
      <c r="E721">
        <v>4502491</v>
      </c>
      <c r="F721">
        <v>2104879</v>
      </c>
      <c r="G721" t="s">
        <v>556</v>
      </c>
      <c r="H721" t="s">
        <v>1134</v>
      </c>
      <c r="I721">
        <v>10</v>
      </c>
      <c r="J721" t="b">
        <v>1</v>
      </c>
      <c r="K721">
        <v>2</v>
      </c>
      <c r="L721">
        <v>2106199</v>
      </c>
      <c r="M721" t="s">
        <v>558</v>
      </c>
      <c r="N721">
        <v>5</v>
      </c>
      <c r="O721">
        <v>5</v>
      </c>
      <c r="P721"/>
      <c r="Q721">
        <v>134907</v>
      </c>
      <c r="R721">
        <v>1</v>
      </c>
      <c r="S721" t="s">
        <v>40</v>
      </c>
      <c r="T721">
        <v>261</v>
      </c>
      <c r="U721">
        <v>147664</v>
      </c>
      <c r="V721">
        <v>24</v>
      </c>
      <c r="W721" t="s">
        <v>40</v>
      </c>
      <c r="X721">
        <v>261</v>
      </c>
      <c r="Y721" t="s">
        <v>377</v>
      </c>
      <c r="Z721" t="s">
        <v>378</v>
      </c>
      <c r="AA721" t="s">
        <v>379</v>
      </c>
      <c r="AB721" t="s">
        <v>559</v>
      </c>
      <c r="AC721" t="s">
        <v>41</v>
      </c>
      <c r="AD721" t="s">
        <v>41</v>
      </c>
      <c r="AE721" t="s">
        <v>41</v>
      </c>
      <c r="AF721" t="s">
        <v>41</v>
      </c>
      <c r="AK721"/>
    </row>
    <row r="722" spans="1:37" x14ac:dyDescent="0.25">
      <c r="A722" t="s">
        <v>38</v>
      </c>
      <c r="B722">
        <v>45968.502766203703</v>
      </c>
      <c r="C722">
        <v>91179</v>
      </c>
      <c r="D722" t="s">
        <v>401</v>
      </c>
      <c r="E722">
        <v>4495273</v>
      </c>
      <c r="F722">
        <v>2304758</v>
      </c>
      <c r="G722" t="s">
        <v>402</v>
      </c>
      <c r="H722" t="s">
        <v>1135</v>
      </c>
      <c r="I722">
        <v>14</v>
      </c>
      <c r="J722" t="b">
        <v>0</v>
      </c>
      <c r="K722">
        <v>1.75</v>
      </c>
      <c r="L722">
        <v>2304759</v>
      </c>
      <c r="M722" t="s">
        <v>404</v>
      </c>
      <c r="N722">
        <v>8</v>
      </c>
      <c r="O722">
        <v>8</v>
      </c>
      <c r="P722"/>
      <c r="Q722">
        <v>155687</v>
      </c>
      <c r="R722">
        <v>2</v>
      </c>
      <c r="S722" t="s">
        <v>40</v>
      </c>
      <c r="T722">
        <v>261</v>
      </c>
      <c r="U722">
        <v>147664</v>
      </c>
      <c r="V722">
        <v>48</v>
      </c>
      <c r="W722" t="s">
        <v>40</v>
      </c>
      <c r="X722">
        <v>261</v>
      </c>
      <c r="Y722" t="s">
        <v>377</v>
      </c>
      <c r="Z722" t="s">
        <v>378</v>
      </c>
      <c r="AA722" t="s">
        <v>384</v>
      </c>
      <c r="AB722" t="s">
        <v>384</v>
      </c>
      <c r="AC722" t="s">
        <v>41</v>
      </c>
      <c r="AD722" t="s">
        <v>41</v>
      </c>
      <c r="AE722" t="s">
        <v>41</v>
      </c>
      <c r="AF722" t="s">
        <v>41</v>
      </c>
      <c r="AK722"/>
    </row>
    <row r="723" spans="1:37" x14ac:dyDescent="0.25">
      <c r="A723" t="s">
        <v>47</v>
      </c>
      <c r="B723">
        <v>45968.83697916667</v>
      </c>
      <c r="C723">
        <v>92468</v>
      </c>
      <c r="D723" t="s">
        <v>745</v>
      </c>
      <c r="E723">
        <v>4501733</v>
      </c>
      <c r="F723">
        <v>2105623</v>
      </c>
      <c r="G723" t="s">
        <v>1136</v>
      </c>
      <c r="H723" t="s">
        <v>1128</v>
      </c>
      <c r="I723">
        <v>10</v>
      </c>
      <c r="J723" t="b">
        <v>1</v>
      </c>
      <c r="K723">
        <v>5.9880239520958084E-2</v>
      </c>
      <c r="L723">
        <v>2106887</v>
      </c>
      <c r="M723" t="s">
        <v>1137</v>
      </c>
      <c r="N723">
        <v>167</v>
      </c>
      <c r="O723">
        <v>167</v>
      </c>
      <c r="P723"/>
      <c r="Q723">
        <v>134974</v>
      </c>
      <c r="R723">
        <v>1</v>
      </c>
      <c r="S723" t="s">
        <v>40</v>
      </c>
      <c r="T723">
        <v>261</v>
      </c>
      <c r="W723"/>
      <c r="Y723" t="s">
        <v>377</v>
      </c>
      <c r="Z723" t="s">
        <v>378</v>
      </c>
      <c r="AA723" t="s">
        <v>379</v>
      </c>
      <c r="AB723" t="s">
        <v>1138</v>
      </c>
      <c r="AC723" t="s">
        <v>41</v>
      </c>
      <c r="AD723" t="s">
        <v>41</v>
      </c>
      <c r="AE723" t="s">
        <v>41</v>
      </c>
      <c r="AF723" t="s">
        <v>41</v>
      </c>
      <c r="AK723"/>
    </row>
    <row r="724" spans="1:37" x14ac:dyDescent="0.25">
      <c r="A724" t="s">
        <v>44</v>
      </c>
      <c r="B724">
        <v>45968.881921296299</v>
      </c>
      <c r="C724">
        <v>89578</v>
      </c>
      <c r="D724" t="s">
        <v>745</v>
      </c>
      <c r="E724">
        <v>4501007</v>
      </c>
      <c r="F724">
        <v>2104854</v>
      </c>
      <c r="G724" t="s">
        <v>1123</v>
      </c>
      <c r="H724" t="s">
        <v>1084</v>
      </c>
      <c r="I724">
        <v>10</v>
      </c>
      <c r="J724" t="b">
        <v>1</v>
      </c>
      <c r="K724">
        <v>0.83333333333333337</v>
      </c>
      <c r="L724">
        <v>2106172</v>
      </c>
      <c r="M724" t="s">
        <v>1124</v>
      </c>
      <c r="N724">
        <v>12</v>
      </c>
      <c r="O724">
        <v>12</v>
      </c>
      <c r="P724"/>
      <c r="Q724">
        <v>134971</v>
      </c>
      <c r="R724">
        <v>2</v>
      </c>
      <c r="S724" t="s">
        <v>40</v>
      </c>
      <c r="T724">
        <v>261</v>
      </c>
      <c r="U724">
        <v>147664</v>
      </c>
      <c r="V724">
        <v>48</v>
      </c>
      <c r="W724" t="s">
        <v>40</v>
      </c>
      <c r="X724">
        <v>261</v>
      </c>
      <c r="Y724" t="s">
        <v>377</v>
      </c>
      <c r="Z724" t="s">
        <v>378</v>
      </c>
      <c r="AA724" t="s">
        <v>379</v>
      </c>
      <c r="AB724" t="s">
        <v>400</v>
      </c>
      <c r="AC724" t="s">
        <v>379</v>
      </c>
      <c r="AD724" t="s">
        <v>384</v>
      </c>
      <c r="AE724" t="s">
        <v>41</v>
      </c>
      <c r="AF724" t="s">
        <v>41</v>
      </c>
      <c r="AK724"/>
    </row>
    <row r="725" spans="1:37" x14ac:dyDescent="0.25">
      <c r="A725" t="s">
        <v>37</v>
      </c>
      <c r="B725">
        <v>45968.900578703702</v>
      </c>
      <c r="C725">
        <v>91954</v>
      </c>
      <c r="D725" t="s">
        <v>745</v>
      </c>
      <c r="E725">
        <v>4502481</v>
      </c>
      <c r="F725">
        <v>2104880</v>
      </c>
      <c r="G725" t="s">
        <v>577</v>
      </c>
      <c r="H725" t="s">
        <v>1139</v>
      </c>
      <c r="I725">
        <v>10</v>
      </c>
      <c r="J725" t="b">
        <v>1</v>
      </c>
      <c r="K725">
        <v>2</v>
      </c>
      <c r="L725">
        <v>2106200</v>
      </c>
      <c r="M725" t="s">
        <v>579</v>
      </c>
      <c r="N725">
        <v>5</v>
      </c>
      <c r="O725">
        <v>5</v>
      </c>
      <c r="P725"/>
      <c r="Q725">
        <v>134906</v>
      </c>
      <c r="R725">
        <v>1</v>
      </c>
      <c r="S725" t="s">
        <v>40</v>
      </c>
      <c r="T725">
        <v>261</v>
      </c>
      <c r="U725">
        <v>147664</v>
      </c>
      <c r="V725">
        <v>24</v>
      </c>
      <c r="W725" t="s">
        <v>40</v>
      </c>
      <c r="X725">
        <v>261</v>
      </c>
      <c r="Y725" t="s">
        <v>377</v>
      </c>
      <c r="Z725" t="s">
        <v>378</v>
      </c>
      <c r="AA725" t="s">
        <v>379</v>
      </c>
      <c r="AB725" t="s">
        <v>559</v>
      </c>
      <c r="AC725" t="s">
        <v>41</v>
      </c>
      <c r="AD725" t="s">
        <v>41</v>
      </c>
      <c r="AE725" t="s">
        <v>41</v>
      </c>
      <c r="AF725" t="s">
        <v>41</v>
      </c>
      <c r="AK725"/>
    </row>
    <row r="726" spans="1:37" x14ac:dyDescent="0.25">
      <c r="A726" t="s">
        <v>37</v>
      </c>
      <c r="B726">
        <v>45968.901192129626</v>
      </c>
      <c r="C726">
        <v>91954</v>
      </c>
      <c r="D726" t="s">
        <v>745</v>
      </c>
      <c r="E726">
        <v>4502481</v>
      </c>
      <c r="F726">
        <v>2104880</v>
      </c>
      <c r="G726" t="s">
        <v>577</v>
      </c>
      <c r="H726" t="s">
        <v>1139</v>
      </c>
      <c r="I726">
        <v>10</v>
      </c>
      <c r="J726" t="b">
        <v>1</v>
      </c>
      <c r="K726">
        <v>2.5</v>
      </c>
      <c r="L726">
        <v>2106200</v>
      </c>
      <c r="M726" t="s">
        <v>579</v>
      </c>
      <c r="N726">
        <v>4</v>
      </c>
      <c r="O726">
        <v>4</v>
      </c>
      <c r="P726"/>
      <c r="Q726">
        <v>134906</v>
      </c>
      <c r="R726">
        <v>1</v>
      </c>
      <c r="S726" t="s">
        <v>40</v>
      </c>
      <c r="T726">
        <v>261</v>
      </c>
      <c r="U726">
        <v>147664</v>
      </c>
      <c r="V726">
        <v>24</v>
      </c>
      <c r="W726" t="s">
        <v>40</v>
      </c>
      <c r="X726">
        <v>261</v>
      </c>
      <c r="Y726" t="s">
        <v>377</v>
      </c>
      <c r="Z726" t="s">
        <v>378</v>
      </c>
      <c r="AA726" t="s">
        <v>379</v>
      </c>
      <c r="AB726" t="s">
        <v>384</v>
      </c>
      <c r="AC726" t="s">
        <v>41</v>
      </c>
      <c r="AD726" t="s">
        <v>41</v>
      </c>
      <c r="AE726" t="s">
        <v>41</v>
      </c>
      <c r="AF726" t="s">
        <v>41</v>
      </c>
      <c r="AK726"/>
    </row>
    <row r="727" spans="1:37" x14ac:dyDescent="0.25">
      <c r="A727" t="s">
        <v>39</v>
      </c>
      <c r="B727">
        <v>45969.193935185183</v>
      </c>
      <c r="C727">
        <v>92474</v>
      </c>
      <c r="D727" t="s">
        <v>745</v>
      </c>
      <c r="E727">
        <v>4502359</v>
      </c>
      <c r="F727">
        <v>2310374</v>
      </c>
      <c r="G727" t="s">
        <v>1140</v>
      </c>
      <c r="H727" t="s">
        <v>1128</v>
      </c>
      <c r="I727">
        <v>10</v>
      </c>
      <c r="J727" t="b">
        <v>1</v>
      </c>
      <c r="K727">
        <v>4.3859649122807015E-2</v>
      </c>
      <c r="L727">
        <v>2310376</v>
      </c>
      <c r="M727" t="s">
        <v>1141</v>
      </c>
      <c r="N727">
        <v>228</v>
      </c>
      <c r="O727">
        <v>228</v>
      </c>
      <c r="P727"/>
      <c r="Q727">
        <v>134974</v>
      </c>
      <c r="R727">
        <v>1</v>
      </c>
      <c r="S727" t="s">
        <v>40</v>
      </c>
      <c r="T727">
        <v>261</v>
      </c>
      <c r="W727"/>
      <c r="Y727" t="s">
        <v>377</v>
      </c>
      <c r="Z727" t="s">
        <v>378</v>
      </c>
      <c r="AA727" t="s">
        <v>379</v>
      </c>
      <c r="AB727" t="s">
        <v>1142</v>
      </c>
      <c r="AC727" t="s">
        <v>41</v>
      </c>
      <c r="AD727" t="s">
        <v>41</v>
      </c>
      <c r="AE727" t="s">
        <v>41</v>
      </c>
      <c r="AF727" t="s">
        <v>41</v>
      </c>
      <c r="AK727"/>
    </row>
    <row r="728" spans="1:37" x14ac:dyDescent="0.25">
      <c r="A728" t="s">
        <v>38</v>
      </c>
      <c r="B728">
        <v>45969.273148148146</v>
      </c>
      <c r="C728">
        <v>91170</v>
      </c>
      <c r="D728" t="s">
        <v>459</v>
      </c>
      <c r="E728">
        <v>4499561</v>
      </c>
      <c r="F728">
        <v>120138</v>
      </c>
      <c r="G728" t="s">
        <v>911</v>
      </c>
      <c r="H728" t="s">
        <v>951</v>
      </c>
      <c r="I728">
        <v>14</v>
      </c>
      <c r="J728" t="b">
        <v>1</v>
      </c>
      <c r="K728">
        <v>1.75</v>
      </c>
      <c r="L728">
        <v>120139</v>
      </c>
      <c r="M728" t="s">
        <v>1092</v>
      </c>
      <c r="N728">
        <v>8</v>
      </c>
      <c r="O728">
        <v>7</v>
      </c>
      <c r="P728"/>
      <c r="Q728">
        <v>155687</v>
      </c>
      <c r="R728">
        <v>2</v>
      </c>
      <c r="S728" t="s">
        <v>40</v>
      </c>
      <c r="T728">
        <v>261</v>
      </c>
      <c r="U728">
        <v>147664</v>
      </c>
      <c r="V728">
        <v>48</v>
      </c>
      <c r="W728" t="s">
        <v>40</v>
      </c>
      <c r="X728">
        <v>261</v>
      </c>
      <c r="Y728" t="s">
        <v>377</v>
      </c>
      <c r="Z728" t="s">
        <v>378</v>
      </c>
      <c r="AA728" t="s">
        <v>384</v>
      </c>
      <c r="AB728" t="s">
        <v>384</v>
      </c>
      <c r="AC728" t="s">
        <v>41</v>
      </c>
      <c r="AD728" t="s">
        <v>41</v>
      </c>
      <c r="AE728" t="s">
        <v>41</v>
      </c>
      <c r="AF728" t="s">
        <v>41</v>
      </c>
      <c r="AK728"/>
    </row>
    <row r="729" spans="1:37" x14ac:dyDescent="0.25">
      <c r="A729" t="s">
        <v>43</v>
      </c>
      <c r="B729">
        <v>45969.578611111108</v>
      </c>
      <c r="C729">
        <v>92537</v>
      </c>
      <c r="D729" t="s">
        <v>459</v>
      </c>
      <c r="E729">
        <v>4497438</v>
      </c>
      <c r="F729">
        <v>2310135</v>
      </c>
      <c r="G729" t="s">
        <v>1052</v>
      </c>
      <c r="H729" t="s">
        <v>1114</v>
      </c>
      <c r="I729">
        <v>64.3</v>
      </c>
      <c r="J729" t="b">
        <v>1</v>
      </c>
      <c r="K729">
        <v>0.16075</v>
      </c>
      <c r="L729">
        <v>2310136</v>
      </c>
      <c r="M729" t="s">
        <v>1053</v>
      </c>
      <c r="N729">
        <v>400</v>
      </c>
      <c r="O729">
        <v>254</v>
      </c>
      <c r="P729"/>
      <c r="Q729">
        <v>134974</v>
      </c>
      <c r="R729">
        <v>1</v>
      </c>
      <c r="S729" t="s">
        <v>40</v>
      </c>
      <c r="T729">
        <v>261</v>
      </c>
      <c r="W729"/>
      <c r="Y729" t="s">
        <v>377</v>
      </c>
      <c r="Z729" t="s">
        <v>378</v>
      </c>
      <c r="AA729" t="s">
        <v>379</v>
      </c>
      <c r="AB729" t="s">
        <v>1079</v>
      </c>
      <c r="AC729" t="s">
        <v>41</v>
      </c>
      <c r="AD729" t="s">
        <v>41</v>
      </c>
      <c r="AE729" t="s">
        <v>41</v>
      </c>
      <c r="AF729" t="s">
        <v>41</v>
      </c>
      <c r="AK729"/>
    </row>
    <row r="730" spans="1:37" x14ac:dyDescent="0.25">
      <c r="A730" t="s">
        <v>37</v>
      </c>
      <c r="B730">
        <v>45969.601770833331</v>
      </c>
      <c r="C730">
        <v>91955</v>
      </c>
      <c r="D730" t="s">
        <v>459</v>
      </c>
      <c r="E730">
        <v>4502220</v>
      </c>
      <c r="F730">
        <v>2104880</v>
      </c>
      <c r="G730" t="s">
        <v>577</v>
      </c>
      <c r="H730" t="s">
        <v>1143</v>
      </c>
      <c r="I730">
        <v>10</v>
      </c>
      <c r="J730" t="b">
        <v>1</v>
      </c>
      <c r="K730">
        <v>2</v>
      </c>
      <c r="L730">
        <v>2106200</v>
      </c>
      <c r="M730" t="s">
        <v>579</v>
      </c>
      <c r="N730">
        <v>5</v>
      </c>
      <c r="O730">
        <v>8</v>
      </c>
      <c r="P730"/>
      <c r="Q730">
        <v>134905</v>
      </c>
      <c r="R730">
        <v>1</v>
      </c>
      <c r="S730" t="s">
        <v>40</v>
      </c>
      <c r="T730">
        <v>261</v>
      </c>
      <c r="U730">
        <v>147664</v>
      </c>
      <c r="V730">
        <v>24</v>
      </c>
      <c r="W730" t="s">
        <v>40</v>
      </c>
      <c r="X730">
        <v>261</v>
      </c>
      <c r="Y730" t="s">
        <v>377</v>
      </c>
      <c r="Z730" t="s">
        <v>378</v>
      </c>
      <c r="AA730" t="s">
        <v>379</v>
      </c>
      <c r="AB730" t="s">
        <v>559</v>
      </c>
      <c r="AC730" t="s">
        <v>41</v>
      </c>
      <c r="AD730" t="s">
        <v>41</v>
      </c>
      <c r="AE730" t="s">
        <v>41</v>
      </c>
      <c r="AF730" t="s">
        <v>41</v>
      </c>
      <c r="AK730"/>
    </row>
    <row r="731" spans="1:37" x14ac:dyDescent="0.25">
      <c r="A731" t="s">
        <v>37</v>
      </c>
      <c r="B731">
        <v>45969.602662037039</v>
      </c>
      <c r="C731">
        <v>91955</v>
      </c>
      <c r="D731" t="s">
        <v>459</v>
      </c>
      <c r="E731">
        <v>4502219</v>
      </c>
      <c r="F731">
        <v>2104880</v>
      </c>
      <c r="G731" t="s">
        <v>577</v>
      </c>
      <c r="H731" t="s">
        <v>1143</v>
      </c>
      <c r="I731">
        <v>10</v>
      </c>
      <c r="J731" t="b">
        <v>1</v>
      </c>
      <c r="K731">
        <v>2.5</v>
      </c>
      <c r="L731">
        <v>2106200</v>
      </c>
      <c r="M731" t="s">
        <v>579</v>
      </c>
      <c r="N731">
        <v>4</v>
      </c>
      <c r="O731">
        <v>4</v>
      </c>
      <c r="P731"/>
      <c r="Q731">
        <v>134905</v>
      </c>
      <c r="R731">
        <v>1</v>
      </c>
      <c r="S731" t="s">
        <v>40</v>
      </c>
      <c r="T731">
        <v>261</v>
      </c>
      <c r="U731">
        <v>147664</v>
      </c>
      <c r="V731">
        <v>24</v>
      </c>
      <c r="W731" t="s">
        <v>40</v>
      </c>
      <c r="X731">
        <v>261</v>
      </c>
      <c r="Y731" t="s">
        <v>377</v>
      </c>
      <c r="Z731" t="s">
        <v>378</v>
      </c>
      <c r="AA731" t="s">
        <v>379</v>
      </c>
      <c r="AB731" t="s">
        <v>384</v>
      </c>
      <c r="AC731" t="s">
        <v>41</v>
      </c>
      <c r="AD731" t="s">
        <v>41</v>
      </c>
      <c r="AE731" t="s">
        <v>41</v>
      </c>
      <c r="AF731" t="s">
        <v>41</v>
      </c>
      <c r="AK731"/>
    </row>
    <row r="732" spans="1:37" x14ac:dyDescent="0.25">
      <c r="A732" t="s">
        <v>42</v>
      </c>
      <c r="B732">
        <v>45969.70789351852</v>
      </c>
      <c r="C732">
        <v>89580</v>
      </c>
      <c r="D732" t="s">
        <v>459</v>
      </c>
      <c r="E732">
        <v>4501008</v>
      </c>
      <c r="F732">
        <v>2104854</v>
      </c>
      <c r="G732" t="s">
        <v>1123</v>
      </c>
      <c r="H732" t="s">
        <v>1089</v>
      </c>
      <c r="I732">
        <v>10</v>
      </c>
      <c r="J732" t="b">
        <v>1</v>
      </c>
      <c r="K732">
        <v>0.83333333333333337</v>
      </c>
      <c r="L732">
        <v>2106172</v>
      </c>
      <c r="M732" t="s">
        <v>1124</v>
      </c>
      <c r="N732">
        <v>12</v>
      </c>
      <c r="O732">
        <v>12</v>
      </c>
      <c r="P732"/>
      <c r="Q732">
        <v>134905</v>
      </c>
      <c r="R732">
        <v>2</v>
      </c>
      <c r="S732" t="s">
        <v>40</v>
      </c>
      <c r="T732">
        <v>261</v>
      </c>
      <c r="U732">
        <v>147664</v>
      </c>
      <c r="V732">
        <v>48</v>
      </c>
      <c r="W732" t="s">
        <v>40</v>
      </c>
      <c r="X732">
        <v>261</v>
      </c>
      <c r="Y732" t="s">
        <v>377</v>
      </c>
      <c r="Z732" t="s">
        <v>378</v>
      </c>
      <c r="AA732" t="s">
        <v>379</v>
      </c>
      <c r="AB732" t="s">
        <v>400</v>
      </c>
      <c r="AC732" t="s">
        <v>379</v>
      </c>
      <c r="AD732" t="s">
        <v>384</v>
      </c>
      <c r="AE732" t="s">
        <v>41</v>
      </c>
      <c r="AF732" t="s">
        <v>41</v>
      </c>
      <c r="AK732"/>
    </row>
    <row r="733" spans="1:37" x14ac:dyDescent="0.25">
      <c r="A733" t="s">
        <v>47</v>
      </c>
      <c r="B733">
        <v>45969.8591087963</v>
      </c>
      <c r="C733">
        <v>92477</v>
      </c>
      <c r="D733" t="s">
        <v>843</v>
      </c>
      <c r="E733">
        <v>4503226</v>
      </c>
      <c r="F733">
        <v>2310448</v>
      </c>
      <c r="G733" t="s">
        <v>1144</v>
      </c>
      <c r="H733" t="s">
        <v>1128</v>
      </c>
      <c r="I733">
        <v>2.5</v>
      </c>
      <c r="J733" t="b">
        <v>1</v>
      </c>
      <c r="K733">
        <v>1.4367816091954023E-2</v>
      </c>
      <c r="L733">
        <v>2310449</v>
      </c>
      <c r="M733" t="s">
        <v>1145</v>
      </c>
      <c r="N733">
        <v>174</v>
      </c>
      <c r="O733">
        <v>174</v>
      </c>
      <c r="P733"/>
      <c r="Q733">
        <v>134977</v>
      </c>
      <c r="R733">
        <v>1</v>
      </c>
      <c r="S733" t="s">
        <v>40</v>
      </c>
      <c r="T733">
        <v>261</v>
      </c>
      <c r="W733"/>
      <c r="Y733" t="s">
        <v>377</v>
      </c>
      <c r="Z733" t="s">
        <v>378</v>
      </c>
      <c r="AA733" t="s">
        <v>379</v>
      </c>
      <c r="AB733" t="s">
        <v>1146</v>
      </c>
      <c r="AC733" t="s">
        <v>41</v>
      </c>
      <c r="AD733" t="s">
        <v>41</v>
      </c>
      <c r="AE733" t="s">
        <v>41</v>
      </c>
      <c r="AF733" t="s">
        <v>41</v>
      </c>
      <c r="AK733"/>
    </row>
    <row r="734" spans="1:37" x14ac:dyDescent="0.25">
      <c r="A734" t="s">
        <v>37</v>
      </c>
      <c r="B734">
        <v>45970.223182870373</v>
      </c>
      <c r="C734">
        <v>90709</v>
      </c>
      <c r="D734" t="s">
        <v>843</v>
      </c>
      <c r="E734">
        <v>4501086</v>
      </c>
      <c r="F734">
        <v>2105800</v>
      </c>
      <c r="G734" t="s">
        <v>1112</v>
      </c>
      <c r="H734" t="s">
        <v>951</v>
      </c>
      <c r="I734">
        <v>10</v>
      </c>
      <c r="J734" t="b">
        <v>1</v>
      </c>
      <c r="K734">
        <v>5.1020408163265307E-2</v>
      </c>
      <c r="L734">
        <v>2107051</v>
      </c>
      <c r="M734" t="s">
        <v>1113</v>
      </c>
      <c r="N734">
        <v>196</v>
      </c>
      <c r="O734">
        <v>391</v>
      </c>
      <c r="P734"/>
      <c r="Q734">
        <v>134976</v>
      </c>
      <c r="R734">
        <v>1</v>
      </c>
      <c r="S734" t="s">
        <v>40</v>
      </c>
      <c r="T734">
        <v>261</v>
      </c>
      <c r="W734"/>
      <c r="Y734" t="s">
        <v>377</v>
      </c>
      <c r="Z734" t="s">
        <v>378</v>
      </c>
      <c r="AA734" t="s">
        <v>379</v>
      </c>
      <c r="AB734" t="s">
        <v>860</v>
      </c>
      <c r="AC734" t="s">
        <v>41</v>
      </c>
      <c r="AD734" t="s">
        <v>41</v>
      </c>
      <c r="AE734" t="s">
        <v>41</v>
      </c>
      <c r="AF734" t="s">
        <v>41</v>
      </c>
      <c r="AK734"/>
    </row>
    <row r="735" spans="1:37" x14ac:dyDescent="0.25">
      <c r="A735" t="s">
        <v>43</v>
      </c>
      <c r="B735">
        <v>45970.238368055558</v>
      </c>
      <c r="C735">
        <v>90711</v>
      </c>
      <c r="D735" t="s">
        <v>843</v>
      </c>
      <c r="E735">
        <v>4501086</v>
      </c>
      <c r="F735">
        <v>2105800</v>
      </c>
      <c r="G735" t="s">
        <v>1112</v>
      </c>
      <c r="H735" t="s">
        <v>951</v>
      </c>
      <c r="I735">
        <v>10</v>
      </c>
      <c r="J735" t="b">
        <v>1</v>
      </c>
      <c r="K735">
        <v>5.128205128205128E-2</v>
      </c>
      <c r="L735">
        <v>2107051</v>
      </c>
      <c r="M735" t="s">
        <v>1113</v>
      </c>
      <c r="N735">
        <v>195</v>
      </c>
      <c r="O735">
        <v>195</v>
      </c>
      <c r="P735"/>
      <c r="Q735">
        <v>134976</v>
      </c>
      <c r="R735">
        <v>1</v>
      </c>
      <c r="S735" t="s">
        <v>40</v>
      </c>
      <c r="T735">
        <v>261</v>
      </c>
      <c r="W735"/>
      <c r="Y735" t="s">
        <v>377</v>
      </c>
      <c r="Z735" t="s">
        <v>378</v>
      </c>
      <c r="AA735" t="s">
        <v>379</v>
      </c>
      <c r="AB735" t="s">
        <v>1147</v>
      </c>
      <c r="AC735" t="s">
        <v>41</v>
      </c>
      <c r="AD735" t="s">
        <v>41</v>
      </c>
      <c r="AE735" t="s">
        <v>41</v>
      </c>
      <c r="AF735" t="s">
        <v>41</v>
      </c>
      <c r="AK735"/>
    </row>
    <row r="736" spans="1:37" x14ac:dyDescent="0.25">
      <c r="A736" t="s">
        <v>39</v>
      </c>
      <c r="B736">
        <v>45970.452245370368</v>
      </c>
      <c r="C736">
        <v>91956</v>
      </c>
      <c r="D736" t="s">
        <v>560</v>
      </c>
      <c r="E736">
        <v>4502210</v>
      </c>
      <c r="F736">
        <v>2104882</v>
      </c>
      <c r="G736" t="s">
        <v>1148</v>
      </c>
      <c r="H736" t="s">
        <v>924</v>
      </c>
      <c r="I736">
        <v>10</v>
      </c>
      <c r="J736" t="b">
        <v>1</v>
      </c>
      <c r="K736">
        <v>2.5</v>
      </c>
      <c r="L736">
        <v>2106202</v>
      </c>
      <c r="M736" t="s">
        <v>1149</v>
      </c>
      <c r="N736">
        <v>4</v>
      </c>
      <c r="O736">
        <v>4</v>
      </c>
      <c r="P736"/>
      <c r="Q736">
        <v>134905</v>
      </c>
      <c r="R736">
        <v>1</v>
      </c>
      <c r="S736" t="s">
        <v>40</v>
      </c>
      <c r="T736">
        <v>261</v>
      </c>
      <c r="U736">
        <v>147664</v>
      </c>
      <c r="V736">
        <v>24</v>
      </c>
      <c r="W736" t="s">
        <v>40</v>
      </c>
      <c r="X736">
        <v>261</v>
      </c>
      <c r="Y736" t="s">
        <v>377</v>
      </c>
      <c r="Z736" t="s">
        <v>378</v>
      </c>
      <c r="AA736" t="s">
        <v>379</v>
      </c>
      <c r="AB736" t="s">
        <v>384</v>
      </c>
      <c r="AC736" t="s">
        <v>41</v>
      </c>
      <c r="AD736" t="s">
        <v>41</v>
      </c>
      <c r="AE736" t="s">
        <v>41</v>
      </c>
      <c r="AF736" t="s">
        <v>41</v>
      </c>
      <c r="AK736"/>
    </row>
    <row r="737" spans="1:38" x14ac:dyDescent="0.25">
      <c r="A737" t="s">
        <v>39</v>
      </c>
      <c r="B737">
        <v>45970.452974537038</v>
      </c>
      <c r="C737">
        <v>91956</v>
      </c>
      <c r="D737" t="s">
        <v>560</v>
      </c>
      <c r="E737">
        <v>4502211</v>
      </c>
      <c r="F737">
        <v>2104882</v>
      </c>
      <c r="G737" t="s">
        <v>1148</v>
      </c>
      <c r="H737" t="s">
        <v>924</v>
      </c>
      <c r="I737">
        <v>5</v>
      </c>
      <c r="J737" t="b">
        <v>1</v>
      </c>
      <c r="K737">
        <v>1</v>
      </c>
      <c r="L737">
        <v>2106202</v>
      </c>
      <c r="M737" t="s">
        <v>1149</v>
      </c>
      <c r="N737">
        <v>5</v>
      </c>
      <c r="O737">
        <v>5</v>
      </c>
      <c r="P737"/>
      <c r="Q737">
        <v>134905</v>
      </c>
      <c r="R737">
        <v>1</v>
      </c>
      <c r="S737" t="s">
        <v>40</v>
      </c>
      <c r="T737">
        <v>261</v>
      </c>
      <c r="U737">
        <v>147664</v>
      </c>
      <c r="V737">
        <v>24</v>
      </c>
      <c r="W737" t="s">
        <v>40</v>
      </c>
      <c r="X737">
        <v>261</v>
      </c>
      <c r="Y737" t="s">
        <v>377</v>
      </c>
      <c r="Z737" t="s">
        <v>378</v>
      </c>
      <c r="AA737" t="s">
        <v>379</v>
      </c>
      <c r="AB737" t="s">
        <v>559</v>
      </c>
      <c r="AC737" t="s">
        <v>41</v>
      </c>
      <c r="AD737" t="s">
        <v>41</v>
      </c>
      <c r="AE737" t="s">
        <v>41</v>
      </c>
      <c r="AF737" t="s">
        <v>41</v>
      </c>
      <c r="AK737"/>
    </row>
    <row r="738" spans="1:38" x14ac:dyDescent="0.25">
      <c r="A738" t="s">
        <v>44</v>
      </c>
      <c r="B738">
        <v>45970.480578703704</v>
      </c>
      <c r="C738">
        <v>91182</v>
      </c>
      <c r="D738" t="s">
        <v>560</v>
      </c>
      <c r="E738">
        <v>4495274</v>
      </c>
      <c r="F738">
        <v>2304758</v>
      </c>
      <c r="G738" t="s">
        <v>402</v>
      </c>
      <c r="H738" t="s">
        <v>1150</v>
      </c>
      <c r="I738">
        <v>14</v>
      </c>
      <c r="J738" t="b">
        <v>1</v>
      </c>
      <c r="K738">
        <v>1.75</v>
      </c>
      <c r="L738">
        <v>2304759</v>
      </c>
      <c r="M738" t="s">
        <v>404</v>
      </c>
      <c r="N738">
        <v>8</v>
      </c>
      <c r="O738">
        <v>8</v>
      </c>
      <c r="P738"/>
      <c r="Q738">
        <v>155687</v>
      </c>
      <c r="R738">
        <v>2</v>
      </c>
      <c r="S738" t="s">
        <v>40</v>
      </c>
      <c r="T738">
        <v>261</v>
      </c>
      <c r="U738">
        <v>147664</v>
      </c>
      <c r="V738">
        <v>48</v>
      </c>
      <c r="W738" t="s">
        <v>40</v>
      </c>
      <c r="X738">
        <v>261</v>
      </c>
      <c r="Y738" t="s">
        <v>377</v>
      </c>
      <c r="Z738" t="s">
        <v>378</v>
      </c>
      <c r="AA738" t="s">
        <v>384</v>
      </c>
      <c r="AB738" t="s">
        <v>384</v>
      </c>
      <c r="AC738" t="s">
        <v>41</v>
      </c>
      <c r="AD738" t="s">
        <v>41</v>
      </c>
      <c r="AE738" t="s">
        <v>41</v>
      </c>
      <c r="AF738" t="s">
        <v>41</v>
      </c>
      <c r="AK738"/>
    </row>
    <row r="739" spans="1:38" x14ac:dyDescent="0.25">
      <c r="A739" t="s">
        <v>42</v>
      </c>
      <c r="B739">
        <v>45970.557662037034</v>
      </c>
      <c r="C739">
        <v>89582</v>
      </c>
      <c r="D739" t="s">
        <v>560</v>
      </c>
      <c r="E739">
        <v>4502333</v>
      </c>
      <c r="F739">
        <v>150819</v>
      </c>
      <c r="G739" t="s">
        <v>458</v>
      </c>
      <c r="H739" t="s">
        <v>959</v>
      </c>
      <c r="I739">
        <v>10</v>
      </c>
      <c r="J739" t="b">
        <v>1</v>
      </c>
      <c r="K739">
        <v>0.83333333333333337</v>
      </c>
      <c r="L739">
        <v>150820</v>
      </c>
      <c r="M739" t="s">
        <v>454</v>
      </c>
      <c r="N739">
        <v>12</v>
      </c>
      <c r="O739">
        <v>12</v>
      </c>
      <c r="P739"/>
      <c r="Q739">
        <v>134907</v>
      </c>
      <c r="R739">
        <v>2</v>
      </c>
      <c r="S739" t="s">
        <v>40</v>
      </c>
      <c r="T739">
        <v>261</v>
      </c>
      <c r="U739">
        <v>147664</v>
      </c>
      <c r="V739">
        <v>48</v>
      </c>
      <c r="W739" t="s">
        <v>40</v>
      </c>
      <c r="X739">
        <v>261</v>
      </c>
      <c r="Y739" t="s">
        <v>377</v>
      </c>
      <c r="Z739" t="s">
        <v>378</v>
      </c>
      <c r="AA739" t="s">
        <v>379</v>
      </c>
      <c r="AB739" t="s">
        <v>384</v>
      </c>
      <c r="AC739" t="s">
        <v>379</v>
      </c>
      <c r="AD739" t="s">
        <v>400</v>
      </c>
      <c r="AE739" t="s">
        <v>41</v>
      </c>
      <c r="AF739" t="s">
        <v>41</v>
      </c>
      <c r="AK739"/>
    </row>
    <row r="740" spans="1:38" x14ac:dyDescent="0.25">
      <c r="A740" t="s">
        <v>45</v>
      </c>
      <c r="B740">
        <v>45970.673680555556</v>
      </c>
      <c r="C740">
        <v>92549</v>
      </c>
      <c r="D740" t="s">
        <v>560</v>
      </c>
      <c r="E740">
        <v>4497439</v>
      </c>
      <c r="F740">
        <v>2310135</v>
      </c>
      <c r="G740" t="s">
        <v>1052</v>
      </c>
      <c r="H740" t="s">
        <v>1013</v>
      </c>
      <c r="I740">
        <v>64.25</v>
      </c>
      <c r="J740" t="b">
        <v>1</v>
      </c>
      <c r="K740">
        <v>0.16474358974358974</v>
      </c>
      <c r="L740">
        <v>2310136</v>
      </c>
      <c r="M740" t="s">
        <v>1053</v>
      </c>
      <c r="N740">
        <v>390</v>
      </c>
      <c r="O740">
        <v>400</v>
      </c>
      <c r="P740"/>
      <c r="Q740">
        <v>134974</v>
      </c>
      <c r="R740">
        <v>1</v>
      </c>
      <c r="S740" t="s">
        <v>40</v>
      </c>
      <c r="T740">
        <v>261</v>
      </c>
      <c r="W740"/>
      <c r="Y740" t="s">
        <v>377</v>
      </c>
      <c r="Z740" t="s">
        <v>378</v>
      </c>
      <c r="AA740" t="s">
        <v>379</v>
      </c>
      <c r="AB740" t="s">
        <v>1151</v>
      </c>
      <c r="AC740" t="s">
        <v>41</v>
      </c>
      <c r="AD740" t="s">
        <v>41</v>
      </c>
      <c r="AE740" t="s">
        <v>41</v>
      </c>
      <c r="AF740" t="s">
        <v>41</v>
      </c>
      <c r="AK740"/>
    </row>
    <row r="741" spans="1:38" x14ac:dyDescent="0.25">
      <c r="A741" t="s">
        <v>38</v>
      </c>
      <c r="B741">
        <v>45970.942858796298</v>
      </c>
      <c r="C741">
        <v>92480</v>
      </c>
      <c r="D741" t="s">
        <v>682</v>
      </c>
      <c r="E741">
        <v>4503250</v>
      </c>
      <c r="F741">
        <v>121962</v>
      </c>
      <c r="G741" t="s">
        <v>1152</v>
      </c>
      <c r="H741" t="s">
        <v>1128</v>
      </c>
      <c r="I741">
        <v>5</v>
      </c>
      <c r="J741" t="b">
        <v>1</v>
      </c>
      <c r="K741">
        <v>2.0242914979757085E-2</v>
      </c>
      <c r="L741">
        <v>121964</v>
      </c>
      <c r="M741" t="s">
        <v>1153</v>
      </c>
      <c r="N741">
        <v>247</v>
      </c>
      <c r="O741">
        <v>247</v>
      </c>
      <c r="P741"/>
      <c r="Q741">
        <v>0</v>
      </c>
      <c r="R741">
        <v>0</v>
      </c>
      <c r="S741" t="s">
        <v>40</v>
      </c>
      <c r="T741">
        <v>261</v>
      </c>
      <c r="W741"/>
      <c r="Y741" t="s">
        <v>377</v>
      </c>
      <c r="Z741" t="s">
        <v>378</v>
      </c>
      <c r="AA741" t="s">
        <v>379</v>
      </c>
      <c r="AB741" t="s">
        <v>1154</v>
      </c>
      <c r="AC741" t="s">
        <v>41</v>
      </c>
      <c r="AD741" t="s">
        <v>41</v>
      </c>
      <c r="AE741" t="s">
        <v>41</v>
      </c>
      <c r="AF741" t="s">
        <v>41</v>
      </c>
      <c r="AK741"/>
    </row>
    <row r="742" spans="1:38" x14ac:dyDescent="0.25">
      <c r="A742" t="s">
        <v>42</v>
      </c>
      <c r="B742">
        <v>45971.029282407406</v>
      </c>
      <c r="C742">
        <v>92481</v>
      </c>
      <c r="D742" t="s">
        <v>682</v>
      </c>
      <c r="E742">
        <v>4503250</v>
      </c>
      <c r="F742">
        <v>121962</v>
      </c>
      <c r="G742" t="s">
        <v>1152</v>
      </c>
      <c r="H742" t="s">
        <v>1128</v>
      </c>
      <c r="I742">
        <v>5</v>
      </c>
      <c r="J742" t="b">
        <v>1</v>
      </c>
      <c r="K742">
        <v>2.9239766081871343E-2</v>
      </c>
      <c r="L742">
        <v>121964</v>
      </c>
      <c r="M742" t="s">
        <v>1153</v>
      </c>
      <c r="N742">
        <v>171</v>
      </c>
      <c r="O742">
        <v>171</v>
      </c>
      <c r="P742"/>
      <c r="Q742">
        <v>0</v>
      </c>
      <c r="R742">
        <v>0</v>
      </c>
      <c r="S742" t="s">
        <v>40</v>
      </c>
      <c r="T742">
        <v>261</v>
      </c>
      <c r="W742"/>
      <c r="Y742" t="s">
        <v>377</v>
      </c>
      <c r="Z742" t="s">
        <v>378</v>
      </c>
      <c r="AA742" t="s">
        <v>379</v>
      </c>
      <c r="AB742" t="s">
        <v>1155</v>
      </c>
      <c r="AC742" t="s">
        <v>41</v>
      </c>
      <c r="AD742" t="s">
        <v>41</v>
      </c>
      <c r="AE742" t="s">
        <v>41</v>
      </c>
      <c r="AF742" t="s">
        <v>41</v>
      </c>
      <c r="AK742"/>
    </row>
    <row r="743" spans="1:38" x14ac:dyDescent="0.25">
      <c r="A743" t="s">
        <v>47</v>
      </c>
      <c r="B743">
        <v>45971.203657407408</v>
      </c>
      <c r="C743">
        <v>90710</v>
      </c>
      <c r="D743" t="s">
        <v>682</v>
      </c>
      <c r="E743">
        <v>4501087</v>
      </c>
      <c r="F743">
        <v>2105800</v>
      </c>
      <c r="G743" t="s">
        <v>1112</v>
      </c>
      <c r="H743" t="s">
        <v>924</v>
      </c>
      <c r="I743">
        <v>10</v>
      </c>
      <c r="J743" t="b">
        <v>1</v>
      </c>
      <c r="K743">
        <v>7.1428571428571425E-2</v>
      </c>
      <c r="L743">
        <v>2107051</v>
      </c>
      <c r="M743" t="s">
        <v>1113</v>
      </c>
      <c r="N743">
        <v>140</v>
      </c>
      <c r="O743">
        <v>140</v>
      </c>
      <c r="P743"/>
      <c r="Q743">
        <v>134974</v>
      </c>
      <c r="R743">
        <v>1</v>
      </c>
      <c r="S743" t="s">
        <v>40</v>
      </c>
      <c r="T743">
        <v>261</v>
      </c>
      <c r="W743"/>
      <c r="Y743" t="s">
        <v>377</v>
      </c>
      <c r="Z743" t="s">
        <v>378</v>
      </c>
      <c r="AA743" t="s">
        <v>379</v>
      </c>
      <c r="AB743" t="s">
        <v>1105</v>
      </c>
      <c r="AC743" t="s">
        <v>41</v>
      </c>
      <c r="AD743" t="s">
        <v>41</v>
      </c>
      <c r="AE743" t="s">
        <v>41</v>
      </c>
      <c r="AF743" t="s">
        <v>41</v>
      </c>
      <c r="AK743"/>
    </row>
    <row r="744" spans="1:38" x14ac:dyDescent="0.25">
      <c r="A744" t="s">
        <v>43</v>
      </c>
      <c r="B744">
        <v>45971.389965277776</v>
      </c>
      <c r="C744">
        <v>91959</v>
      </c>
      <c r="D744" t="s">
        <v>866</v>
      </c>
      <c r="E744">
        <v>4502211</v>
      </c>
      <c r="F744">
        <v>2104882</v>
      </c>
      <c r="G744" t="s">
        <v>1148</v>
      </c>
      <c r="H744" t="s">
        <v>951</v>
      </c>
      <c r="I744">
        <v>10</v>
      </c>
      <c r="J744" t="b">
        <v>1</v>
      </c>
      <c r="K744">
        <v>2</v>
      </c>
      <c r="L744">
        <v>2106202</v>
      </c>
      <c r="M744" t="s">
        <v>1149</v>
      </c>
      <c r="N744">
        <v>5</v>
      </c>
      <c r="O744">
        <v>5</v>
      </c>
      <c r="P744"/>
      <c r="Q744">
        <v>134905</v>
      </c>
      <c r="R744">
        <v>1</v>
      </c>
      <c r="S744" t="s">
        <v>40</v>
      </c>
      <c r="T744">
        <v>261</v>
      </c>
      <c r="U744">
        <v>147664</v>
      </c>
      <c r="V744">
        <v>24</v>
      </c>
      <c r="W744" t="s">
        <v>40</v>
      </c>
      <c r="X744">
        <v>261</v>
      </c>
      <c r="Y744" t="s">
        <v>377</v>
      </c>
      <c r="Z744" t="s">
        <v>378</v>
      </c>
      <c r="AA744" t="s">
        <v>379</v>
      </c>
      <c r="AB744" t="s">
        <v>559</v>
      </c>
      <c r="AC744" t="s">
        <v>41</v>
      </c>
      <c r="AD744" t="s">
        <v>41</v>
      </c>
      <c r="AE744" t="s">
        <v>41</v>
      </c>
      <c r="AF744" t="s">
        <v>41</v>
      </c>
      <c r="AK744"/>
    </row>
    <row r="745" spans="1:38" x14ac:dyDescent="0.25">
      <c r="A745" t="s">
        <v>43</v>
      </c>
      <c r="B745">
        <v>45971.39167824074</v>
      </c>
      <c r="C745">
        <v>91959</v>
      </c>
      <c r="D745" t="s">
        <v>866</v>
      </c>
      <c r="E745">
        <v>4502210</v>
      </c>
      <c r="F745">
        <v>2104882</v>
      </c>
      <c r="G745" t="s">
        <v>1148</v>
      </c>
      <c r="H745" t="s">
        <v>951</v>
      </c>
      <c r="I745">
        <v>10</v>
      </c>
      <c r="J745" t="b">
        <v>1</v>
      </c>
      <c r="K745">
        <v>2.5</v>
      </c>
      <c r="L745">
        <v>2106202</v>
      </c>
      <c r="M745" t="s">
        <v>1149</v>
      </c>
      <c r="N745">
        <v>4</v>
      </c>
      <c r="O745">
        <v>4</v>
      </c>
      <c r="P745"/>
      <c r="Q745">
        <v>134905</v>
      </c>
      <c r="R745">
        <v>1</v>
      </c>
      <c r="S745" t="s">
        <v>40</v>
      </c>
      <c r="T745">
        <v>261</v>
      </c>
      <c r="U745">
        <v>147664</v>
      </c>
      <c r="V745">
        <v>24</v>
      </c>
      <c r="W745" t="s">
        <v>40</v>
      </c>
      <c r="X745">
        <v>261</v>
      </c>
      <c r="Y745" t="s">
        <v>377</v>
      </c>
      <c r="Z745" t="s">
        <v>378</v>
      </c>
      <c r="AA745" t="s">
        <v>379</v>
      </c>
      <c r="AB745" t="s">
        <v>384</v>
      </c>
      <c r="AC745" t="s">
        <v>41</v>
      </c>
      <c r="AD745" t="s">
        <v>41</v>
      </c>
      <c r="AE745" t="s">
        <v>41</v>
      </c>
      <c r="AF745" t="s">
        <v>41</v>
      </c>
      <c r="AK745"/>
    </row>
    <row r="746" spans="1:38" x14ac:dyDescent="0.25">
      <c r="A746" t="s">
        <v>39</v>
      </c>
      <c r="B746">
        <v>45971.426215277781</v>
      </c>
      <c r="C746">
        <v>89583</v>
      </c>
      <c r="D746" t="s">
        <v>866</v>
      </c>
      <c r="E746">
        <v>4502334</v>
      </c>
      <c r="F746">
        <v>150819</v>
      </c>
      <c r="G746" t="s">
        <v>458</v>
      </c>
      <c r="H746" t="s">
        <v>962</v>
      </c>
      <c r="I746">
        <v>10</v>
      </c>
      <c r="J746" t="b">
        <v>1</v>
      </c>
      <c r="K746">
        <v>0.83333333333333337</v>
      </c>
      <c r="L746">
        <v>150820</v>
      </c>
      <c r="M746" t="s">
        <v>454</v>
      </c>
      <c r="N746">
        <v>12</v>
      </c>
      <c r="O746">
        <v>12</v>
      </c>
      <c r="P746"/>
      <c r="Q746">
        <v>134907</v>
      </c>
      <c r="R746">
        <v>1</v>
      </c>
      <c r="S746" t="s">
        <v>40</v>
      </c>
      <c r="T746">
        <v>261</v>
      </c>
      <c r="U746">
        <v>147664</v>
      </c>
      <c r="V746">
        <v>48</v>
      </c>
      <c r="W746" t="s">
        <v>40</v>
      </c>
      <c r="X746">
        <v>261</v>
      </c>
      <c r="Y746" t="s">
        <v>377</v>
      </c>
      <c r="Z746" t="s">
        <v>378</v>
      </c>
      <c r="AA746" t="s">
        <v>379</v>
      </c>
      <c r="AB746" t="s">
        <v>400</v>
      </c>
      <c r="AC746" t="s">
        <v>379</v>
      </c>
      <c r="AD746" t="s">
        <v>384</v>
      </c>
      <c r="AE746" t="s">
        <v>41</v>
      </c>
      <c r="AF746" t="s">
        <v>41</v>
      </c>
      <c r="AI746">
        <v>134907</v>
      </c>
      <c r="AJ746">
        <v>1</v>
      </c>
      <c r="AK746" t="s">
        <v>40</v>
      </c>
      <c r="AL746">
        <v>261</v>
      </c>
    </row>
    <row r="747" spans="1:38" x14ac:dyDescent="0.25">
      <c r="A747" t="s">
        <v>37</v>
      </c>
      <c r="B747">
        <v>45971.482245370367</v>
      </c>
      <c r="C747">
        <v>92478</v>
      </c>
      <c r="D747" t="s">
        <v>866</v>
      </c>
      <c r="E747">
        <v>4503366</v>
      </c>
      <c r="F747">
        <v>2310393</v>
      </c>
      <c r="G747" t="s">
        <v>1127</v>
      </c>
      <c r="H747" t="s">
        <v>1156</v>
      </c>
      <c r="I747">
        <v>10</v>
      </c>
      <c r="J747" t="b">
        <v>1</v>
      </c>
      <c r="K747">
        <v>0.04</v>
      </c>
      <c r="L747">
        <v>2310394</v>
      </c>
      <c r="M747" t="s">
        <v>1129</v>
      </c>
      <c r="N747">
        <v>250</v>
      </c>
      <c r="O747">
        <v>195</v>
      </c>
      <c r="P747"/>
      <c r="Q747">
        <v>134974</v>
      </c>
      <c r="R747">
        <v>1</v>
      </c>
      <c r="S747" t="s">
        <v>40</v>
      </c>
      <c r="T747">
        <v>261</v>
      </c>
      <c r="W747"/>
      <c r="Y747" t="s">
        <v>377</v>
      </c>
      <c r="Z747" t="s">
        <v>378</v>
      </c>
      <c r="AA747" t="s">
        <v>379</v>
      </c>
      <c r="AB747" t="s">
        <v>396</v>
      </c>
      <c r="AC747" t="s">
        <v>41</v>
      </c>
      <c r="AD747" t="s">
        <v>41</v>
      </c>
      <c r="AE747" t="s">
        <v>41</v>
      </c>
      <c r="AF747" t="s">
        <v>41</v>
      </c>
      <c r="AK747"/>
    </row>
    <row r="748" spans="1:38" x14ac:dyDescent="0.25">
      <c r="A748" t="s">
        <v>43</v>
      </c>
      <c r="B748">
        <v>45971.841689814813</v>
      </c>
      <c r="C748">
        <v>92482</v>
      </c>
      <c r="D748" t="s">
        <v>745</v>
      </c>
      <c r="E748">
        <v>4503251</v>
      </c>
      <c r="F748">
        <v>121962</v>
      </c>
      <c r="G748" t="s">
        <v>1152</v>
      </c>
      <c r="H748" t="s">
        <v>1156</v>
      </c>
      <c r="I748">
        <v>5</v>
      </c>
      <c r="J748" t="b">
        <v>1</v>
      </c>
      <c r="K748">
        <v>1.2285012285012284E-2</v>
      </c>
      <c r="L748">
        <v>121964</v>
      </c>
      <c r="M748" t="s">
        <v>1153</v>
      </c>
      <c r="N748">
        <v>407</v>
      </c>
      <c r="O748">
        <v>407</v>
      </c>
      <c r="P748"/>
      <c r="Q748">
        <v>0</v>
      </c>
      <c r="R748">
        <v>0</v>
      </c>
      <c r="S748" t="s">
        <v>40</v>
      </c>
      <c r="T748">
        <v>261</v>
      </c>
      <c r="W748"/>
      <c r="Y748" t="s">
        <v>377</v>
      </c>
      <c r="Z748" t="s">
        <v>378</v>
      </c>
      <c r="AA748" t="s">
        <v>379</v>
      </c>
      <c r="AB748" t="s">
        <v>1157</v>
      </c>
      <c r="AC748" t="s">
        <v>41</v>
      </c>
      <c r="AD748" t="s">
        <v>41</v>
      </c>
      <c r="AE748" t="s">
        <v>41</v>
      </c>
      <c r="AF748" t="s">
        <v>41</v>
      </c>
      <c r="AK748"/>
    </row>
    <row r="749" spans="1:38" x14ac:dyDescent="0.25">
      <c r="A749" t="s">
        <v>42</v>
      </c>
      <c r="B749">
        <v>45971.959687499999</v>
      </c>
      <c r="C749">
        <v>91186</v>
      </c>
      <c r="D749" t="s">
        <v>745</v>
      </c>
      <c r="E749">
        <v>4502497</v>
      </c>
      <c r="F749">
        <v>156316</v>
      </c>
      <c r="G749" t="s">
        <v>899</v>
      </c>
      <c r="H749" t="s">
        <v>986</v>
      </c>
      <c r="I749">
        <v>14</v>
      </c>
      <c r="J749" t="b">
        <v>1</v>
      </c>
      <c r="K749">
        <v>3.5</v>
      </c>
      <c r="L749">
        <v>156315</v>
      </c>
      <c r="M749" t="s">
        <v>901</v>
      </c>
      <c r="N749">
        <v>4</v>
      </c>
      <c r="O749">
        <v>4</v>
      </c>
      <c r="P749"/>
      <c r="Q749">
        <v>134905</v>
      </c>
      <c r="R749">
        <v>1</v>
      </c>
      <c r="S749" t="s">
        <v>40</v>
      </c>
      <c r="T749">
        <v>261</v>
      </c>
      <c r="U749">
        <v>147664</v>
      </c>
      <c r="V749">
        <v>24</v>
      </c>
      <c r="W749" t="s">
        <v>40</v>
      </c>
      <c r="X749">
        <v>261</v>
      </c>
      <c r="Y749" t="s">
        <v>377</v>
      </c>
      <c r="Z749" t="s">
        <v>378</v>
      </c>
      <c r="AA749" t="s">
        <v>379</v>
      </c>
      <c r="AB749" t="s">
        <v>384</v>
      </c>
      <c r="AC749" t="s">
        <v>41</v>
      </c>
      <c r="AD749" t="s">
        <v>41</v>
      </c>
      <c r="AE749" t="s">
        <v>41</v>
      </c>
      <c r="AF749" t="s">
        <v>41</v>
      </c>
      <c r="AK749"/>
    </row>
    <row r="750" spans="1:38" x14ac:dyDescent="0.25">
      <c r="A750" t="s">
        <v>42</v>
      </c>
      <c r="B750">
        <v>45971.960300925923</v>
      </c>
      <c r="C750">
        <v>91186</v>
      </c>
      <c r="D750" t="s">
        <v>745</v>
      </c>
      <c r="E750">
        <v>4502496</v>
      </c>
      <c r="F750">
        <v>156316</v>
      </c>
      <c r="G750" t="s">
        <v>899</v>
      </c>
      <c r="H750" t="s">
        <v>986</v>
      </c>
      <c r="I750">
        <v>14</v>
      </c>
      <c r="J750" t="b">
        <v>1</v>
      </c>
      <c r="K750">
        <v>3.5</v>
      </c>
      <c r="L750">
        <v>156315</v>
      </c>
      <c r="M750" t="s">
        <v>901</v>
      </c>
      <c r="N750">
        <v>4</v>
      </c>
      <c r="O750">
        <v>4</v>
      </c>
      <c r="P750"/>
      <c r="Q750">
        <v>134905</v>
      </c>
      <c r="R750">
        <v>1</v>
      </c>
      <c r="S750" t="s">
        <v>40</v>
      </c>
      <c r="T750">
        <v>261</v>
      </c>
      <c r="U750">
        <v>147664</v>
      </c>
      <c r="V750">
        <v>24</v>
      </c>
      <c r="W750" t="s">
        <v>40</v>
      </c>
      <c r="X750">
        <v>261</v>
      </c>
      <c r="Y750" t="s">
        <v>377</v>
      </c>
      <c r="Z750" t="s">
        <v>378</v>
      </c>
      <c r="AA750" t="s">
        <v>379</v>
      </c>
      <c r="AB750" t="s">
        <v>384</v>
      </c>
      <c r="AC750" t="s">
        <v>41</v>
      </c>
      <c r="AD750" t="s">
        <v>41</v>
      </c>
      <c r="AE750" t="s">
        <v>41</v>
      </c>
      <c r="AF750" t="s">
        <v>41</v>
      </c>
      <c r="AK750"/>
    </row>
    <row r="751" spans="1:38" x14ac:dyDescent="0.25">
      <c r="A751" t="s">
        <v>48</v>
      </c>
      <c r="B751">
        <v>45971.998842592591</v>
      </c>
      <c r="C751">
        <v>92550</v>
      </c>
      <c r="D751" t="s">
        <v>745</v>
      </c>
      <c r="E751">
        <v>4497440</v>
      </c>
      <c r="F751">
        <v>2310135</v>
      </c>
      <c r="G751" t="s">
        <v>1052</v>
      </c>
      <c r="H751" t="s">
        <v>1018</v>
      </c>
      <c r="I751">
        <v>64.3</v>
      </c>
      <c r="J751" t="b">
        <v>1</v>
      </c>
      <c r="K751">
        <v>0.15798525798525798</v>
      </c>
      <c r="L751">
        <v>2310136</v>
      </c>
      <c r="M751" t="s">
        <v>1053</v>
      </c>
      <c r="N751">
        <v>407</v>
      </c>
      <c r="O751">
        <v>407</v>
      </c>
      <c r="P751"/>
      <c r="Q751">
        <v>134908</v>
      </c>
      <c r="R751">
        <v>1</v>
      </c>
      <c r="S751" t="s">
        <v>40</v>
      </c>
      <c r="T751">
        <v>261</v>
      </c>
      <c r="U751">
        <v>147664</v>
      </c>
      <c r="V751">
        <v>24</v>
      </c>
      <c r="W751" t="s">
        <v>40</v>
      </c>
      <c r="X751">
        <v>261</v>
      </c>
      <c r="Y751" t="s">
        <v>377</v>
      </c>
      <c r="Z751" t="s">
        <v>378</v>
      </c>
      <c r="AA751" t="s">
        <v>379</v>
      </c>
      <c r="AB751" t="s">
        <v>1157</v>
      </c>
      <c r="AC751" t="s">
        <v>41</v>
      </c>
      <c r="AD751" t="s">
        <v>41</v>
      </c>
      <c r="AE751" t="s">
        <v>41</v>
      </c>
      <c r="AF751" t="s">
        <v>41</v>
      </c>
      <c r="AK751"/>
    </row>
    <row r="752" spans="1:38" x14ac:dyDescent="0.25">
      <c r="A752" t="s">
        <v>39</v>
      </c>
      <c r="B752">
        <v>45972.013009259259</v>
      </c>
      <c r="C752">
        <v>90712</v>
      </c>
      <c r="D752" t="s">
        <v>745</v>
      </c>
      <c r="E752">
        <v>4501087</v>
      </c>
      <c r="F752">
        <v>2105800</v>
      </c>
      <c r="G752" t="s">
        <v>1112</v>
      </c>
      <c r="H752" t="s">
        <v>924</v>
      </c>
      <c r="I752">
        <v>10</v>
      </c>
      <c r="J752" t="b">
        <v>1</v>
      </c>
      <c r="K752">
        <v>5.0251256281407038E-2</v>
      </c>
      <c r="L752">
        <v>2107051</v>
      </c>
      <c r="M752" t="s">
        <v>1113</v>
      </c>
      <c r="N752">
        <v>199</v>
      </c>
      <c r="O752">
        <v>199</v>
      </c>
      <c r="P752"/>
      <c r="Q752">
        <v>134976</v>
      </c>
      <c r="R752">
        <v>1</v>
      </c>
      <c r="S752" t="s">
        <v>40</v>
      </c>
      <c r="T752">
        <v>261</v>
      </c>
      <c r="W752"/>
      <c r="Y752" t="s">
        <v>377</v>
      </c>
      <c r="Z752" t="s">
        <v>378</v>
      </c>
      <c r="AA752" t="s">
        <v>379</v>
      </c>
      <c r="AB752" t="s">
        <v>1158</v>
      </c>
      <c r="AC752" t="s">
        <v>41</v>
      </c>
      <c r="AD752" t="s">
        <v>41</v>
      </c>
      <c r="AE752" t="s">
        <v>41</v>
      </c>
      <c r="AF752" t="s">
        <v>41</v>
      </c>
      <c r="AK752"/>
    </row>
    <row r="753" spans="1:38" x14ac:dyDescent="0.25">
      <c r="A753" t="s">
        <v>44</v>
      </c>
      <c r="B753">
        <v>45972.308958333335</v>
      </c>
      <c r="C753">
        <v>91957</v>
      </c>
      <c r="D753" t="s">
        <v>889</v>
      </c>
      <c r="E753">
        <v>4503166</v>
      </c>
      <c r="F753">
        <v>2104879</v>
      </c>
      <c r="G753" t="s">
        <v>556</v>
      </c>
      <c r="H753" t="s">
        <v>1159</v>
      </c>
      <c r="I753">
        <v>5</v>
      </c>
      <c r="J753" t="b">
        <v>1</v>
      </c>
      <c r="K753">
        <v>1.25</v>
      </c>
      <c r="L753">
        <v>2106199</v>
      </c>
      <c r="M753" t="s">
        <v>558</v>
      </c>
      <c r="N753">
        <v>4</v>
      </c>
      <c r="O753">
        <v>4</v>
      </c>
      <c r="P753"/>
      <c r="Q753">
        <v>134907</v>
      </c>
      <c r="R753">
        <v>1</v>
      </c>
      <c r="S753" t="s">
        <v>40</v>
      </c>
      <c r="T753">
        <v>261</v>
      </c>
      <c r="U753">
        <v>147664</v>
      </c>
      <c r="V753">
        <v>24</v>
      </c>
      <c r="W753" t="s">
        <v>40</v>
      </c>
      <c r="X753">
        <v>261</v>
      </c>
      <c r="Y753" t="s">
        <v>377</v>
      </c>
      <c r="Z753" t="s">
        <v>378</v>
      </c>
      <c r="AA753" t="s">
        <v>379</v>
      </c>
      <c r="AB753" t="s">
        <v>384</v>
      </c>
      <c r="AC753" t="s">
        <v>41</v>
      </c>
      <c r="AD753" t="s">
        <v>41</v>
      </c>
      <c r="AE753" t="s">
        <v>41</v>
      </c>
      <c r="AF753" t="s">
        <v>41</v>
      </c>
      <c r="AK753"/>
    </row>
    <row r="754" spans="1:38" x14ac:dyDescent="0.25">
      <c r="A754" t="s">
        <v>44</v>
      </c>
      <c r="B754">
        <v>45972.309583333335</v>
      </c>
      <c r="C754">
        <v>91957</v>
      </c>
      <c r="D754" t="s">
        <v>889</v>
      </c>
      <c r="E754">
        <v>4503167</v>
      </c>
      <c r="F754">
        <v>2104879</v>
      </c>
      <c r="G754" t="s">
        <v>556</v>
      </c>
      <c r="H754" t="s">
        <v>1159</v>
      </c>
      <c r="I754">
        <v>5</v>
      </c>
      <c r="J754" t="b">
        <v>1</v>
      </c>
      <c r="K754">
        <v>1</v>
      </c>
      <c r="L754">
        <v>2106199</v>
      </c>
      <c r="M754" t="s">
        <v>558</v>
      </c>
      <c r="N754">
        <v>5</v>
      </c>
      <c r="O754">
        <v>5</v>
      </c>
      <c r="P754"/>
      <c r="Q754">
        <v>134907</v>
      </c>
      <c r="R754">
        <v>1</v>
      </c>
      <c r="S754" t="s">
        <v>40</v>
      </c>
      <c r="T754">
        <v>261</v>
      </c>
      <c r="U754">
        <v>147664</v>
      </c>
      <c r="V754">
        <v>24</v>
      </c>
      <c r="W754" t="s">
        <v>40</v>
      </c>
      <c r="X754">
        <v>261</v>
      </c>
      <c r="Y754" t="s">
        <v>377</v>
      </c>
      <c r="Z754" t="s">
        <v>378</v>
      </c>
      <c r="AA754" t="s">
        <v>379</v>
      </c>
      <c r="AB754" t="s">
        <v>559</v>
      </c>
      <c r="AC754" t="s">
        <v>41</v>
      </c>
      <c r="AD754" t="s">
        <v>41</v>
      </c>
      <c r="AE754" t="s">
        <v>41</v>
      </c>
      <c r="AF754" t="s">
        <v>41</v>
      </c>
      <c r="AK754"/>
    </row>
    <row r="755" spans="1:38" x14ac:dyDescent="0.25">
      <c r="A755" t="s">
        <v>38</v>
      </c>
      <c r="B755">
        <v>45972.321562500001</v>
      </c>
      <c r="C755">
        <v>89584</v>
      </c>
      <c r="D755" t="s">
        <v>889</v>
      </c>
      <c r="E755">
        <v>4502335</v>
      </c>
      <c r="F755">
        <v>150819</v>
      </c>
      <c r="G755" t="s">
        <v>458</v>
      </c>
      <c r="H755" t="s">
        <v>976</v>
      </c>
      <c r="I755">
        <v>10</v>
      </c>
      <c r="J755" t="b">
        <v>1</v>
      </c>
      <c r="K755">
        <v>0.83333333333333337</v>
      </c>
      <c r="L755">
        <v>150820</v>
      </c>
      <c r="M755" t="s">
        <v>454</v>
      </c>
      <c r="N755">
        <v>12</v>
      </c>
      <c r="O755">
        <v>12</v>
      </c>
      <c r="P755"/>
      <c r="Q755">
        <v>134907</v>
      </c>
      <c r="R755">
        <v>1</v>
      </c>
      <c r="S755" t="s">
        <v>40</v>
      </c>
      <c r="T755">
        <v>261</v>
      </c>
      <c r="U755">
        <v>147664</v>
      </c>
      <c r="V755">
        <v>48</v>
      </c>
      <c r="W755" t="s">
        <v>40</v>
      </c>
      <c r="X755">
        <v>261</v>
      </c>
      <c r="Y755" t="s">
        <v>377</v>
      </c>
      <c r="Z755" t="s">
        <v>378</v>
      </c>
      <c r="AA755" t="s">
        <v>379</v>
      </c>
      <c r="AB755" t="s">
        <v>400</v>
      </c>
      <c r="AC755" t="s">
        <v>379</v>
      </c>
      <c r="AD755" t="s">
        <v>384</v>
      </c>
      <c r="AE755" t="s">
        <v>41</v>
      </c>
      <c r="AF755" t="s">
        <v>41</v>
      </c>
      <c r="AI755">
        <v>134907</v>
      </c>
      <c r="AJ755">
        <v>1</v>
      </c>
      <c r="AK755" t="s">
        <v>40</v>
      </c>
      <c r="AL755">
        <v>261</v>
      </c>
    </row>
    <row r="756" spans="1:38" x14ac:dyDescent="0.25">
      <c r="A756" t="s">
        <v>43</v>
      </c>
      <c r="B756">
        <v>45972.820960648147</v>
      </c>
      <c r="C756">
        <v>92487</v>
      </c>
      <c r="D756" t="s">
        <v>1025</v>
      </c>
      <c r="E756">
        <v>4503255</v>
      </c>
      <c r="F756">
        <v>2105316</v>
      </c>
      <c r="G756" t="s">
        <v>1160</v>
      </c>
      <c r="H756" t="s">
        <v>1128</v>
      </c>
      <c r="I756">
        <v>5</v>
      </c>
      <c r="J756" t="b">
        <v>1</v>
      </c>
      <c r="K756">
        <v>1.3698630136986301E-2</v>
      </c>
      <c r="L756">
        <v>2106585</v>
      </c>
      <c r="M756" t="s">
        <v>1161</v>
      </c>
      <c r="N756">
        <v>365</v>
      </c>
      <c r="O756">
        <v>365</v>
      </c>
      <c r="P756"/>
      <c r="Q756">
        <v>0</v>
      </c>
      <c r="R756">
        <v>0</v>
      </c>
      <c r="S756" t="s">
        <v>40</v>
      </c>
      <c r="T756">
        <v>261</v>
      </c>
      <c r="W756"/>
      <c r="Y756" t="s">
        <v>377</v>
      </c>
      <c r="Z756" t="s">
        <v>378</v>
      </c>
      <c r="AA756" t="s">
        <v>379</v>
      </c>
      <c r="AB756" t="s">
        <v>1162</v>
      </c>
      <c r="AC756" t="s">
        <v>41</v>
      </c>
      <c r="AD756" t="s">
        <v>41</v>
      </c>
      <c r="AE756" t="s">
        <v>41</v>
      </c>
      <c r="AF756" t="s">
        <v>41</v>
      </c>
      <c r="AK756"/>
    </row>
    <row r="757" spans="1:38" x14ac:dyDescent="0.25">
      <c r="A757" t="s">
        <v>39</v>
      </c>
      <c r="B757">
        <v>45972.97278935185</v>
      </c>
      <c r="C757">
        <v>91960</v>
      </c>
      <c r="D757" t="s">
        <v>1025</v>
      </c>
      <c r="E757">
        <v>4503168</v>
      </c>
      <c r="F757">
        <v>2104879</v>
      </c>
      <c r="G757" t="s">
        <v>556</v>
      </c>
      <c r="H757" t="s">
        <v>1163</v>
      </c>
      <c r="I757">
        <v>5</v>
      </c>
      <c r="J757" t="b">
        <v>1</v>
      </c>
      <c r="K757">
        <v>1.25</v>
      </c>
      <c r="L757">
        <v>2106199</v>
      </c>
      <c r="M757" t="s">
        <v>558</v>
      </c>
      <c r="N757">
        <v>4</v>
      </c>
      <c r="O757">
        <v>4</v>
      </c>
      <c r="P757"/>
      <c r="Q757">
        <v>134907</v>
      </c>
      <c r="R757">
        <v>1</v>
      </c>
      <c r="S757" t="s">
        <v>40</v>
      </c>
      <c r="T757">
        <v>261</v>
      </c>
      <c r="U757">
        <v>147664</v>
      </c>
      <c r="V757">
        <v>24</v>
      </c>
      <c r="W757" t="s">
        <v>40</v>
      </c>
      <c r="X757">
        <v>261</v>
      </c>
      <c r="Y757" t="s">
        <v>377</v>
      </c>
      <c r="Z757" t="s">
        <v>378</v>
      </c>
      <c r="AA757" t="s">
        <v>379</v>
      </c>
      <c r="AB757" t="s">
        <v>384</v>
      </c>
      <c r="AC757" t="s">
        <v>41</v>
      </c>
      <c r="AD757" t="s">
        <v>41</v>
      </c>
      <c r="AE757" t="s">
        <v>41</v>
      </c>
      <c r="AF757" t="s">
        <v>41</v>
      </c>
      <c r="AK757"/>
    </row>
    <row r="758" spans="1:38" x14ac:dyDescent="0.25">
      <c r="A758" t="s">
        <v>39</v>
      </c>
      <c r="B758">
        <v>45972.973379629628</v>
      </c>
      <c r="C758">
        <v>91960</v>
      </c>
      <c r="D758" t="s">
        <v>1025</v>
      </c>
      <c r="E758">
        <v>4503169</v>
      </c>
      <c r="F758">
        <v>2104879</v>
      </c>
      <c r="G758" t="s">
        <v>556</v>
      </c>
      <c r="H758" t="s">
        <v>1163</v>
      </c>
      <c r="I758">
        <v>5</v>
      </c>
      <c r="J758" t="b">
        <v>1</v>
      </c>
      <c r="K758">
        <v>1</v>
      </c>
      <c r="L758">
        <v>2106199</v>
      </c>
      <c r="M758" t="s">
        <v>558</v>
      </c>
      <c r="N758">
        <v>5</v>
      </c>
      <c r="O758">
        <v>5</v>
      </c>
      <c r="P758"/>
      <c r="Q758">
        <v>134907</v>
      </c>
      <c r="R758">
        <v>1</v>
      </c>
      <c r="S758" t="s">
        <v>40</v>
      </c>
      <c r="T758">
        <v>261</v>
      </c>
      <c r="U758">
        <v>147664</v>
      </c>
      <c r="V758">
        <v>24</v>
      </c>
      <c r="W758" t="s">
        <v>40</v>
      </c>
      <c r="X758">
        <v>261</v>
      </c>
      <c r="Y758" t="s">
        <v>377</v>
      </c>
      <c r="Z758" t="s">
        <v>378</v>
      </c>
      <c r="AA758" t="s">
        <v>379</v>
      </c>
      <c r="AB758" t="s">
        <v>559</v>
      </c>
      <c r="AC758" t="s">
        <v>41</v>
      </c>
      <c r="AD758" t="s">
        <v>41</v>
      </c>
      <c r="AE758" t="s">
        <v>41</v>
      </c>
      <c r="AF758" t="s">
        <v>41</v>
      </c>
      <c r="AK758"/>
    </row>
    <row r="759" spans="1:38" x14ac:dyDescent="0.25">
      <c r="A759" t="s">
        <v>45</v>
      </c>
      <c r="B759">
        <v>45973.300949074073</v>
      </c>
      <c r="C759">
        <v>92489</v>
      </c>
      <c r="D759" t="s">
        <v>560</v>
      </c>
      <c r="E759">
        <v>4503258</v>
      </c>
      <c r="F759">
        <v>117746</v>
      </c>
      <c r="G759" t="s">
        <v>1164</v>
      </c>
      <c r="H759" t="s">
        <v>1128</v>
      </c>
      <c r="I759">
        <v>5</v>
      </c>
      <c r="J759" t="b">
        <v>1</v>
      </c>
      <c r="K759">
        <v>2.9239766081871343E-2</v>
      </c>
      <c r="L759">
        <v>117747</v>
      </c>
      <c r="M759" t="s">
        <v>1165</v>
      </c>
      <c r="N759">
        <v>171</v>
      </c>
      <c r="O759">
        <v>171</v>
      </c>
      <c r="P759" t="s">
        <v>1166</v>
      </c>
      <c r="Q759">
        <v>0</v>
      </c>
      <c r="R759">
        <v>0</v>
      </c>
      <c r="S759" t="s">
        <v>40</v>
      </c>
      <c r="T759">
        <v>261</v>
      </c>
      <c r="W759"/>
      <c r="Y759" t="s">
        <v>377</v>
      </c>
      <c r="Z759" t="s">
        <v>378</v>
      </c>
      <c r="AA759" t="s">
        <v>525</v>
      </c>
      <c r="AB759" t="s">
        <v>1155</v>
      </c>
      <c r="AC759" t="s">
        <v>41</v>
      </c>
      <c r="AD759" t="s">
        <v>41</v>
      </c>
      <c r="AE759" t="s">
        <v>41</v>
      </c>
      <c r="AF759" t="s">
        <v>41</v>
      </c>
      <c r="AK759"/>
    </row>
    <row r="760" spans="1:38" x14ac:dyDescent="0.25">
      <c r="A760" t="s">
        <v>42</v>
      </c>
      <c r="B760">
        <v>45973.425324074073</v>
      </c>
      <c r="C760">
        <v>89586</v>
      </c>
      <c r="D760" t="s">
        <v>560</v>
      </c>
      <c r="E760">
        <v>4502336</v>
      </c>
      <c r="F760">
        <v>150819</v>
      </c>
      <c r="G760" t="s">
        <v>458</v>
      </c>
      <c r="H760" t="s">
        <v>994</v>
      </c>
      <c r="I760">
        <v>10</v>
      </c>
      <c r="J760" t="b">
        <v>0</v>
      </c>
      <c r="K760">
        <v>0.83333333333333337</v>
      </c>
      <c r="L760">
        <v>150820</v>
      </c>
      <c r="M760" t="s">
        <v>454</v>
      </c>
      <c r="N760">
        <v>12</v>
      </c>
      <c r="O760">
        <v>12</v>
      </c>
      <c r="P760"/>
      <c r="Q760">
        <v>134907</v>
      </c>
      <c r="R760">
        <v>2</v>
      </c>
      <c r="S760" t="s">
        <v>40</v>
      </c>
      <c r="T760">
        <v>261</v>
      </c>
      <c r="U760">
        <v>147664</v>
      </c>
      <c r="V760">
        <v>48</v>
      </c>
      <c r="W760" t="s">
        <v>40</v>
      </c>
      <c r="X760">
        <v>261</v>
      </c>
      <c r="Y760" t="s">
        <v>377</v>
      </c>
      <c r="Z760" t="s">
        <v>378</v>
      </c>
      <c r="AA760" t="s">
        <v>379</v>
      </c>
      <c r="AB760" t="s">
        <v>400</v>
      </c>
      <c r="AC760" t="s">
        <v>379</v>
      </c>
      <c r="AD760" t="s">
        <v>384</v>
      </c>
      <c r="AE760" t="s">
        <v>41</v>
      </c>
      <c r="AF760" t="s">
        <v>41</v>
      </c>
      <c r="AK760"/>
    </row>
    <row r="761" spans="1:38" x14ac:dyDescent="0.25">
      <c r="A761" t="s">
        <v>47</v>
      </c>
      <c r="B761">
        <v>45973.88490740741</v>
      </c>
      <c r="C761">
        <v>92488</v>
      </c>
      <c r="D761" t="s">
        <v>563</v>
      </c>
      <c r="E761">
        <v>4503261</v>
      </c>
      <c r="F761">
        <v>2124066</v>
      </c>
      <c r="G761" t="s">
        <v>1167</v>
      </c>
      <c r="H761" t="s">
        <v>1128</v>
      </c>
      <c r="I761">
        <v>5</v>
      </c>
      <c r="J761" t="b">
        <v>1</v>
      </c>
      <c r="K761">
        <v>2.9411764705882353E-2</v>
      </c>
      <c r="L761">
        <v>2124430</v>
      </c>
      <c r="M761" t="s">
        <v>1168</v>
      </c>
      <c r="N761">
        <v>170</v>
      </c>
      <c r="O761">
        <v>170</v>
      </c>
      <c r="P761"/>
      <c r="Q761">
        <v>134974</v>
      </c>
      <c r="R761">
        <v>1</v>
      </c>
      <c r="S761" t="s">
        <v>40</v>
      </c>
      <c r="T761">
        <v>261</v>
      </c>
      <c r="W761"/>
      <c r="Y761" t="s">
        <v>377</v>
      </c>
      <c r="Z761" t="s">
        <v>378</v>
      </c>
      <c r="AA761" t="s">
        <v>379</v>
      </c>
      <c r="AB761" t="s">
        <v>642</v>
      </c>
      <c r="AC761" t="s">
        <v>41</v>
      </c>
      <c r="AD761" t="s">
        <v>41</v>
      </c>
      <c r="AE761" t="s">
        <v>41</v>
      </c>
      <c r="AF761" t="s">
        <v>41</v>
      </c>
      <c r="AK761"/>
    </row>
    <row r="762" spans="1:38" x14ac:dyDescent="0.25">
      <c r="A762" t="s">
        <v>37</v>
      </c>
      <c r="B762">
        <v>45974.030277777776</v>
      </c>
      <c r="C762">
        <v>92551</v>
      </c>
      <c r="D762" t="s">
        <v>563</v>
      </c>
      <c r="E762">
        <v>4502166</v>
      </c>
      <c r="F762">
        <v>133168</v>
      </c>
      <c r="G762" t="s">
        <v>863</v>
      </c>
      <c r="H762" t="s">
        <v>1044</v>
      </c>
      <c r="I762">
        <v>64.3</v>
      </c>
      <c r="J762" t="b">
        <v>1</v>
      </c>
      <c r="K762">
        <v>0.75647058823529412</v>
      </c>
      <c r="L762">
        <v>144374</v>
      </c>
      <c r="M762" t="s">
        <v>865</v>
      </c>
      <c r="N762">
        <v>85</v>
      </c>
      <c r="O762">
        <v>85</v>
      </c>
      <c r="P762"/>
      <c r="Q762">
        <v>134908</v>
      </c>
      <c r="R762">
        <v>1</v>
      </c>
      <c r="S762" t="s">
        <v>40</v>
      </c>
      <c r="T762">
        <v>261</v>
      </c>
      <c r="U762">
        <v>147664</v>
      </c>
      <c r="V762">
        <v>24</v>
      </c>
      <c r="W762" t="s">
        <v>40</v>
      </c>
      <c r="X762">
        <v>261</v>
      </c>
      <c r="Y762" t="s">
        <v>377</v>
      </c>
      <c r="Z762" t="s">
        <v>378</v>
      </c>
      <c r="AA762" t="s">
        <v>379</v>
      </c>
      <c r="AB762" t="s">
        <v>841</v>
      </c>
      <c r="AC762" t="s">
        <v>41</v>
      </c>
      <c r="AD762" t="s">
        <v>41</v>
      </c>
      <c r="AE762" t="s">
        <v>41</v>
      </c>
      <c r="AF762" t="s">
        <v>41</v>
      </c>
      <c r="AK762"/>
    </row>
    <row r="763" spans="1:38" x14ac:dyDescent="0.25">
      <c r="A763" t="s">
        <v>42</v>
      </c>
      <c r="B763">
        <v>45974.066458333335</v>
      </c>
      <c r="C763">
        <v>89589</v>
      </c>
      <c r="D763" t="s">
        <v>563</v>
      </c>
      <c r="E763">
        <v>4502505</v>
      </c>
      <c r="F763">
        <v>2123980</v>
      </c>
      <c r="G763" t="s">
        <v>1169</v>
      </c>
      <c r="H763" t="s">
        <v>951</v>
      </c>
      <c r="I763">
        <v>7.5</v>
      </c>
      <c r="J763" t="b">
        <v>1</v>
      </c>
      <c r="K763">
        <v>0.625</v>
      </c>
      <c r="L763">
        <v>2106169</v>
      </c>
      <c r="M763" t="s">
        <v>1170</v>
      </c>
      <c r="N763">
        <v>12</v>
      </c>
      <c r="O763">
        <v>12</v>
      </c>
      <c r="P763"/>
      <c r="Q763">
        <v>134907</v>
      </c>
      <c r="R763">
        <v>2</v>
      </c>
      <c r="S763" t="s">
        <v>40</v>
      </c>
      <c r="T763">
        <v>261</v>
      </c>
      <c r="U763">
        <v>147664</v>
      </c>
      <c r="V763">
        <v>48</v>
      </c>
      <c r="W763" t="s">
        <v>40</v>
      </c>
      <c r="X763">
        <v>261</v>
      </c>
      <c r="Y763" t="s">
        <v>377</v>
      </c>
      <c r="Z763" t="s">
        <v>378</v>
      </c>
      <c r="AA763" t="s">
        <v>379</v>
      </c>
      <c r="AB763" t="s">
        <v>384</v>
      </c>
      <c r="AC763" t="s">
        <v>379</v>
      </c>
      <c r="AD763" t="s">
        <v>400</v>
      </c>
      <c r="AE763" t="s">
        <v>41</v>
      </c>
      <c r="AF763" t="s">
        <v>41</v>
      </c>
      <c r="AK763"/>
    </row>
    <row r="764" spans="1:38" x14ac:dyDescent="0.25">
      <c r="A764" t="s">
        <v>38</v>
      </c>
      <c r="B764">
        <v>45974.09480324074</v>
      </c>
      <c r="C764">
        <v>91898</v>
      </c>
      <c r="D764" t="s">
        <v>563</v>
      </c>
      <c r="E764">
        <v>4496979</v>
      </c>
      <c r="F764">
        <v>2133106</v>
      </c>
      <c r="G764" t="s">
        <v>1171</v>
      </c>
      <c r="H764" t="s">
        <v>930</v>
      </c>
      <c r="I764">
        <v>10</v>
      </c>
      <c r="J764" t="b">
        <v>1</v>
      </c>
      <c r="K764">
        <v>0.33333333333333331</v>
      </c>
      <c r="L764">
        <v>2133122</v>
      </c>
      <c r="M764" t="s">
        <v>1172</v>
      </c>
      <c r="N764">
        <v>30</v>
      </c>
      <c r="O764">
        <v>30</v>
      </c>
      <c r="P764"/>
      <c r="Q764">
        <v>0</v>
      </c>
      <c r="R764">
        <v>0</v>
      </c>
      <c r="S764" t="s">
        <v>40</v>
      </c>
      <c r="T764">
        <v>261</v>
      </c>
      <c r="W764"/>
      <c r="Y764" t="s">
        <v>377</v>
      </c>
      <c r="Z764" t="s">
        <v>378</v>
      </c>
      <c r="AA764" t="s">
        <v>379</v>
      </c>
      <c r="AB764" t="s">
        <v>1058</v>
      </c>
      <c r="AC764" t="s">
        <v>41</v>
      </c>
      <c r="AD764" t="s">
        <v>41</v>
      </c>
      <c r="AE764" t="s">
        <v>41</v>
      </c>
      <c r="AF764" t="s">
        <v>41</v>
      </c>
      <c r="AK764"/>
    </row>
    <row r="765" spans="1:38" x14ac:dyDescent="0.25">
      <c r="A765" t="s">
        <v>43</v>
      </c>
      <c r="B765">
        <v>45974.188807870371</v>
      </c>
      <c r="C765">
        <v>90716</v>
      </c>
      <c r="D765" t="s">
        <v>563</v>
      </c>
      <c r="E765">
        <v>4501088</v>
      </c>
      <c r="F765">
        <v>2105801</v>
      </c>
      <c r="G765" t="s">
        <v>1173</v>
      </c>
      <c r="H765" t="s">
        <v>930</v>
      </c>
      <c r="I765">
        <v>10</v>
      </c>
      <c r="J765" t="b">
        <v>1</v>
      </c>
      <c r="K765">
        <v>7.0422535211267609E-2</v>
      </c>
      <c r="L765">
        <v>2107052</v>
      </c>
      <c r="M765" t="s">
        <v>1174</v>
      </c>
      <c r="N765">
        <v>142</v>
      </c>
      <c r="O765">
        <v>142</v>
      </c>
      <c r="P765"/>
      <c r="Q765">
        <v>134976</v>
      </c>
      <c r="R765">
        <v>1</v>
      </c>
      <c r="S765" t="s">
        <v>40</v>
      </c>
      <c r="T765">
        <v>261</v>
      </c>
      <c r="W765"/>
      <c r="Y765" t="s">
        <v>49</v>
      </c>
      <c r="Z765" t="s">
        <v>378</v>
      </c>
      <c r="AA765" t="s">
        <v>379</v>
      </c>
      <c r="AB765" t="s">
        <v>1175</v>
      </c>
      <c r="AC765" t="s">
        <v>41</v>
      </c>
      <c r="AD765" t="s">
        <v>41</v>
      </c>
      <c r="AE765" t="s">
        <v>41</v>
      </c>
      <c r="AF765" t="s">
        <v>41</v>
      </c>
      <c r="AK765"/>
    </row>
    <row r="766" spans="1:38" x14ac:dyDescent="0.25">
      <c r="A766" t="s">
        <v>48</v>
      </c>
      <c r="B766">
        <v>45974.191689814812</v>
      </c>
      <c r="C766">
        <v>91962</v>
      </c>
      <c r="D766" t="s">
        <v>563</v>
      </c>
      <c r="E766">
        <v>4503170</v>
      </c>
      <c r="F766">
        <v>2104879</v>
      </c>
      <c r="G766" t="s">
        <v>556</v>
      </c>
      <c r="H766" t="s">
        <v>1176</v>
      </c>
      <c r="I766">
        <v>10</v>
      </c>
      <c r="J766" t="b">
        <v>1</v>
      </c>
      <c r="K766">
        <v>2.5</v>
      </c>
      <c r="L766">
        <v>2106199</v>
      </c>
      <c r="M766" t="s">
        <v>558</v>
      </c>
      <c r="N766">
        <v>4</v>
      </c>
      <c r="O766">
        <v>4</v>
      </c>
      <c r="P766"/>
      <c r="Q766">
        <v>0</v>
      </c>
      <c r="R766">
        <v>0</v>
      </c>
      <c r="S766" t="s">
        <v>40</v>
      </c>
      <c r="T766">
        <v>261</v>
      </c>
      <c r="W766"/>
      <c r="Y766" t="s">
        <v>377</v>
      </c>
      <c r="Z766" t="s">
        <v>378</v>
      </c>
      <c r="AA766" t="s">
        <v>379</v>
      </c>
      <c r="AB766" t="s">
        <v>384</v>
      </c>
      <c r="AC766" t="s">
        <v>41</v>
      </c>
      <c r="AD766" t="s">
        <v>41</v>
      </c>
      <c r="AE766" t="s">
        <v>41</v>
      </c>
      <c r="AF766" t="s">
        <v>41</v>
      </c>
      <c r="AK766"/>
    </row>
    <row r="767" spans="1:38" x14ac:dyDescent="0.25">
      <c r="A767" t="s">
        <v>48</v>
      </c>
      <c r="B767">
        <v>45974.192418981482</v>
      </c>
      <c r="C767">
        <v>91962</v>
      </c>
      <c r="D767" t="s">
        <v>563</v>
      </c>
      <c r="E767">
        <v>4503171</v>
      </c>
      <c r="F767">
        <v>2104879</v>
      </c>
      <c r="G767" t="s">
        <v>556</v>
      </c>
      <c r="H767" t="s">
        <v>1176</v>
      </c>
      <c r="I767">
        <v>10</v>
      </c>
      <c r="J767" t="b">
        <v>1</v>
      </c>
      <c r="K767">
        <v>2</v>
      </c>
      <c r="L767">
        <v>2106199</v>
      </c>
      <c r="M767" t="s">
        <v>558</v>
      </c>
      <c r="N767">
        <v>5</v>
      </c>
      <c r="O767">
        <v>5</v>
      </c>
      <c r="P767"/>
      <c r="Q767">
        <v>134907</v>
      </c>
      <c r="R767">
        <v>1</v>
      </c>
      <c r="S767" t="s">
        <v>40</v>
      </c>
      <c r="T767">
        <v>261</v>
      </c>
      <c r="U767">
        <v>147664</v>
      </c>
      <c r="V767">
        <v>24</v>
      </c>
      <c r="W767" t="s">
        <v>40</v>
      </c>
      <c r="X767">
        <v>261</v>
      </c>
      <c r="Y767" t="s">
        <v>377</v>
      </c>
      <c r="Z767" t="s">
        <v>378</v>
      </c>
      <c r="AA767" t="s">
        <v>379</v>
      </c>
      <c r="AB767" t="s">
        <v>559</v>
      </c>
      <c r="AC767" t="s">
        <v>41</v>
      </c>
      <c r="AD767" t="s">
        <v>41</v>
      </c>
      <c r="AE767" t="s">
        <v>41</v>
      </c>
      <c r="AF767" t="s">
        <v>41</v>
      </c>
      <c r="AK767"/>
    </row>
    <row r="768" spans="1:38" x14ac:dyDescent="0.25">
      <c r="A768" t="s">
        <v>44</v>
      </c>
      <c r="B768">
        <v>45974.312141203707</v>
      </c>
      <c r="C768">
        <v>91188</v>
      </c>
      <c r="D768" t="s">
        <v>866</v>
      </c>
      <c r="E768">
        <v>4502499</v>
      </c>
      <c r="F768">
        <v>156316</v>
      </c>
      <c r="G768" t="s">
        <v>899</v>
      </c>
      <c r="H768" t="s">
        <v>1088</v>
      </c>
      <c r="I768">
        <v>14</v>
      </c>
      <c r="J768" t="b">
        <v>1</v>
      </c>
      <c r="K768">
        <v>3.5</v>
      </c>
      <c r="L768">
        <v>156315</v>
      </c>
      <c r="M768" t="s">
        <v>901</v>
      </c>
      <c r="N768">
        <v>4</v>
      </c>
      <c r="O768">
        <v>4</v>
      </c>
      <c r="P768"/>
      <c r="Q768">
        <v>134905</v>
      </c>
      <c r="R768">
        <v>1</v>
      </c>
      <c r="S768" t="s">
        <v>40</v>
      </c>
      <c r="T768">
        <v>261</v>
      </c>
      <c r="U768">
        <v>147664</v>
      </c>
      <c r="V768">
        <v>24</v>
      </c>
      <c r="W768" t="s">
        <v>40</v>
      </c>
      <c r="X768">
        <v>261</v>
      </c>
      <c r="Y768" t="s">
        <v>377</v>
      </c>
      <c r="Z768" t="s">
        <v>378</v>
      </c>
      <c r="AA768" t="s">
        <v>379</v>
      </c>
      <c r="AB768" t="s">
        <v>384</v>
      </c>
      <c r="AC768" t="s">
        <v>41</v>
      </c>
      <c r="AD768" t="s">
        <v>41</v>
      </c>
      <c r="AE768" t="s">
        <v>41</v>
      </c>
      <c r="AF768" t="s">
        <v>41</v>
      </c>
      <c r="AK768"/>
    </row>
    <row r="769" spans="1:38" x14ac:dyDescent="0.25">
      <c r="A769" t="s">
        <v>44</v>
      </c>
      <c r="B769">
        <v>45974.313576388886</v>
      </c>
      <c r="C769">
        <v>91188</v>
      </c>
      <c r="D769" t="s">
        <v>866</v>
      </c>
      <c r="E769">
        <v>4502498</v>
      </c>
      <c r="F769">
        <v>156316</v>
      </c>
      <c r="G769" t="s">
        <v>899</v>
      </c>
      <c r="H769" t="s">
        <v>1088</v>
      </c>
      <c r="I769">
        <v>14</v>
      </c>
      <c r="J769" t="b">
        <v>1</v>
      </c>
      <c r="K769">
        <v>3.5</v>
      </c>
      <c r="L769">
        <v>156315</v>
      </c>
      <c r="M769" t="s">
        <v>901</v>
      </c>
      <c r="N769">
        <v>4</v>
      </c>
      <c r="O769">
        <v>4</v>
      </c>
      <c r="P769"/>
      <c r="Q769">
        <v>134906</v>
      </c>
      <c r="R769">
        <v>1</v>
      </c>
      <c r="S769" t="s">
        <v>40</v>
      </c>
      <c r="T769">
        <v>261</v>
      </c>
      <c r="U769">
        <v>147664</v>
      </c>
      <c r="V769">
        <v>24</v>
      </c>
      <c r="W769" t="s">
        <v>40</v>
      </c>
      <c r="X769">
        <v>261</v>
      </c>
      <c r="Y769" t="s">
        <v>377</v>
      </c>
      <c r="Z769" t="s">
        <v>378</v>
      </c>
      <c r="AA769" t="s">
        <v>379</v>
      </c>
      <c r="AB769" t="s">
        <v>384</v>
      </c>
      <c r="AC769" t="s">
        <v>41</v>
      </c>
      <c r="AD769" t="s">
        <v>41</v>
      </c>
      <c r="AE769" t="s">
        <v>41</v>
      </c>
      <c r="AF769" t="s">
        <v>41</v>
      </c>
      <c r="AK769"/>
    </row>
    <row r="770" spans="1:38" x14ac:dyDescent="0.25">
      <c r="A770" t="s">
        <v>37</v>
      </c>
      <c r="B770">
        <v>45974.384583333333</v>
      </c>
      <c r="C770">
        <v>92490</v>
      </c>
      <c r="D770" t="s">
        <v>866</v>
      </c>
      <c r="E770">
        <v>4503264</v>
      </c>
      <c r="F770">
        <v>2308940</v>
      </c>
      <c r="G770" t="s">
        <v>1177</v>
      </c>
      <c r="H770" t="s">
        <v>1128</v>
      </c>
      <c r="I770">
        <v>5</v>
      </c>
      <c r="J770" t="b">
        <v>1</v>
      </c>
      <c r="K770">
        <v>1.9011406844106463E-2</v>
      </c>
      <c r="L770">
        <v>2308941</v>
      </c>
      <c r="M770" t="s">
        <v>1178</v>
      </c>
      <c r="N770">
        <v>263</v>
      </c>
      <c r="O770">
        <v>415</v>
      </c>
      <c r="P770"/>
      <c r="Q770">
        <v>0</v>
      </c>
      <c r="R770">
        <v>0</v>
      </c>
      <c r="S770" t="s">
        <v>40</v>
      </c>
      <c r="T770">
        <v>261</v>
      </c>
      <c r="W770"/>
      <c r="Y770" t="s">
        <v>377</v>
      </c>
      <c r="Z770" t="s">
        <v>378</v>
      </c>
      <c r="AA770" t="s">
        <v>379</v>
      </c>
      <c r="AB770" t="s">
        <v>1179</v>
      </c>
      <c r="AC770" t="s">
        <v>41</v>
      </c>
      <c r="AD770" t="s">
        <v>41</v>
      </c>
      <c r="AE770" t="s">
        <v>41</v>
      </c>
      <c r="AF770" t="s">
        <v>41</v>
      </c>
      <c r="AK770"/>
    </row>
    <row r="771" spans="1:38" x14ac:dyDescent="0.25">
      <c r="A771" t="s">
        <v>42</v>
      </c>
      <c r="B771">
        <v>45974.677372685182</v>
      </c>
      <c r="C771">
        <v>89592</v>
      </c>
      <c r="D771" t="s">
        <v>866</v>
      </c>
      <c r="E771">
        <v>4502506</v>
      </c>
      <c r="F771">
        <v>2123980</v>
      </c>
      <c r="G771" t="s">
        <v>1169</v>
      </c>
      <c r="H771" t="s">
        <v>924</v>
      </c>
      <c r="I771">
        <v>7.5</v>
      </c>
      <c r="J771" t="b">
        <v>1</v>
      </c>
      <c r="K771">
        <v>0.625</v>
      </c>
      <c r="L771">
        <v>2106169</v>
      </c>
      <c r="M771" t="s">
        <v>1170</v>
      </c>
      <c r="N771">
        <v>12</v>
      </c>
      <c r="O771">
        <v>12</v>
      </c>
      <c r="P771"/>
      <c r="Q771">
        <v>134907</v>
      </c>
      <c r="R771">
        <v>1</v>
      </c>
      <c r="S771" t="s">
        <v>40</v>
      </c>
      <c r="T771">
        <v>261</v>
      </c>
      <c r="U771">
        <v>147664</v>
      </c>
      <c r="V771">
        <v>48</v>
      </c>
      <c r="W771" t="s">
        <v>40</v>
      </c>
      <c r="X771">
        <v>261</v>
      </c>
      <c r="Y771" t="s">
        <v>377</v>
      </c>
      <c r="Z771" t="s">
        <v>378</v>
      </c>
      <c r="AA771" t="s">
        <v>379</v>
      </c>
      <c r="AB771" t="s">
        <v>400</v>
      </c>
      <c r="AC771" t="s">
        <v>379</v>
      </c>
      <c r="AD771" t="s">
        <v>384</v>
      </c>
      <c r="AE771" t="s">
        <v>41</v>
      </c>
      <c r="AF771" t="s">
        <v>41</v>
      </c>
      <c r="AI771">
        <v>134907</v>
      </c>
      <c r="AJ771">
        <v>1</v>
      </c>
      <c r="AK771" t="s">
        <v>40</v>
      </c>
      <c r="AL771">
        <v>261</v>
      </c>
    </row>
    <row r="772" spans="1:38" x14ac:dyDescent="0.25">
      <c r="A772" t="s">
        <v>37</v>
      </c>
      <c r="B772">
        <v>45975.042314814818</v>
      </c>
      <c r="C772">
        <v>91963</v>
      </c>
      <c r="D772" t="s">
        <v>745</v>
      </c>
      <c r="E772">
        <v>4503173</v>
      </c>
      <c r="F772">
        <v>2104879</v>
      </c>
      <c r="G772" t="s">
        <v>556</v>
      </c>
      <c r="H772" t="s">
        <v>1180</v>
      </c>
      <c r="I772">
        <v>7</v>
      </c>
      <c r="J772" t="b">
        <v>1</v>
      </c>
      <c r="K772">
        <v>1.4</v>
      </c>
      <c r="L772">
        <v>2106199</v>
      </c>
      <c r="M772" t="s">
        <v>558</v>
      </c>
      <c r="N772">
        <v>5</v>
      </c>
      <c r="O772">
        <v>5</v>
      </c>
      <c r="P772"/>
      <c r="Q772">
        <v>134971</v>
      </c>
      <c r="R772">
        <v>1</v>
      </c>
      <c r="S772" t="s">
        <v>40</v>
      </c>
      <c r="T772">
        <v>261</v>
      </c>
      <c r="U772">
        <v>147664</v>
      </c>
      <c r="V772">
        <v>24</v>
      </c>
      <c r="W772" t="s">
        <v>40</v>
      </c>
      <c r="X772">
        <v>261</v>
      </c>
      <c r="Y772" t="s">
        <v>377</v>
      </c>
      <c r="Z772" t="s">
        <v>378</v>
      </c>
      <c r="AA772" t="s">
        <v>379</v>
      </c>
      <c r="AB772" t="s">
        <v>559</v>
      </c>
      <c r="AC772" t="s">
        <v>41</v>
      </c>
      <c r="AD772" t="s">
        <v>41</v>
      </c>
      <c r="AE772" t="s">
        <v>41</v>
      </c>
      <c r="AF772" t="s">
        <v>41</v>
      </c>
      <c r="AK772"/>
    </row>
    <row r="773" spans="1:38" x14ac:dyDescent="0.25">
      <c r="A773" t="s">
        <v>37</v>
      </c>
      <c r="B773">
        <v>45975.043182870373</v>
      </c>
      <c r="C773">
        <v>91963</v>
      </c>
      <c r="D773" t="s">
        <v>745</v>
      </c>
      <c r="E773">
        <v>4503172</v>
      </c>
      <c r="F773">
        <v>2104879</v>
      </c>
      <c r="G773" t="s">
        <v>556</v>
      </c>
      <c r="H773" t="s">
        <v>1180</v>
      </c>
      <c r="I773">
        <v>7</v>
      </c>
      <c r="J773" t="b">
        <v>1</v>
      </c>
      <c r="K773">
        <v>1.75</v>
      </c>
      <c r="L773">
        <v>2106199</v>
      </c>
      <c r="M773" t="s">
        <v>558</v>
      </c>
      <c r="N773">
        <v>4</v>
      </c>
      <c r="O773">
        <v>4</v>
      </c>
      <c r="P773"/>
      <c r="Q773">
        <v>134971</v>
      </c>
      <c r="R773">
        <v>1</v>
      </c>
      <c r="S773" t="s">
        <v>40</v>
      </c>
      <c r="T773">
        <v>261</v>
      </c>
      <c r="U773">
        <v>147664</v>
      </c>
      <c r="V773">
        <v>24</v>
      </c>
      <c r="W773" t="s">
        <v>40</v>
      </c>
      <c r="X773">
        <v>261</v>
      </c>
      <c r="Y773" t="s">
        <v>377</v>
      </c>
      <c r="Z773" t="s">
        <v>378</v>
      </c>
      <c r="AA773" t="s">
        <v>379</v>
      </c>
      <c r="AB773" t="s">
        <v>384</v>
      </c>
      <c r="AC773" t="s">
        <v>41</v>
      </c>
      <c r="AD773" t="s">
        <v>41</v>
      </c>
      <c r="AE773" t="s">
        <v>41</v>
      </c>
      <c r="AF773" t="s">
        <v>41</v>
      </c>
      <c r="AK773"/>
    </row>
    <row r="774" spans="1:38" x14ac:dyDescent="0.25">
      <c r="A774" t="s">
        <v>42</v>
      </c>
      <c r="B774">
        <v>45975.339594907404</v>
      </c>
      <c r="C774">
        <v>89593</v>
      </c>
      <c r="D774" t="s">
        <v>1043</v>
      </c>
      <c r="E774">
        <v>4501672</v>
      </c>
      <c r="F774">
        <v>2123979</v>
      </c>
      <c r="G774" t="s">
        <v>425</v>
      </c>
      <c r="H774" t="s">
        <v>959</v>
      </c>
      <c r="I774">
        <v>7.5</v>
      </c>
      <c r="J774" t="b">
        <v>1</v>
      </c>
      <c r="K774">
        <v>0.625</v>
      </c>
      <c r="L774">
        <v>120995</v>
      </c>
      <c r="M774" t="s">
        <v>427</v>
      </c>
      <c r="N774">
        <v>12</v>
      </c>
      <c r="O774">
        <v>12</v>
      </c>
      <c r="P774"/>
      <c r="Q774">
        <v>134971</v>
      </c>
      <c r="R774">
        <v>1</v>
      </c>
      <c r="S774" t="s">
        <v>40</v>
      </c>
      <c r="T774">
        <v>261</v>
      </c>
      <c r="U774">
        <v>147664</v>
      </c>
      <c r="V774">
        <v>48</v>
      </c>
      <c r="W774" t="s">
        <v>40</v>
      </c>
      <c r="X774">
        <v>261</v>
      </c>
      <c r="Y774" t="s">
        <v>377</v>
      </c>
      <c r="Z774" t="s">
        <v>378</v>
      </c>
      <c r="AA774" t="s">
        <v>379</v>
      </c>
      <c r="AB774" t="s">
        <v>400</v>
      </c>
      <c r="AC774" t="s">
        <v>379</v>
      </c>
      <c r="AD774" t="s">
        <v>384</v>
      </c>
      <c r="AE774" t="s">
        <v>41</v>
      </c>
      <c r="AF774" t="s">
        <v>41</v>
      </c>
      <c r="AI774">
        <v>134907</v>
      </c>
      <c r="AJ774">
        <v>1</v>
      </c>
      <c r="AK774" t="s">
        <v>40</v>
      </c>
      <c r="AL774">
        <v>261</v>
      </c>
    </row>
    <row r="775" spans="1:38" x14ac:dyDescent="0.25">
      <c r="A775" t="s">
        <v>47</v>
      </c>
      <c r="B775">
        <v>45975.40824074074</v>
      </c>
      <c r="C775">
        <v>92030</v>
      </c>
      <c r="D775" t="s">
        <v>889</v>
      </c>
      <c r="E775">
        <v>4503264</v>
      </c>
      <c r="F775">
        <v>2308940</v>
      </c>
      <c r="G775" t="s">
        <v>1177</v>
      </c>
      <c r="H775" t="s">
        <v>1128</v>
      </c>
      <c r="I775">
        <v>7.5</v>
      </c>
      <c r="J775" t="b">
        <v>1</v>
      </c>
      <c r="K775">
        <v>4.9342105263157895E-2</v>
      </c>
      <c r="L775">
        <v>2308941</v>
      </c>
      <c r="M775" t="s">
        <v>1178</v>
      </c>
      <c r="N775">
        <v>152</v>
      </c>
      <c r="O775">
        <v>0</v>
      </c>
      <c r="P775"/>
      <c r="Q775">
        <v>0</v>
      </c>
      <c r="R775">
        <v>0</v>
      </c>
      <c r="S775" t="s">
        <v>40</v>
      </c>
      <c r="T775">
        <v>261</v>
      </c>
      <c r="W775"/>
      <c r="Y775" t="s">
        <v>377</v>
      </c>
      <c r="Z775" t="s">
        <v>378</v>
      </c>
      <c r="AA775" t="s">
        <v>379</v>
      </c>
      <c r="AB775" t="s">
        <v>1130</v>
      </c>
      <c r="AC775" t="s">
        <v>41</v>
      </c>
      <c r="AD775" t="s">
        <v>41</v>
      </c>
      <c r="AE775" t="s">
        <v>41</v>
      </c>
      <c r="AF775" t="s">
        <v>41</v>
      </c>
      <c r="AK775"/>
    </row>
    <row r="776" spans="1:38" x14ac:dyDescent="0.25">
      <c r="A776" t="s">
        <v>42</v>
      </c>
      <c r="B776">
        <v>45975.616828703707</v>
      </c>
      <c r="C776">
        <v>92033</v>
      </c>
      <c r="D776" t="s">
        <v>1043</v>
      </c>
      <c r="E776">
        <v>4502622</v>
      </c>
      <c r="F776">
        <v>2301240</v>
      </c>
      <c r="G776" t="s">
        <v>1181</v>
      </c>
      <c r="H776" t="s">
        <v>1128</v>
      </c>
      <c r="I776">
        <v>2.5</v>
      </c>
      <c r="J776" t="b">
        <v>1</v>
      </c>
      <c r="K776">
        <v>1.2886597938144329E-2</v>
      </c>
      <c r="L776">
        <v>2301241</v>
      </c>
      <c r="M776" t="s">
        <v>1182</v>
      </c>
      <c r="N776">
        <v>194</v>
      </c>
      <c r="O776">
        <v>197</v>
      </c>
      <c r="P776"/>
      <c r="Q776">
        <v>134976</v>
      </c>
      <c r="R776">
        <v>1</v>
      </c>
      <c r="S776" t="s">
        <v>40</v>
      </c>
      <c r="T776">
        <v>261</v>
      </c>
      <c r="W776"/>
      <c r="Y776" t="s">
        <v>377</v>
      </c>
      <c r="Z776" t="s">
        <v>378</v>
      </c>
      <c r="AA776" t="s">
        <v>379</v>
      </c>
      <c r="AB776" t="s">
        <v>1096</v>
      </c>
      <c r="AC776" t="s">
        <v>41</v>
      </c>
      <c r="AD776" t="s">
        <v>41</v>
      </c>
      <c r="AE776" t="s">
        <v>41</v>
      </c>
      <c r="AF776" t="s">
        <v>41</v>
      </c>
      <c r="AK776"/>
    </row>
    <row r="777" spans="1:38" x14ac:dyDescent="0.25">
      <c r="A777" t="s">
        <v>47</v>
      </c>
      <c r="B777">
        <v>45975.731770833336</v>
      </c>
      <c r="C777">
        <v>92031</v>
      </c>
      <c r="D777" t="s">
        <v>373</v>
      </c>
      <c r="E777">
        <v>4502353</v>
      </c>
      <c r="F777">
        <v>2105127</v>
      </c>
      <c r="G777" t="s">
        <v>946</v>
      </c>
      <c r="H777" t="s">
        <v>1156</v>
      </c>
      <c r="I777">
        <v>10</v>
      </c>
      <c r="J777" t="b">
        <v>1</v>
      </c>
      <c r="K777">
        <v>5.0505050505050504E-2</v>
      </c>
      <c r="L777">
        <v>2116857</v>
      </c>
      <c r="M777" t="s">
        <v>947</v>
      </c>
      <c r="N777">
        <v>198</v>
      </c>
      <c r="O777">
        <v>200</v>
      </c>
      <c r="P777"/>
      <c r="Q777">
        <v>134976</v>
      </c>
      <c r="R777">
        <v>1</v>
      </c>
      <c r="S777" t="s">
        <v>40</v>
      </c>
      <c r="T777">
        <v>261</v>
      </c>
      <c r="V777">
        <v>0</v>
      </c>
      <c r="W777"/>
      <c r="Y777" t="s">
        <v>377</v>
      </c>
      <c r="Z777" t="s">
        <v>378</v>
      </c>
      <c r="AA777" t="s">
        <v>379</v>
      </c>
      <c r="AB777" t="s">
        <v>543</v>
      </c>
      <c r="AC777" t="s">
        <v>379</v>
      </c>
      <c r="AD777" t="s">
        <v>841</v>
      </c>
      <c r="AE777" t="s">
        <v>41</v>
      </c>
      <c r="AF777" t="s">
        <v>41</v>
      </c>
      <c r="AI777">
        <v>134976</v>
      </c>
      <c r="AJ777">
        <v>1</v>
      </c>
      <c r="AK777" t="s">
        <v>40</v>
      </c>
      <c r="AL777">
        <v>261</v>
      </c>
    </row>
    <row r="778" spans="1:38" x14ac:dyDescent="0.25">
      <c r="A778" t="s">
        <v>43</v>
      </c>
      <c r="B778">
        <v>45975.879988425928</v>
      </c>
      <c r="C778">
        <v>92034</v>
      </c>
      <c r="D778" t="s">
        <v>494</v>
      </c>
      <c r="E778">
        <v>4502622</v>
      </c>
      <c r="F778">
        <v>2301240</v>
      </c>
      <c r="G778" t="s">
        <v>1181</v>
      </c>
      <c r="H778" t="s">
        <v>1128</v>
      </c>
      <c r="I778">
        <v>2.5</v>
      </c>
      <c r="J778" t="b">
        <v>1</v>
      </c>
      <c r="K778">
        <v>2.5773195876288658E-2</v>
      </c>
      <c r="L778">
        <v>2301241</v>
      </c>
      <c r="M778" t="s">
        <v>1182</v>
      </c>
      <c r="N778">
        <v>97</v>
      </c>
      <c r="O778">
        <v>114</v>
      </c>
      <c r="P778"/>
      <c r="Q778">
        <v>134976</v>
      </c>
      <c r="R778">
        <v>1</v>
      </c>
      <c r="S778" t="s">
        <v>40</v>
      </c>
      <c r="T778">
        <v>261</v>
      </c>
      <c r="W778"/>
      <c r="Y778" t="s">
        <v>377</v>
      </c>
      <c r="Z778" t="s">
        <v>378</v>
      </c>
      <c r="AA778" t="s">
        <v>379</v>
      </c>
      <c r="AB778" t="s">
        <v>798</v>
      </c>
      <c r="AC778" t="s">
        <v>41</v>
      </c>
      <c r="AD778" t="s">
        <v>41</v>
      </c>
      <c r="AE778" t="s">
        <v>41</v>
      </c>
      <c r="AF778" t="s">
        <v>41</v>
      </c>
      <c r="AK778"/>
    </row>
    <row r="779" spans="1:38" x14ac:dyDescent="0.25">
      <c r="A779" t="s">
        <v>38</v>
      </c>
      <c r="B779">
        <v>45975.883101851854</v>
      </c>
      <c r="C779">
        <v>91189</v>
      </c>
      <c r="D779" t="s">
        <v>494</v>
      </c>
      <c r="E779">
        <v>4495275</v>
      </c>
      <c r="F779">
        <v>2304758</v>
      </c>
      <c r="G779" t="s">
        <v>402</v>
      </c>
      <c r="H779" t="s">
        <v>1183</v>
      </c>
      <c r="I779">
        <v>14</v>
      </c>
      <c r="J779" t="b">
        <v>1</v>
      </c>
      <c r="K779">
        <v>1.75</v>
      </c>
      <c r="L779">
        <v>2304759</v>
      </c>
      <c r="M779" t="s">
        <v>404</v>
      </c>
      <c r="N779">
        <v>8</v>
      </c>
      <c r="O779">
        <v>8</v>
      </c>
      <c r="P779"/>
      <c r="Q779">
        <v>155687</v>
      </c>
      <c r="R779">
        <v>1</v>
      </c>
      <c r="S779" t="s">
        <v>40</v>
      </c>
      <c r="T779">
        <v>261</v>
      </c>
      <c r="U779">
        <v>147664</v>
      </c>
      <c r="V779">
        <v>24</v>
      </c>
      <c r="W779" t="s">
        <v>40</v>
      </c>
      <c r="X779">
        <v>261</v>
      </c>
      <c r="Y779" t="s">
        <v>377</v>
      </c>
      <c r="Z779" t="s">
        <v>378</v>
      </c>
      <c r="AA779" t="s">
        <v>384</v>
      </c>
      <c r="AB779" t="s">
        <v>384</v>
      </c>
      <c r="AC779" t="s">
        <v>41</v>
      </c>
      <c r="AD779" t="s">
        <v>41</v>
      </c>
      <c r="AE779" t="s">
        <v>41</v>
      </c>
      <c r="AF779" t="s">
        <v>41</v>
      </c>
      <c r="AK779"/>
    </row>
    <row r="780" spans="1:38" x14ac:dyDescent="0.25">
      <c r="A780" t="s">
        <v>37</v>
      </c>
      <c r="B780">
        <v>45976.023287037038</v>
      </c>
      <c r="C780">
        <v>90718</v>
      </c>
      <c r="D780" t="s">
        <v>494</v>
      </c>
      <c r="E780">
        <v>4478915</v>
      </c>
      <c r="F780">
        <v>2105804</v>
      </c>
      <c r="G780" t="s">
        <v>1184</v>
      </c>
      <c r="H780" t="s">
        <v>930</v>
      </c>
      <c r="I780">
        <v>10</v>
      </c>
      <c r="J780" t="b">
        <v>1</v>
      </c>
      <c r="K780">
        <v>3.3003300330033E-2</v>
      </c>
      <c r="L780">
        <v>2107054</v>
      </c>
      <c r="M780" t="s">
        <v>1185</v>
      </c>
      <c r="N780">
        <v>303</v>
      </c>
      <c r="O780">
        <v>350</v>
      </c>
      <c r="P780"/>
      <c r="Q780">
        <v>134976</v>
      </c>
      <c r="R780">
        <v>1</v>
      </c>
      <c r="S780" t="s">
        <v>40</v>
      </c>
      <c r="T780">
        <v>261</v>
      </c>
      <c r="W780"/>
      <c r="Y780" t="s">
        <v>49</v>
      </c>
      <c r="Z780" t="s">
        <v>378</v>
      </c>
      <c r="AA780" t="s">
        <v>379</v>
      </c>
      <c r="AB780" t="s">
        <v>1186</v>
      </c>
      <c r="AC780" t="s">
        <v>41</v>
      </c>
      <c r="AD780" t="s">
        <v>41</v>
      </c>
      <c r="AE780" t="s">
        <v>41</v>
      </c>
      <c r="AF780" t="s">
        <v>41</v>
      </c>
      <c r="AK780"/>
    </row>
    <row r="781" spans="1:38" x14ac:dyDescent="0.25">
      <c r="A781" t="s">
        <v>44</v>
      </c>
      <c r="B781">
        <v>45976.024571759262</v>
      </c>
      <c r="C781">
        <v>91964</v>
      </c>
      <c r="D781" t="s">
        <v>494</v>
      </c>
      <c r="E781">
        <v>4503520</v>
      </c>
      <c r="F781">
        <v>2104879</v>
      </c>
      <c r="G781" t="s">
        <v>556</v>
      </c>
      <c r="H781" t="s">
        <v>1187</v>
      </c>
      <c r="I781">
        <v>10</v>
      </c>
      <c r="J781" t="b">
        <v>1</v>
      </c>
      <c r="K781">
        <v>2</v>
      </c>
      <c r="L781">
        <v>2106199</v>
      </c>
      <c r="M781" t="s">
        <v>558</v>
      </c>
      <c r="N781">
        <v>5</v>
      </c>
      <c r="O781">
        <v>9</v>
      </c>
      <c r="P781"/>
      <c r="Q781">
        <v>134907</v>
      </c>
      <c r="R781">
        <v>1</v>
      </c>
      <c r="S781" t="s">
        <v>40</v>
      </c>
      <c r="T781">
        <v>261</v>
      </c>
      <c r="U781">
        <v>147664</v>
      </c>
      <c r="V781">
        <v>24</v>
      </c>
      <c r="W781" t="s">
        <v>40</v>
      </c>
      <c r="X781">
        <v>261</v>
      </c>
      <c r="Y781" t="s">
        <v>377</v>
      </c>
      <c r="Z781" t="s">
        <v>378</v>
      </c>
      <c r="AA781" t="s">
        <v>379</v>
      </c>
      <c r="AB781" t="s">
        <v>559</v>
      </c>
      <c r="AC781" t="s">
        <v>41</v>
      </c>
      <c r="AD781" t="s">
        <v>41</v>
      </c>
      <c r="AE781" t="s">
        <v>41</v>
      </c>
      <c r="AF781" t="s">
        <v>41</v>
      </c>
      <c r="AK781"/>
    </row>
    <row r="782" spans="1:38" x14ac:dyDescent="0.25">
      <c r="A782" t="s">
        <v>44</v>
      </c>
      <c r="B782">
        <v>45976.025393518517</v>
      </c>
      <c r="C782">
        <v>91964</v>
      </c>
      <c r="D782" t="s">
        <v>494</v>
      </c>
      <c r="E782">
        <v>4503519</v>
      </c>
      <c r="F782">
        <v>2104879</v>
      </c>
      <c r="G782" t="s">
        <v>556</v>
      </c>
      <c r="H782" t="s">
        <v>1187</v>
      </c>
      <c r="I782">
        <v>10</v>
      </c>
      <c r="J782" t="b">
        <v>1</v>
      </c>
      <c r="K782">
        <v>2.5</v>
      </c>
      <c r="L782">
        <v>2106199</v>
      </c>
      <c r="M782" t="s">
        <v>558</v>
      </c>
      <c r="N782">
        <v>4</v>
      </c>
      <c r="O782">
        <v>4</v>
      </c>
      <c r="P782"/>
      <c r="Q782">
        <v>134907</v>
      </c>
      <c r="R782">
        <v>1</v>
      </c>
      <c r="S782" t="s">
        <v>40</v>
      </c>
      <c r="T782">
        <v>261</v>
      </c>
      <c r="U782">
        <v>147664</v>
      </c>
      <c r="V782">
        <v>24</v>
      </c>
      <c r="W782" t="s">
        <v>40</v>
      </c>
      <c r="X782">
        <v>261</v>
      </c>
      <c r="Y782" t="s">
        <v>377</v>
      </c>
      <c r="Z782" t="s">
        <v>378</v>
      </c>
      <c r="AA782" t="s">
        <v>379</v>
      </c>
      <c r="AB782" t="s">
        <v>384</v>
      </c>
      <c r="AC782" t="s">
        <v>41</v>
      </c>
      <c r="AD782" t="s">
        <v>41</v>
      </c>
      <c r="AE782" t="s">
        <v>41</v>
      </c>
      <c r="AF782" t="s">
        <v>41</v>
      </c>
      <c r="AK782"/>
    </row>
    <row r="783" spans="1:38" x14ac:dyDescent="0.25">
      <c r="A783" t="s">
        <v>39</v>
      </c>
      <c r="B783">
        <v>45976.204884259256</v>
      </c>
      <c r="C783">
        <v>92552</v>
      </c>
      <c r="D783" t="s">
        <v>494</v>
      </c>
      <c r="E783">
        <v>4502167</v>
      </c>
      <c r="F783">
        <v>133168</v>
      </c>
      <c r="G783" t="s">
        <v>863</v>
      </c>
      <c r="H783" t="s">
        <v>1050</v>
      </c>
      <c r="I783">
        <v>64.3</v>
      </c>
      <c r="J783" t="b">
        <v>1</v>
      </c>
      <c r="K783">
        <v>0.75647058823529412</v>
      </c>
      <c r="L783">
        <v>144374</v>
      </c>
      <c r="M783" t="s">
        <v>865</v>
      </c>
      <c r="N783">
        <v>85</v>
      </c>
      <c r="O783">
        <v>85</v>
      </c>
      <c r="P783"/>
      <c r="Q783">
        <v>134971</v>
      </c>
      <c r="R783">
        <v>1</v>
      </c>
      <c r="S783" t="s">
        <v>40</v>
      </c>
      <c r="T783">
        <v>261</v>
      </c>
      <c r="U783">
        <v>147664</v>
      </c>
      <c r="V783">
        <v>24</v>
      </c>
      <c r="W783" t="s">
        <v>40</v>
      </c>
      <c r="X783">
        <v>261</v>
      </c>
      <c r="Y783" t="s">
        <v>377</v>
      </c>
      <c r="Z783" t="s">
        <v>378</v>
      </c>
      <c r="AA783" t="s">
        <v>379</v>
      </c>
      <c r="AB783" t="s">
        <v>841</v>
      </c>
      <c r="AC783" t="s">
        <v>41</v>
      </c>
      <c r="AD783" t="s">
        <v>41</v>
      </c>
      <c r="AE783" t="s">
        <v>41</v>
      </c>
      <c r="AF783" t="s">
        <v>41</v>
      </c>
      <c r="AK783"/>
    </row>
    <row r="784" spans="1:38" x14ac:dyDescent="0.25">
      <c r="A784" t="s">
        <v>42</v>
      </c>
      <c r="B784">
        <v>45976.344386574077</v>
      </c>
      <c r="C784">
        <v>90719</v>
      </c>
      <c r="D784" t="s">
        <v>373</v>
      </c>
      <c r="E784">
        <v>4478915</v>
      </c>
      <c r="F784">
        <v>2105804</v>
      </c>
      <c r="G784" t="s">
        <v>1184</v>
      </c>
      <c r="H784" t="s">
        <v>930</v>
      </c>
      <c r="I784">
        <v>10</v>
      </c>
      <c r="J784" t="b">
        <v>1</v>
      </c>
      <c r="K784">
        <v>0.14925373134328357</v>
      </c>
      <c r="L784">
        <v>2107054</v>
      </c>
      <c r="M784" t="s">
        <v>1185</v>
      </c>
      <c r="N784">
        <v>67</v>
      </c>
      <c r="O784">
        <v>0</v>
      </c>
      <c r="P784"/>
      <c r="Q784">
        <v>134977</v>
      </c>
      <c r="R784">
        <v>1</v>
      </c>
      <c r="S784" t="s">
        <v>40</v>
      </c>
      <c r="T784">
        <v>261</v>
      </c>
      <c r="W784"/>
      <c r="Y784" t="s">
        <v>377</v>
      </c>
      <c r="Z784" t="s">
        <v>378</v>
      </c>
      <c r="AA784" t="s">
        <v>379</v>
      </c>
      <c r="AB784" t="s">
        <v>1188</v>
      </c>
      <c r="AC784" t="s">
        <v>41</v>
      </c>
      <c r="AD784" t="s">
        <v>41</v>
      </c>
      <c r="AE784" t="s">
        <v>41</v>
      </c>
      <c r="AF784" t="s">
        <v>41</v>
      </c>
      <c r="AK784"/>
    </row>
    <row r="785" spans="1:38" x14ac:dyDescent="0.25">
      <c r="A785" t="s">
        <v>37</v>
      </c>
      <c r="B785">
        <v>45976.532037037039</v>
      </c>
      <c r="C785">
        <v>89594</v>
      </c>
      <c r="D785" t="s">
        <v>373</v>
      </c>
      <c r="E785">
        <v>4501673</v>
      </c>
      <c r="F785">
        <v>2123979</v>
      </c>
      <c r="G785" t="s">
        <v>425</v>
      </c>
      <c r="H785" t="s">
        <v>962</v>
      </c>
      <c r="I785">
        <v>7.5</v>
      </c>
      <c r="J785" t="b">
        <v>1</v>
      </c>
      <c r="K785">
        <v>0.625</v>
      </c>
      <c r="L785">
        <v>120995</v>
      </c>
      <c r="M785" t="s">
        <v>427</v>
      </c>
      <c r="N785">
        <v>12</v>
      </c>
      <c r="O785">
        <v>12</v>
      </c>
      <c r="P785"/>
      <c r="Q785">
        <v>134971</v>
      </c>
      <c r="R785">
        <v>1</v>
      </c>
      <c r="S785" t="s">
        <v>40</v>
      </c>
      <c r="T785">
        <v>261</v>
      </c>
      <c r="U785">
        <v>147664</v>
      </c>
      <c r="V785">
        <v>48</v>
      </c>
      <c r="W785" t="s">
        <v>40</v>
      </c>
      <c r="X785">
        <v>261</v>
      </c>
      <c r="Y785" t="s">
        <v>377</v>
      </c>
      <c r="Z785" t="s">
        <v>378</v>
      </c>
      <c r="AA785" t="s">
        <v>379</v>
      </c>
      <c r="AB785" t="s">
        <v>400</v>
      </c>
      <c r="AC785" t="s">
        <v>379</v>
      </c>
      <c r="AD785" t="s">
        <v>384</v>
      </c>
      <c r="AE785" t="s">
        <v>41</v>
      </c>
      <c r="AF785" t="s">
        <v>41</v>
      </c>
      <c r="AI785">
        <v>134971</v>
      </c>
      <c r="AJ785">
        <v>1</v>
      </c>
      <c r="AK785" t="s">
        <v>40</v>
      </c>
      <c r="AL785">
        <v>261</v>
      </c>
    </row>
    <row r="786" spans="1:38" x14ac:dyDescent="0.25">
      <c r="A786" t="s">
        <v>39</v>
      </c>
      <c r="B786">
        <v>45976.678611111114</v>
      </c>
      <c r="C786">
        <v>92035</v>
      </c>
      <c r="D786" t="s">
        <v>373</v>
      </c>
      <c r="E786">
        <v>4501737</v>
      </c>
      <c r="F786">
        <v>2115532</v>
      </c>
      <c r="G786" t="s">
        <v>1189</v>
      </c>
      <c r="H786" t="s">
        <v>1128</v>
      </c>
      <c r="I786">
        <v>2.5</v>
      </c>
      <c r="J786" t="b">
        <v>1</v>
      </c>
      <c r="K786">
        <v>1.6233766233766232E-2</v>
      </c>
      <c r="L786">
        <v>2116682</v>
      </c>
      <c r="M786" t="s">
        <v>1190</v>
      </c>
      <c r="N786">
        <v>154</v>
      </c>
      <c r="O786">
        <v>159</v>
      </c>
      <c r="P786"/>
      <c r="Q786">
        <v>134976</v>
      </c>
      <c r="R786">
        <v>1</v>
      </c>
      <c r="S786" t="s">
        <v>40</v>
      </c>
      <c r="T786">
        <v>261</v>
      </c>
      <c r="W786"/>
      <c r="Y786" t="s">
        <v>377</v>
      </c>
      <c r="Z786" t="s">
        <v>378</v>
      </c>
      <c r="AA786" t="s">
        <v>379</v>
      </c>
      <c r="AB786" t="s">
        <v>1191</v>
      </c>
      <c r="AC786" t="s">
        <v>41</v>
      </c>
      <c r="AD786" t="s">
        <v>41</v>
      </c>
      <c r="AE786" t="s">
        <v>41</v>
      </c>
      <c r="AF786" t="s">
        <v>41</v>
      </c>
      <c r="AK786"/>
    </row>
    <row r="787" spans="1:38" x14ac:dyDescent="0.25">
      <c r="A787" t="s">
        <v>43</v>
      </c>
      <c r="B787">
        <v>45976.68109953704</v>
      </c>
      <c r="C787">
        <v>91965</v>
      </c>
      <c r="D787" t="s">
        <v>373</v>
      </c>
      <c r="E787">
        <v>4503721</v>
      </c>
      <c r="F787">
        <v>2104879</v>
      </c>
      <c r="G787" t="s">
        <v>556</v>
      </c>
      <c r="H787" t="s">
        <v>1192</v>
      </c>
      <c r="I787">
        <v>5</v>
      </c>
      <c r="J787" t="b">
        <v>0</v>
      </c>
      <c r="K787">
        <v>1.25</v>
      </c>
      <c r="L787">
        <v>2106199</v>
      </c>
      <c r="M787" t="s">
        <v>558</v>
      </c>
      <c r="N787">
        <v>4</v>
      </c>
      <c r="O787">
        <v>4</v>
      </c>
      <c r="P787"/>
      <c r="Q787">
        <v>134971</v>
      </c>
      <c r="R787">
        <v>1</v>
      </c>
      <c r="S787" t="s">
        <v>40</v>
      </c>
      <c r="T787">
        <v>261</v>
      </c>
      <c r="U787">
        <v>147664</v>
      </c>
      <c r="V787">
        <v>24</v>
      </c>
      <c r="W787" t="s">
        <v>40</v>
      </c>
      <c r="X787">
        <v>261</v>
      </c>
      <c r="Y787" t="s">
        <v>377</v>
      </c>
      <c r="Z787" t="s">
        <v>378</v>
      </c>
      <c r="AA787" t="s">
        <v>379</v>
      </c>
      <c r="AB787" t="s">
        <v>384</v>
      </c>
      <c r="AC787" t="s">
        <v>41</v>
      </c>
      <c r="AD787" t="s">
        <v>41</v>
      </c>
      <c r="AE787" t="s">
        <v>41</v>
      </c>
      <c r="AF787" t="s">
        <v>41</v>
      </c>
      <c r="AK787"/>
    </row>
    <row r="788" spans="1:38" x14ac:dyDescent="0.25">
      <c r="A788" t="s">
        <v>43</v>
      </c>
      <c r="B788">
        <v>45976.684444444443</v>
      </c>
      <c r="C788">
        <v>91965</v>
      </c>
      <c r="D788" t="s">
        <v>373</v>
      </c>
      <c r="E788">
        <v>4503722</v>
      </c>
      <c r="F788">
        <v>2104879</v>
      </c>
      <c r="G788" t="s">
        <v>556</v>
      </c>
      <c r="H788" t="s">
        <v>1192</v>
      </c>
      <c r="I788">
        <v>5</v>
      </c>
      <c r="J788" t="b">
        <v>1</v>
      </c>
      <c r="K788">
        <v>1</v>
      </c>
      <c r="L788">
        <v>2106199</v>
      </c>
      <c r="M788" t="s">
        <v>558</v>
      </c>
      <c r="N788">
        <v>5</v>
      </c>
      <c r="O788">
        <v>5</v>
      </c>
      <c r="P788"/>
      <c r="Q788">
        <v>134971</v>
      </c>
      <c r="R788">
        <v>1</v>
      </c>
      <c r="S788" t="s">
        <v>40</v>
      </c>
      <c r="T788">
        <v>261</v>
      </c>
      <c r="U788">
        <v>147664</v>
      </c>
      <c r="V788">
        <v>24</v>
      </c>
      <c r="W788" t="s">
        <v>40</v>
      </c>
      <c r="X788">
        <v>261</v>
      </c>
      <c r="Y788" t="s">
        <v>377</v>
      </c>
      <c r="Z788" t="s">
        <v>378</v>
      </c>
      <c r="AA788" t="s">
        <v>379</v>
      </c>
      <c r="AB788" t="s">
        <v>559</v>
      </c>
      <c r="AC788" t="s">
        <v>41</v>
      </c>
      <c r="AD788" t="s">
        <v>41</v>
      </c>
      <c r="AE788" t="s">
        <v>41</v>
      </c>
      <c r="AF788" t="s">
        <v>41</v>
      </c>
      <c r="AK788"/>
    </row>
    <row r="789" spans="1:38" x14ac:dyDescent="0.25">
      <c r="A789" t="s">
        <v>44</v>
      </c>
      <c r="B789">
        <v>45977.169004629628</v>
      </c>
      <c r="C789">
        <v>91190</v>
      </c>
      <c r="D789" t="s">
        <v>590</v>
      </c>
      <c r="E789">
        <v>4495278</v>
      </c>
      <c r="F789">
        <v>2304758</v>
      </c>
      <c r="G789" t="s">
        <v>402</v>
      </c>
      <c r="H789" t="s">
        <v>1193</v>
      </c>
      <c r="I789">
        <v>14</v>
      </c>
      <c r="J789" t="b">
        <v>1</v>
      </c>
      <c r="K789">
        <v>1.75</v>
      </c>
      <c r="L789">
        <v>2304759</v>
      </c>
      <c r="M789" t="s">
        <v>404</v>
      </c>
      <c r="N789">
        <v>8</v>
      </c>
      <c r="O789">
        <v>8</v>
      </c>
      <c r="P789"/>
      <c r="Q789">
        <v>155687</v>
      </c>
      <c r="R789">
        <v>2</v>
      </c>
      <c r="S789" t="s">
        <v>40</v>
      </c>
      <c r="T789">
        <v>261</v>
      </c>
      <c r="U789">
        <v>147664</v>
      </c>
      <c r="V789">
        <v>48</v>
      </c>
      <c r="W789" t="s">
        <v>40</v>
      </c>
      <c r="X789">
        <v>261</v>
      </c>
      <c r="Y789" t="s">
        <v>377</v>
      </c>
      <c r="Z789" t="s">
        <v>378</v>
      </c>
      <c r="AA789" t="s">
        <v>379</v>
      </c>
      <c r="AB789" t="s">
        <v>384</v>
      </c>
      <c r="AC789" t="s">
        <v>41</v>
      </c>
      <c r="AD789" t="s">
        <v>41</v>
      </c>
      <c r="AE789" t="s">
        <v>41</v>
      </c>
      <c r="AF789" t="s">
        <v>41</v>
      </c>
      <c r="AK789"/>
    </row>
    <row r="790" spans="1:38" x14ac:dyDescent="0.25">
      <c r="A790" t="s">
        <v>37</v>
      </c>
      <c r="B790">
        <v>45977.170393518521</v>
      </c>
      <c r="C790">
        <v>91966</v>
      </c>
      <c r="D790" t="s">
        <v>590</v>
      </c>
      <c r="E790">
        <v>4503723</v>
      </c>
      <c r="F790">
        <v>2104879</v>
      </c>
      <c r="G790" t="s">
        <v>556</v>
      </c>
      <c r="H790" t="s">
        <v>1194</v>
      </c>
      <c r="I790">
        <v>10</v>
      </c>
      <c r="J790" t="b">
        <v>1</v>
      </c>
      <c r="K790">
        <v>2.5</v>
      </c>
      <c r="L790">
        <v>2106199</v>
      </c>
      <c r="M790" t="s">
        <v>558</v>
      </c>
      <c r="N790">
        <v>4</v>
      </c>
      <c r="O790">
        <v>4</v>
      </c>
      <c r="P790"/>
      <c r="Q790">
        <v>134907</v>
      </c>
      <c r="R790">
        <v>1</v>
      </c>
      <c r="S790" t="s">
        <v>40</v>
      </c>
      <c r="T790">
        <v>261</v>
      </c>
      <c r="U790">
        <v>147664</v>
      </c>
      <c r="V790">
        <v>24</v>
      </c>
      <c r="W790" t="s">
        <v>40</v>
      </c>
      <c r="X790">
        <v>261</v>
      </c>
      <c r="Y790" t="s">
        <v>377</v>
      </c>
      <c r="Z790" t="s">
        <v>378</v>
      </c>
      <c r="AA790" t="s">
        <v>379</v>
      </c>
      <c r="AB790" t="s">
        <v>384</v>
      </c>
      <c r="AC790" t="s">
        <v>41</v>
      </c>
      <c r="AD790" t="s">
        <v>41</v>
      </c>
      <c r="AE790" t="s">
        <v>41</v>
      </c>
      <c r="AF790" t="s">
        <v>41</v>
      </c>
      <c r="AK790"/>
    </row>
    <row r="791" spans="1:38" x14ac:dyDescent="0.25">
      <c r="A791" t="s">
        <v>37</v>
      </c>
      <c r="B791">
        <v>45977.171365740738</v>
      </c>
      <c r="C791">
        <v>91966</v>
      </c>
      <c r="D791" t="s">
        <v>590</v>
      </c>
      <c r="E791">
        <v>4503724</v>
      </c>
      <c r="F791">
        <v>2104879</v>
      </c>
      <c r="G791" t="s">
        <v>556</v>
      </c>
      <c r="H791" t="s">
        <v>1194</v>
      </c>
      <c r="I791">
        <v>10</v>
      </c>
      <c r="J791" t="b">
        <v>1</v>
      </c>
      <c r="K791">
        <v>2</v>
      </c>
      <c r="L791">
        <v>2106199</v>
      </c>
      <c r="M791" t="s">
        <v>558</v>
      </c>
      <c r="N791">
        <v>5</v>
      </c>
      <c r="O791">
        <v>5</v>
      </c>
      <c r="P791"/>
      <c r="Q791">
        <v>134907</v>
      </c>
      <c r="R791">
        <v>1</v>
      </c>
      <c r="S791" t="s">
        <v>40</v>
      </c>
      <c r="T791">
        <v>261</v>
      </c>
      <c r="U791">
        <v>147664</v>
      </c>
      <c r="V791">
        <v>24</v>
      </c>
      <c r="W791" t="s">
        <v>40</v>
      </c>
      <c r="X791">
        <v>261</v>
      </c>
      <c r="Y791" t="s">
        <v>377</v>
      </c>
      <c r="Z791" t="s">
        <v>378</v>
      </c>
      <c r="AA791" t="s">
        <v>379</v>
      </c>
      <c r="AB791" t="s">
        <v>559</v>
      </c>
      <c r="AC791" t="s">
        <v>41</v>
      </c>
      <c r="AD791" t="s">
        <v>41</v>
      </c>
      <c r="AE791" t="s">
        <v>41</v>
      </c>
      <c r="AF791" t="s">
        <v>41</v>
      </c>
      <c r="AK791"/>
    </row>
    <row r="792" spans="1:38" x14ac:dyDescent="0.25">
      <c r="A792" t="s">
        <v>38</v>
      </c>
      <c r="B792">
        <v>45977.174421296295</v>
      </c>
      <c r="C792">
        <v>89595</v>
      </c>
      <c r="D792" t="s">
        <v>590</v>
      </c>
      <c r="E792">
        <v>4501674</v>
      </c>
      <c r="F792">
        <v>2123979</v>
      </c>
      <c r="G792" t="s">
        <v>425</v>
      </c>
      <c r="H792" t="s">
        <v>976</v>
      </c>
      <c r="I792">
        <v>7.5</v>
      </c>
      <c r="J792" t="b">
        <v>1</v>
      </c>
      <c r="K792">
        <v>0.625</v>
      </c>
      <c r="L792">
        <v>120995</v>
      </c>
      <c r="M792" t="s">
        <v>427</v>
      </c>
      <c r="N792">
        <v>12</v>
      </c>
      <c r="O792">
        <v>2</v>
      </c>
      <c r="P792"/>
      <c r="Q792">
        <v>134971</v>
      </c>
      <c r="R792">
        <v>2</v>
      </c>
      <c r="S792" t="s">
        <v>40</v>
      </c>
      <c r="T792">
        <v>261</v>
      </c>
      <c r="U792">
        <v>147664</v>
      </c>
      <c r="V792">
        <v>48</v>
      </c>
      <c r="W792" t="s">
        <v>40</v>
      </c>
      <c r="X792">
        <v>261</v>
      </c>
      <c r="Y792" t="s">
        <v>377</v>
      </c>
      <c r="Z792" t="s">
        <v>378</v>
      </c>
      <c r="AA792" t="s">
        <v>379</v>
      </c>
      <c r="AB792" t="s">
        <v>400</v>
      </c>
      <c r="AC792" t="s">
        <v>379</v>
      </c>
      <c r="AD792" t="s">
        <v>384</v>
      </c>
      <c r="AE792" t="s">
        <v>41</v>
      </c>
      <c r="AF792" t="s">
        <v>41</v>
      </c>
      <c r="AK792"/>
    </row>
    <row r="793" spans="1:38" x14ac:dyDescent="0.25">
      <c r="A793" t="s">
        <v>47</v>
      </c>
      <c r="B793">
        <v>45977.445185185185</v>
      </c>
      <c r="C793">
        <v>92037</v>
      </c>
      <c r="D793" t="s">
        <v>373</v>
      </c>
      <c r="E793">
        <v>4502625</v>
      </c>
      <c r="F793">
        <v>2135650</v>
      </c>
      <c r="G793" t="s">
        <v>1195</v>
      </c>
      <c r="H793" t="s">
        <v>1128</v>
      </c>
      <c r="I793">
        <v>2.5</v>
      </c>
      <c r="J793" t="b">
        <v>1</v>
      </c>
      <c r="K793">
        <v>1.1904761904761904E-2</v>
      </c>
      <c r="L793">
        <v>2135672</v>
      </c>
      <c r="M793" t="s">
        <v>1196</v>
      </c>
      <c r="N793">
        <v>210</v>
      </c>
      <c r="O793">
        <v>204</v>
      </c>
      <c r="P793"/>
      <c r="Q793">
        <v>134976</v>
      </c>
      <c r="R793">
        <v>1</v>
      </c>
      <c r="S793" t="s">
        <v>40</v>
      </c>
      <c r="T793">
        <v>261</v>
      </c>
      <c r="W793"/>
      <c r="Y793" t="s">
        <v>377</v>
      </c>
      <c r="Z793" t="s">
        <v>378</v>
      </c>
      <c r="AA793" t="s">
        <v>379</v>
      </c>
      <c r="AB793" t="s">
        <v>636</v>
      </c>
      <c r="AC793" t="s">
        <v>41</v>
      </c>
      <c r="AD793" t="s">
        <v>41</v>
      </c>
      <c r="AE793" t="s">
        <v>41</v>
      </c>
      <c r="AF793" t="s">
        <v>41</v>
      </c>
      <c r="AK793"/>
    </row>
    <row r="794" spans="1:38" x14ac:dyDescent="0.25">
      <c r="A794" t="s">
        <v>42</v>
      </c>
      <c r="B794">
        <v>45977.585775462961</v>
      </c>
      <c r="C794">
        <v>89596</v>
      </c>
      <c r="D794" t="s">
        <v>373</v>
      </c>
      <c r="E794">
        <v>4501675</v>
      </c>
      <c r="F794">
        <v>2123979</v>
      </c>
      <c r="G794" t="s">
        <v>425</v>
      </c>
      <c r="H794" t="s">
        <v>994</v>
      </c>
      <c r="I794">
        <v>7.5</v>
      </c>
      <c r="J794" t="b">
        <v>0</v>
      </c>
      <c r="K794">
        <v>0.625</v>
      </c>
      <c r="L794">
        <v>120995</v>
      </c>
      <c r="M794" t="s">
        <v>427</v>
      </c>
      <c r="N794">
        <v>12</v>
      </c>
      <c r="O794">
        <v>12</v>
      </c>
      <c r="P794"/>
      <c r="Q794">
        <v>134906</v>
      </c>
      <c r="R794">
        <v>1</v>
      </c>
      <c r="S794" t="s">
        <v>40</v>
      </c>
      <c r="T794">
        <v>261</v>
      </c>
      <c r="U794">
        <v>147664</v>
      </c>
      <c r="V794">
        <v>24</v>
      </c>
      <c r="W794" t="s">
        <v>40</v>
      </c>
      <c r="X794">
        <v>261</v>
      </c>
      <c r="Y794" t="s">
        <v>377</v>
      </c>
      <c r="Z794" t="s">
        <v>378</v>
      </c>
      <c r="AA794" t="s">
        <v>379</v>
      </c>
      <c r="AB794" t="s">
        <v>400</v>
      </c>
      <c r="AC794" t="s">
        <v>379</v>
      </c>
      <c r="AD794" t="s">
        <v>384</v>
      </c>
      <c r="AE794" t="s">
        <v>41</v>
      </c>
      <c r="AF794" t="s">
        <v>41</v>
      </c>
      <c r="AK794"/>
    </row>
    <row r="795" spans="1:38" x14ac:dyDescent="0.25">
      <c r="A795" t="s">
        <v>38</v>
      </c>
      <c r="B795">
        <v>45978.057256944441</v>
      </c>
      <c r="C795">
        <v>92038</v>
      </c>
      <c r="D795" t="s">
        <v>590</v>
      </c>
      <c r="E795">
        <v>4503267</v>
      </c>
      <c r="F795">
        <v>2302166</v>
      </c>
      <c r="G795" t="s">
        <v>1197</v>
      </c>
      <c r="H795" t="s">
        <v>1128</v>
      </c>
      <c r="I795">
        <v>2.5</v>
      </c>
      <c r="J795" t="b">
        <v>1</v>
      </c>
      <c r="K795">
        <v>9.881422924901186E-3</v>
      </c>
      <c r="L795">
        <v>2302167</v>
      </c>
      <c r="M795" t="s">
        <v>1198</v>
      </c>
      <c r="N795">
        <v>253</v>
      </c>
      <c r="O795">
        <v>240</v>
      </c>
      <c r="P795"/>
      <c r="Q795">
        <v>134976</v>
      </c>
      <c r="R795">
        <v>2</v>
      </c>
      <c r="S795" t="s">
        <v>40</v>
      </c>
      <c r="T795">
        <v>261</v>
      </c>
      <c r="W795"/>
      <c r="Y795" t="s">
        <v>377</v>
      </c>
      <c r="Z795" t="s">
        <v>378</v>
      </c>
      <c r="AA795" t="s">
        <v>379</v>
      </c>
      <c r="AB795" t="s">
        <v>1199</v>
      </c>
      <c r="AC795" t="s">
        <v>379</v>
      </c>
      <c r="AD795" t="s">
        <v>603</v>
      </c>
      <c r="AE795" t="s">
        <v>41</v>
      </c>
      <c r="AF795" t="s">
        <v>41</v>
      </c>
      <c r="AK795"/>
    </row>
    <row r="796" spans="1:38" x14ac:dyDescent="0.25">
      <c r="A796" t="s">
        <v>44</v>
      </c>
      <c r="B796">
        <v>45978.058958333335</v>
      </c>
      <c r="C796">
        <v>91968</v>
      </c>
      <c r="D796" t="s">
        <v>590</v>
      </c>
      <c r="E796">
        <v>4503725</v>
      </c>
      <c r="F796">
        <v>2104879</v>
      </c>
      <c r="G796" t="s">
        <v>556</v>
      </c>
      <c r="H796" t="s">
        <v>1200</v>
      </c>
      <c r="I796">
        <v>10</v>
      </c>
      <c r="J796" t="b">
        <v>1</v>
      </c>
      <c r="K796">
        <v>2.5</v>
      </c>
      <c r="L796">
        <v>2106199</v>
      </c>
      <c r="M796" t="s">
        <v>558</v>
      </c>
      <c r="N796">
        <v>4</v>
      </c>
      <c r="O796">
        <v>4</v>
      </c>
      <c r="P796"/>
      <c r="Q796">
        <v>134905</v>
      </c>
      <c r="R796">
        <v>1</v>
      </c>
      <c r="S796" t="s">
        <v>40</v>
      </c>
      <c r="T796">
        <v>261</v>
      </c>
      <c r="U796">
        <v>147664</v>
      </c>
      <c r="V796">
        <v>24</v>
      </c>
      <c r="W796" t="s">
        <v>40</v>
      </c>
      <c r="X796">
        <v>261</v>
      </c>
      <c r="Y796" t="s">
        <v>377</v>
      </c>
      <c r="Z796" t="s">
        <v>378</v>
      </c>
      <c r="AA796" t="s">
        <v>379</v>
      </c>
      <c r="AB796" t="s">
        <v>384</v>
      </c>
      <c r="AC796" t="s">
        <v>41</v>
      </c>
      <c r="AD796" t="s">
        <v>41</v>
      </c>
      <c r="AE796" t="s">
        <v>41</v>
      </c>
      <c r="AF796" t="s">
        <v>41</v>
      </c>
      <c r="AK796"/>
    </row>
    <row r="797" spans="1:38" x14ac:dyDescent="0.25">
      <c r="A797" t="s">
        <v>44</v>
      </c>
      <c r="B797">
        <v>45978.060046296298</v>
      </c>
      <c r="C797">
        <v>91968</v>
      </c>
      <c r="D797" t="s">
        <v>590</v>
      </c>
      <c r="E797">
        <v>4503726</v>
      </c>
      <c r="F797">
        <v>2104879</v>
      </c>
      <c r="G797" t="s">
        <v>556</v>
      </c>
      <c r="H797" t="s">
        <v>1200</v>
      </c>
      <c r="I797">
        <v>10</v>
      </c>
      <c r="J797" t="b">
        <v>1</v>
      </c>
      <c r="K797">
        <v>2</v>
      </c>
      <c r="L797">
        <v>2106199</v>
      </c>
      <c r="M797" t="s">
        <v>558</v>
      </c>
      <c r="N797">
        <v>5</v>
      </c>
      <c r="O797">
        <v>5</v>
      </c>
      <c r="P797"/>
      <c r="Q797">
        <v>134905</v>
      </c>
      <c r="R797">
        <v>1</v>
      </c>
      <c r="S797" t="s">
        <v>40</v>
      </c>
      <c r="T797">
        <v>261</v>
      </c>
      <c r="U797">
        <v>147664</v>
      </c>
      <c r="V797">
        <v>24</v>
      </c>
      <c r="W797" t="s">
        <v>40</v>
      </c>
      <c r="X797">
        <v>261</v>
      </c>
      <c r="Y797" t="s">
        <v>377</v>
      </c>
      <c r="Z797" t="s">
        <v>378</v>
      </c>
      <c r="AA797" t="s">
        <v>379</v>
      </c>
      <c r="AB797" t="s">
        <v>559</v>
      </c>
      <c r="AC797" t="s">
        <v>41</v>
      </c>
      <c r="AD797" t="s">
        <v>41</v>
      </c>
      <c r="AE797" t="s">
        <v>41</v>
      </c>
      <c r="AF797" t="s">
        <v>41</v>
      </c>
      <c r="AK797"/>
    </row>
    <row r="798" spans="1:38" x14ac:dyDescent="0.25">
      <c r="A798" t="s">
        <v>37</v>
      </c>
      <c r="B798">
        <v>45978.152870370373</v>
      </c>
      <c r="C798">
        <v>91191</v>
      </c>
      <c r="D798" t="s">
        <v>590</v>
      </c>
      <c r="E798">
        <v>4502500</v>
      </c>
      <c r="F798">
        <v>156316</v>
      </c>
      <c r="G798" t="s">
        <v>899</v>
      </c>
      <c r="H798" t="s">
        <v>1094</v>
      </c>
      <c r="I798">
        <v>14</v>
      </c>
      <c r="J798" t="b">
        <v>1</v>
      </c>
      <c r="K798">
        <v>3.5</v>
      </c>
      <c r="L798">
        <v>156315</v>
      </c>
      <c r="M798" t="s">
        <v>901</v>
      </c>
      <c r="N798">
        <v>4</v>
      </c>
      <c r="O798">
        <v>4</v>
      </c>
      <c r="P798"/>
      <c r="Q798">
        <v>134905</v>
      </c>
      <c r="R798">
        <v>1</v>
      </c>
      <c r="S798" t="s">
        <v>40</v>
      </c>
      <c r="T798">
        <v>261</v>
      </c>
      <c r="U798">
        <v>147664</v>
      </c>
      <c r="V798">
        <v>24</v>
      </c>
      <c r="W798" t="s">
        <v>40</v>
      </c>
      <c r="X798">
        <v>261</v>
      </c>
      <c r="Y798" t="s">
        <v>377</v>
      </c>
      <c r="Z798" t="s">
        <v>378</v>
      </c>
      <c r="AA798" t="s">
        <v>379</v>
      </c>
      <c r="AB798" t="s">
        <v>384</v>
      </c>
      <c r="AC798" t="s">
        <v>41</v>
      </c>
      <c r="AD798" t="s">
        <v>41</v>
      </c>
      <c r="AE798" t="s">
        <v>41</v>
      </c>
      <c r="AF798" t="s">
        <v>41</v>
      </c>
      <c r="AK798"/>
    </row>
    <row r="799" spans="1:38" x14ac:dyDescent="0.25">
      <c r="A799" t="s">
        <v>37</v>
      </c>
      <c r="B799">
        <v>45978.154537037037</v>
      </c>
      <c r="C799">
        <v>91191</v>
      </c>
      <c r="D799" t="s">
        <v>590</v>
      </c>
      <c r="E799">
        <v>4502521</v>
      </c>
      <c r="F799">
        <v>156316</v>
      </c>
      <c r="G799" t="s">
        <v>899</v>
      </c>
      <c r="H799" t="s">
        <v>1094</v>
      </c>
      <c r="I799">
        <v>14</v>
      </c>
      <c r="J799" t="b">
        <v>1</v>
      </c>
      <c r="K799">
        <v>3.5</v>
      </c>
      <c r="L799">
        <v>156315</v>
      </c>
      <c r="M799" t="s">
        <v>901</v>
      </c>
      <c r="N799">
        <v>4</v>
      </c>
      <c r="O799">
        <v>4</v>
      </c>
      <c r="P799"/>
      <c r="Q799">
        <v>134905</v>
      </c>
      <c r="R799">
        <v>1</v>
      </c>
      <c r="S799" t="s">
        <v>40</v>
      </c>
      <c r="T799">
        <v>261</v>
      </c>
      <c r="U799">
        <v>147664</v>
      </c>
      <c r="V799">
        <v>24</v>
      </c>
      <c r="W799" t="s">
        <v>40</v>
      </c>
      <c r="X799">
        <v>261</v>
      </c>
      <c r="Y799" t="s">
        <v>377</v>
      </c>
      <c r="Z799" t="s">
        <v>378</v>
      </c>
      <c r="AA799" t="s">
        <v>379</v>
      </c>
      <c r="AB799" t="s">
        <v>384</v>
      </c>
      <c r="AC799" t="s">
        <v>41</v>
      </c>
      <c r="AD799" t="s">
        <v>41</v>
      </c>
      <c r="AE799" t="s">
        <v>41</v>
      </c>
      <c r="AF799" t="s">
        <v>41</v>
      </c>
      <c r="AK799"/>
    </row>
    <row r="800" spans="1:38" x14ac:dyDescent="0.25">
      <c r="A800" t="s">
        <v>39</v>
      </c>
      <c r="B800">
        <v>45978.177731481483</v>
      </c>
      <c r="C800">
        <v>91847</v>
      </c>
      <c r="D800" t="s">
        <v>590</v>
      </c>
      <c r="E800">
        <v>4503369</v>
      </c>
      <c r="F800">
        <v>2309881</v>
      </c>
      <c r="G800" t="s">
        <v>977</v>
      </c>
      <c r="H800" t="s">
        <v>1201</v>
      </c>
      <c r="I800">
        <v>20</v>
      </c>
      <c r="J800" t="b">
        <v>1</v>
      </c>
      <c r="K800">
        <v>8.2987551867219914E-2</v>
      </c>
      <c r="L800">
        <v>2309882</v>
      </c>
      <c r="M800" t="s">
        <v>978</v>
      </c>
      <c r="N800">
        <v>241</v>
      </c>
      <c r="O800">
        <v>400</v>
      </c>
      <c r="P800"/>
      <c r="Q800">
        <v>134974</v>
      </c>
      <c r="R800">
        <v>2</v>
      </c>
      <c r="S800" t="s">
        <v>40</v>
      </c>
      <c r="T800">
        <v>261</v>
      </c>
      <c r="W800"/>
      <c r="Y800" t="s">
        <v>377</v>
      </c>
      <c r="Z800" t="s">
        <v>378</v>
      </c>
      <c r="AA800" t="s">
        <v>379</v>
      </c>
      <c r="AB800" t="s">
        <v>762</v>
      </c>
      <c r="AC800" t="s">
        <v>379</v>
      </c>
      <c r="AD800" t="s">
        <v>763</v>
      </c>
      <c r="AE800" t="s">
        <v>41</v>
      </c>
      <c r="AF800" t="s">
        <v>41</v>
      </c>
      <c r="AK800"/>
    </row>
    <row r="801" spans="1:38" x14ac:dyDescent="0.25">
      <c r="A801" t="s">
        <v>45</v>
      </c>
      <c r="B801">
        <v>45978.382210648146</v>
      </c>
      <c r="C801">
        <v>92553</v>
      </c>
      <c r="D801" t="s">
        <v>401</v>
      </c>
      <c r="E801">
        <v>4502168</v>
      </c>
      <c r="F801">
        <v>133168</v>
      </c>
      <c r="G801" t="s">
        <v>863</v>
      </c>
      <c r="H801" t="s">
        <v>1106</v>
      </c>
      <c r="I801">
        <v>64.3</v>
      </c>
      <c r="J801" t="b">
        <v>1</v>
      </c>
      <c r="K801">
        <v>0.75647058823529412</v>
      </c>
      <c r="L801">
        <v>144374</v>
      </c>
      <c r="M801" t="s">
        <v>865</v>
      </c>
      <c r="N801">
        <v>85</v>
      </c>
      <c r="O801">
        <v>85</v>
      </c>
      <c r="P801"/>
      <c r="Q801">
        <v>134908</v>
      </c>
      <c r="R801">
        <v>1</v>
      </c>
      <c r="S801" t="s">
        <v>40</v>
      </c>
      <c r="T801">
        <v>261</v>
      </c>
      <c r="U801">
        <v>147664</v>
      </c>
      <c r="V801">
        <v>24</v>
      </c>
      <c r="W801" t="s">
        <v>40</v>
      </c>
      <c r="X801">
        <v>261</v>
      </c>
      <c r="Y801" t="s">
        <v>377</v>
      </c>
      <c r="Z801" t="s">
        <v>378</v>
      </c>
      <c r="AA801" t="s">
        <v>379</v>
      </c>
      <c r="AB801" t="s">
        <v>841</v>
      </c>
      <c r="AC801" t="s">
        <v>41</v>
      </c>
      <c r="AD801" t="s">
        <v>41</v>
      </c>
      <c r="AE801" t="s">
        <v>41</v>
      </c>
      <c r="AF801" t="s">
        <v>41</v>
      </c>
      <c r="AK801"/>
    </row>
    <row r="802" spans="1:38" x14ac:dyDescent="0.25">
      <c r="A802" t="s">
        <v>42</v>
      </c>
      <c r="B802">
        <v>45978.49894675926</v>
      </c>
      <c r="C802">
        <v>89597</v>
      </c>
      <c r="D802" t="s">
        <v>401</v>
      </c>
      <c r="E802">
        <v>4501863</v>
      </c>
      <c r="F802">
        <v>2104851</v>
      </c>
      <c r="G802" t="s">
        <v>429</v>
      </c>
      <c r="H802" t="s">
        <v>1013</v>
      </c>
      <c r="I802">
        <v>7.5</v>
      </c>
      <c r="J802" t="b">
        <v>1</v>
      </c>
      <c r="K802">
        <v>0.625</v>
      </c>
      <c r="L802">
        <v>2106168</v>
      </c>
      <c r="M802" t="s">
        <v>431</v>
      </c>
      <c r="N802">
        <v>12</v>
      </c>
      <c r="O802">
        <v>12</v>
      </c>
      <c r="P802"/>
      <c r="Q802">
        <v>134971</v>
      </c>
      <c r="R802">
        <v>2</v>
      </c>
      <c r="S802" t="s">
        <v>40</v>
      </c>
      <c r="T802">
        <v>261</v>
      </c>
      <c r="U802">
        <v>147664</v>
      </c>
      <c r="V802">
        <v>48</v>
      </c>
      <c r="W802" t="s">
        <v>40</v>
      </c>
      <c r="X802">
        <v>261</v>
      </c>
      <c r="Y802" t="s">
        <v>377</v>
      </c>
      <c r="Z802" t="s">
        <v>378</v>
      </c>
      <c r="AA802" t="s">
        <v>379</v>
      </c>
      <c r="AB802" t="s">
        <v>400</v>
      </c>
      <c r="AC802" t="s">
        <v>379</v>
      </c>
      <c r="AD802" t="s">
        <v>384</v>
      </c>
      <c r="AE802" t="s">
        <v>41</v>
      </c>
      <c r="AF802" t="s">
        <v>41</v>
      </c>
      <c r="AK802"/>
    </row>
    <row r="803" spans="1:38" x14ac:dyDescent="0.25">
      <c r="A803" t="s">
        <v>43</v>
      </c>
      <c r="B803">
        <v>45978.621400462966</v>
      </c>
      <c r="C803">
        <v>91848</v>
      </c>
      <c r="D803" t="s">
        <v>401</v>
      </c>
      <c r="E803">
        <v>4503369</v>
      </c>
      <c r="F803">
        <v>2309881</v>
      </c>
      <c r="G803" t="s">
        <v>977</v>
      </c>
      <c r="H803" t="s">
        <v>1201</v>
      </c>
      <c r="I803">
        <v>20</v>
      </c>
      <c r="J803" t="b">
        <v>1</v>
      </c>
      <c r="K803">
        <v>0.12422360248447205</v>
      </c>
      <c r="L803">
        <v>2309882</v>
      </c>
      <c r="M803" t="s">
        <v>978</v>
      </c>
      <c r="N803">
        <v>161</v>
      </c>
      <c r="O803">
        <v>0</v>
      </c>
      <c r="P803"/>
      <c r="Q803">
        <v>134976</v>
      </c>
      <c r="R803">
        <v>1</v>
      </c>
      <c r="S803" t="s">
        <v>40</v>
      </c>
      <c r="T803">
        <v>261</v>
      </c>
      <c r="V803">
        <v>0</v>
      </c>
      <c r="W803"/>
      <c r="Y803" t="s">
        <v>377</v>
      </c>
      <c r="Z803" t="s">
        <v>378</v>
      </c>
      <c r="AA803" t="s">
        <v>379</v>
      </c>
      <c r="AB803" t="s">
        <v>1105</v>
      </c>
      <c r="AC803" t="s">
        <v>379</v>
      </c>
      <c r="AD803" t="s">
        <v>1099</v>
      </c>
      <c r="AE803" t="s">
        <v>41</v>
      </c>
      <c r="AF803" t="s">
        <v>41</v>
      </c>
      <c r="AI803">
        <v>134974</v>
      </c>
      <c r="AJ803">
        <v>1</v>
      </c>
      <c r="AK803" t="s">
        <v>40</v>
      </c>
      <c r="AL803">
        <v>261</v>
      </c>
    </row>
    <row r="804" spans="1:38" x14ac:dyDescent="0.25">
      <c r="A804" t="s">
        <v>37</v>
      </c>
      <c r="B804">
        <v>45978.70034722222</v>
      </c>
      <c r="C804">
        <v>91969</v>
      </c>
      <c r="D804" t="s">
        <v>401</v>
      </c>
      <c r="E804">
        <v>4501339</v>
      </c>
      <c r="F804">
        <v>117619</v>
      </c>
      <c r="G804" t="s">
        <v>788</v>
      </c>
      <c r="H804" t="s">
        <v>1202</v>
      </c>
      <c r="I804">
        <v>10</v>
      </c>
      <c r="J804" t="b">
        <v>1</v>
      </c>
      <c r="K804">
        <v>1.25</v>
      </c>
      <c r="L804">
        <v>117620</v>
      </c>
      <c r="M804" t="s">
        <v>789</v>
      </c>
      <c r="N804">
        <v>8</v>
      </c>
      <c r="O804">
        <v>8</v>
      </c>
      <c r="P804"/>
      <c r="Q804">
        <v>134971</v>
      </c>
      <c r="R804">
        <v>2</v>
      </c>
      <c r="S804" t="s">
        <v>40</v>
      </c>
      <c r="T804">
        <v>261</v>
      </c>
      <c r="U804">
        <v>147664</v>
      </c>
      <c r="V804">
        <v>48</v>
      </c>
      <c r="W804" t="s">
        <v>40</v>
      </c>
      <c r="X804">
        <v>261</v>
      </c>
      <c r="Y804" t="s">
        <v>377</v>
      </c>
      <c r="Z804" t="s">
        <v>378</v>
      </c>
      <c r="AA804" t="s">
        <v>384</v>
      </c>
      <c r="AB804" t="s">
        <v>384</v>
      </c>
      <c r="AC804" t="s">
        <v>41</v>
      </c>
      <c r="AD804" t="s">
        <v>41</v>
      </c>
      <c r="AE804" t="s">
        <v>41</v>
      </c>
      <c r="AF804" t="s">
        <v>41</v>
      </c>
      <c r="AK804"/>
    </row>
    <row r="805" spans="1:38" x14ac:dyDescent="0.25">
      <c r="A805" t="s">
        <v>39</v>
      </c>
      <c r="B805">
        <v>45979.183715277781</v>
      </c>
      <c r="C805">
        <v>89598</v>
      </c>
      <c r="D805" t="s">
        <v>843</v>
      </c>
      <c r="E805">
        <v>4501864</v>
      </c>
      <c r="F805">
        <v>2104851</v>
      </c>
      <c r="G805" t="s">
        <v>429</v>
      </c>
      <c r="H805" t="s">
        <v>1018</v>
      </c>
      <c r="I805">
        <v>7.5</v>
      </c>
      <c r="J805" t="b">
        <v>1</v>
      </c>
      <c r="K805">
        <v>0.625</v>
      </c>
      <c r="L805">
        <v>2106168</v>
      </c>
      <c r="M805" t="s">
        <v>431</v>
      </c>
      <c r="N805">
        <v>12</v>
      </c>
      <c r="O805">
        <v>12</v>
      </c>
      <c r="P805"/>
      <c r="Q805">
        <v>134971</v>
      </c>
      <c r="R805">
        <v>2</v>
      </c>
      <c r="S805" t="s">
        <v>40</v>
      </c>
      <c r="T805">
        <v>261</v>
      </c>
      <c r="U805">
        <v>147664</v>
      </c>
      <c r="V805">
        <v>48</v>
      </c>
      <c r="W805" t="s">
        <v>40</v>
      </c>
      <c r="X805">
        <v>261</v>
      </c>
      <c r="Y805" t="s">
        <v>377</v>
      </c>
      <c r="Z805" t="s">
        <v>378</v>
      </c>
      <c r="AA805" t="s">
        <v>379</v>
      </c>
      <c r="AB805" t="s">
        <v>384</v>
      </c>
      <c r="AC805" t="s">
        <v>379</v>
      </c>
      <c r="AD805" t="s">
        <v>400</v>
      </c>
      <c r="AE805" t="s">
        <v>41</v>
      </c>
      <c r="AF805" t="s">
        <v>41</v>
      </c>
      <c r="AK805"/>
    </row>
    <row r="806" spans="1:38" x14ac:dyDescent="0.25">
      <c r="A806" t="s">
        <v>37</v>
      </c>
      <c r="B806">
        <v>45979.345648148148</v>
      </c>
      <c r="C806">
        <v>91970</v>
      </c>
      <c r="D806" t="s">
        <v>459</v>
      </c>
      <c r="E806">
        <v>4501340</v>
      </c>
      <c r="F806">
        <v>117619</v>
      </c>
      <c r="G806" t="s">
        <v>788</v>
      </c>
      <c r="H806" t="s">
        <v>949</v>
      </c>
      <c r="I806">
        <v>10</v>
      </c>
      <c r="J806" t="b">
        <v>1</v>
      </c>
      <c r="K806">
        <v>1.25</v>
      </c>
      <c r="L806">
        <v>117620</v>
      </c>
      <c r="M806" t="s">
        <v>789</v>
      </c>
      <c r="N806">
        <v>8</v>
      </c>
      <c r="O806">
        <v>8</v>
      </c>
      <c r="P806"/>
      <c r="Q806">
        <v>134971</v>
      </c>
      <c r="R806">
        <v>2</v>
      </c>
      <c r="S806" t="s">
        <v>40</v>
      </c>
      <c r="T806">
        <v>261</v>
      </c>
      <c r="U806">
        <v>147664</v>
      </c>
      <c r="V806">
        <v>48</v>
      </c>
      <c r="W806" t="s">
        <v>40</v>
      </c>
      <c r="X806">
        <v>261</v>
      </c>
      <c r="Y806" t="s">
        <v>377</v>
      </c>
      <c r="Z806" t="s">
        <v>378</v>
      </c>
      <c r="AA806" t="s">
        <v>384</v>
      </c>
      <c r="AB806" t="s">
        <v>384</v>
      </c>
      <c r="AC806" t="s">
        <v>41</v>
      </c>
      <c r="AD806" t="s">
        <v>41</v>
      </c>
      <c r="AE806" t="s">
        <v>41</v>
      </c>
      <c r="AF806" t="s">
        <v>41</v>
      </c>
      <c r="AK806"/>
    </row>
    <row r="807" spans="1:38" x14ac:dyDescent="0.25">
      <c r="A807" t="s">
        <v>38</v>
      </c>
      <c r="B807">
        <v>45979.41777777778</v>
      </c>
      <c r="C807">
        <v>91849</v>
      </c>
      <c r="D807" t="s">
        <v>459</v>
      </c>
      <c r="E807">
        <v>4503936</v>
      </c>
      <c r="F807">
        <v>2309881</v>
      </c>
      <c r="G807" t="s">
        <v>977</v>
      </c>
      <c r="H807" t="s">
        <v>1203</v>
      </c>
      <c r="I807">
        <v>20</v>
      </c>
      <c r="J807" t="b">
        <v>1</v>
      </c>
      <c r="K807">
        <v>8.3682008368200833E-2</v>
      </c>
      <c r="L807">
        <v>2309882</v>
      </c>
      <c r="M807" t="s">
        <v>978</v>
      </c>
      <c r="N807">
        <v>239</v>
      </c>
      <c r="O807">
        <v>433</v>
      </c>
      <c r="P807"/>
      <c r="Q807">
        <v>134974</v>
      </c>
      <c r="R807">
        <v>2</v>
      </c>
      <c r="S807" t="s">
        <v>40</v>
      </c>
      <c r="T807">
        <v>261</v>
      </c>
      <c r="W807"/>
      <c r="Y807" t="s">
        <v>377</v>
      </c>
      <c r="Z807" t="s">
        <v>378</v>
      </c>
      <c r="AA807" t="s">
        <v>379</v>
      </c>
      <c r="AB807" t="s">
        <v>493</v>
      </c>
      <c r="AC807" t="s">
        <v>379</v>
      </c>
      <c r="AD807" t="s">
        <v>616</v>
      </c>
      <c r="AE807" t="s">
        <v>41</v>
      </c>
      <c r="AF807" t="s">
        <v>41</v>
      </c>
      <c r="AK807"/>
    </row>
    <row r="808" spans="1:38" x14ac:dyDescent="0.25">
      <c r="A808" t="s">
        <v>43</v>
      </c>
      <c r="B808">
        <v>45979.487164351849</v>
      </c>
      <c r="C808">
        <v>91192</v>
      </c>
      <c r="D808" t="s">
        <v>459</v>
      </c>
      <c r="E808">
        <v>4500470</v>
      </c>
      <c r="F808">
        <v>156292</v>
      </c>
      <c r="G808" t="s">
        <v>46</v>
      </c>
      <c r="H808" t="s">
        <v>1117</v>
      </c>
      <c r="I808">
        <v>14</v>
      </c>
      <c r="J808" t="b">
        <v>1</v>
      </c>
      <c r="K808">
        <v>1.75</v>
      </c>
      <c r="L808">
        <v>156291</v>
      </c>
      <c r="M808" t="s">
        <v>433</v>
      </c>
      <c r="N808">
        <v>8</v>
      </c>
      <c r="O808">
        <v>8</v>
      </c>
      <c r="P808"/>
      <c r="Q808">
        <v>155687</v>
      </c>
      <c r="R808">
        <v>2</v>
      </c>
      <c r="S808" t="s">
        <v>40</v>
      </c>
      <c r="T808">
        <v>261</v>
      </c>
      <c r="U808">
        <v>147664</v>
      </c>
      <c r="V808">
        <v>48</v>
      </c>
      <c r="W808" t="s">
        <v>40</v>
      </c>
      <c r="X808">
        <v>261</v>
      </c>
      <c r="Y808" t="s">
        <v>377</v>
      </c>
      <c r="Z808" t="s">
        <v>378</v>
      </c>
      <c r="AA808" t="s">
        <v>384</v>
      </c>
      <c r="AB808" t="s">
        <v>384</v>
      </c>
      <c r="AC808" t="s">
        <v>41</v>
      </c>
      <c r="AD808" t="s">
        <v>41</v>
      </c>
      <c r="AE808" t="s">
        <v>41</v>
      </c>
      <c r="AF808" t="s">
        <v>41</v>
      </c>
      <c r="AK808"/>
    </row>
    <row r="809" spans="1:38" x14ac:dyDescent="0.25">
      <c r="A809" t="s">
        <v>43</v>
      </c>
      <c r="B809">
        <v>45979.53869212963</v>
      </c>
      <c r="C809">
        <v>91192</v>
      </c>
      <c r="D809" t="s">
        <v>457</v>
      </c>
      <c r="E809">
        <v>4500470</v>
      </c>
      <c r="F809">
        <v>156292</v>
      </c>
      <c r="G809" t="s">
        <v>46</v>
      </c>
      <c r="H809" t="s">
        <v>1117</v>
      </c>
      <c r="I809">
        <v>7</v>
      </c>
      <c r="J809" t="b">
        <v>1</v>
      </c>
      <c r="K809">
        <v>1.75</v>
      </c>
      <c r="L809">
        <v>156291</v>
      </c>
      <c r="M809" t="s">
        <v>433</v>
      </c>
      <c r="N809">
        <v>4</v>
      </c>
      <c r="O809">
        <v>4</v>
      </c>
      <c r="P809"/>
      <c r="Q809">
        <v>155687</v>
      </c>
      <c r="R809">
        <v>1</v>
      </c>
      <c r="S809" t="s">
        <v>40</v>
      </c>
      <c r="T809">
        <v>261</v>
      </c>
      <c r="U809">
        <v>147664</v>
      </c>
      <c r="V809">
        <v>24</v>
      </c>
      <c r="W809" t="s">
        <v>40</v>
      </c>
      <c r="X809">
        <v>261</v>
      </c>
      <c r="Y809" t="s">
        <v>377</v>
      </c>
      <c r="Z809" t="s">
        <v>378</v>
      </c>
      <c r="AA809" t="s">
        <v>379</v>
      </c>
      <c r="AB809" t="s">
        <v>384</v>
      </c>
      <c r="AC809" t="s">
        <v>41</v>
      </c>
      <c r="AD809" t="s">
        <v>41</v>
      </c>
      <c r="AE809" t="s">
        <v>41</v>
      </c>
      <c r="AF809" t="s">
        <v>41</v>
      </c>
      <c r="AK809"/>
    </row>
    <row r="810" spans="1:38" x14ac:dyDescent="0.25">
      <c r="A810" t="s">
        <v>43</v>
      </c>
      <c r="B810">
        <v>45979.539351851854</v>
      </c>
      <c r="C810">
        <v>91192</v>
      </c>
      <c r="D810" t="s">
        <v>457</v>
      </c>
      <c r="E810">
        <v>4500469</v>
      </c>
      <c r="F810">
        <v>156292</v>
      </c>
      <c r="G810" t="s">
        <v>46</v>
      </c>
      <c r="H810" t="s">
        <v>1117</v>
      </c>
      <c r="I810">
        <v>7</v>
      </c>
      <c r="J810" t="b">
        <v>1</v>
      </c>
      <c r="K810">
        <v>1.75</v>
      </c>
      <c r="L810">
        <v>156291</v>
      </c>
      <c r="M810" t="s">
        <v>433</v>
      </c>
      <c r="N810">
        <v>4</v>
      </c>
      <c r="O810">
        <v>4</v>
      </c>
      <c r="P810"/>
      <c r="Q810">
        <v>155687</v>
      </c>
      <c r="R810">
        <v>1</v>
      </c>
      <c r="S810" t="s">
        <v>40</v>
      </c>
      <c r="T810">
        <v>261</v>
      </c>
      <c r="U810">
        <v>147664</v>
      </c>
      <c r="V810">
        <v>24</v>
      </c>
      <c r="W810" t="s">
        <v>40</v>
      </c>
      <c r="X810">
        <v>261</v>
      </c>
      <c r="Y810" t="s">
        <v>377</v>
      </c>
      <c r="Z810" t="s">
        <v>378</v>
      </c>
      <c r="AA810" t="s">
        <v>379</v>
      </c>
      <c r="AB810" t="s">
        <v>384</v>
      </c>
      <c r="AC810" t="s">
        <v>41</v>
      </c>
      <c r="AD810" t="s">
        <v>41</v>
      </c>
      <c r="AE810" t="s">
        <v>41</v>
      </c>
      <c r="AF810" t="s">
        <v>41</v>
      </c>
      <c r="AK810"/>
    </row>
    <row r="811" spans="1:38" x14ac:dyDescent="0.25">
      <c r="A811" t="s">
        <v>42</v>
      </c>
      <c r="B811">
        <v>45979.650185185186</v>
      </c>
      <c r="C811">
        <v>91850</v>
      </c>
      <c r="D811" t="s">
        <v>459</v>
      </c>
      <c r="E811">
        <v>4503936</v>
      </c>
      <c r="F811">
        <v>2309881</v>
      </c>
      <c r="G811" t="s">
        <v>977</v>
      </c>
      <c r="H811" t="s">
        <v>1203</v>
      </c>
      <c r="I811">
        <v>20</v>
      </c>
      <c r="J811" t="b">
        <v>1</v>
      </c>
      <c r="K811">
        <v>9.1743119266055051E-2</v>
      </c>
      <c r="L811">
        <v>2309882</v>
      </c>
      <c r="M811" t="s">
        <v>978</v>
      </c>
      <c r="N811">
        <v>218</v>
      </c>
      <c r="O811">
        <v>0</v>
      </c>
      <c r="P811"/>
      <c r="Q811">
        <v>134974</v>
      </c>
      <c r="R811">
        <v>2</v>
      </c>
      <c r="S811" t="s">
        <v>40</v>
      </c>
      <c r="T811">
        <v>261</v>
      </c>
      <c r="W811"/>
      <c r="Y811" t="s">
        <v>377</v>
      </c>
      <c r="Z811" t="s">
        <v>378</v>
      </c>
      <c r="AA811" t="s">
        <v>379</v>
      </c>
      <c r="AB811" t="s">
        <v>486</v>
      </c>
      <c r="AC811" t="s">
        <v>379</v>
      </c>
      <c r="AD811" t="s">
        <v>1204</v>
      </c>
      <c r="AE811" t="s">
        <v>41</v>
      </c>
      <c r="AF811" t="s">
        <v>41</v>
      </c>
      <c r="AK811"/>
    </row>
    <row r="812" spans="1:38" x14ac:dyDescent="0.25">
      <c r="A812" t="s">
        <v>39</v>
      </c>
      <c r="B812">
        <v>45979.735196759262</v>
      </c>
      <c r="C812">
        <v>92039</v>
      </c>
      <c r="D812" t="s">
        <v>459</v>
      </c>
      <c r="E812">
        <v>4503270</v>
      </c>
      <c r="F812">
        <v>2104936</v>
      </c>
      <c r="G812" t="s">
        <v>1205</v>
      </c>
      <c r="H812" t="s">
        <v>1128</v>
      </c>
      <c r="I812">
        <v>7.5</v>
      </c>
      <c r="J812" t="b">
        <v>1</v>
      </c>
      <c r="K812">
        <v>1.6447368421052631E-2</v>
      </c>
      <c r="L812">
        <v>2106290</v>
      </c>
      <c r="M812" t="s">
        <v>1206</v>
      </c>
      <c r="N812">
        <v>456</v>
      </c>
      <c r="O812">
        <v>410</v>
      </c>
      <c r="P812"/>
      <c r="Q812">
        <v>134976</v>
      </c>
      <c r="R812">
        <v>2</v>
      </c>
      <c r="S812" t="s">
        <v>40</v>
      </c>
      <c r="T812">
        <v>261</v>
      </c>
      <c r="W812"/>
      <c r="Y812" t="s">
        <v>377</v>
      </c>
      <c r="Z812" t="s">
        <v>378</v>
      </c>
      <c r="AA812" t="s">
        <v>384</v>
      </c>
      <c r="AB812" t="s">
        <v>1142</v>
      </c>
      <c r="AC812" t="s">
        <v>41</v>
      </c>
      <c r="AD812" t="s">
        <v>41</v>
      </c>
      <c r="AE812" t="s">
        <v>41</v>
      </c>
      <c r="AF812" t="s">
        <v>41</v>
      </c>
      <c r="AK812"/>
    </row>
    <row r="813" spans="1:38" x14ac:dyDescent="0.25">
      <c r="A813" t="s">
        <v>39</v>
      </c>
      <c r="B813">
        <v>45980.095196759263</v>
      </c>
      <c r="C813">
        <v>89600</v>
      </c>
      <c r="D813" t="s">
        <v>682</v>
      </c>
      <c r="E813">
        <v>4501864</v>
      </c>
      <c r="F813">
        <v>2104851</v>
      </c>
      <c r="G813" t="s">
        <v>429</v>
      </c>
      <c r="H813" t="s">
        <v>1034</v>
      </c>
      <c r="I813">
        <v>3.2</v>
      </c>
      <c r="J813" t="b">
        <v>1</v>
      </c>
      <c r="K813">
        <v>0.26666666666666666</v>
      </c>
      <c r="L813">
        <v>2106168</v>
      </c>
      <c r="M813" t="s">
        <v>431</v>
      </c>
      <c r="N813">
        <v>12</v>
      </c>
      <c r="O813">
        <v>12</v>
      </c>
      <c r="P813"/>
      <c r="Q813">
        <v>134971</v>
      </c>
      <c r="R813">
        <v>1</v>
      </c>
      <c r="S813" t="s">
        <v>40</v>
      </c>
      <c r="T813">
        <v>261</v>
      </c>
      <c r="U813">
        <v>147664</v>
      </c>
      <c r="V813">
        <v>48</v>
      </c>
      <c r="W813" t="s">
        <v>40</v>
      </c>
      <c r="X813">
        <v>261</v>
      </c>
      <c r="Y813" t="s">
        <v>377</v>
      </c>
      <c r="Z813" t="s">
        <v>378</v>
      </c>
      <c r="AA813" t="s">
        <v>379</v>
      </c>
      <c r="AB813" t="s">
        <v>400</v>
      </c>
      <c r="AC813" t="s">
        <v>379</v>
      </c>
      <c r="AD813" t="s">
        <v>384</v>
      </c>
      <c r="AE813" t="s">
        <v>41</v>
      </c>
      <c r="AF813" t="s">
        <v>41</v>
      </c>
      <c r="AI813">
        <v>134971</v>
      </c>
      <c r="AJ813">
        <v>1</v>
      </c>
      <c r="AK813" t="s">
        <v>40</v>
      </c>
      <c r="AL813">
        <v>261</v>
      </c>
    </row>
    <row r="814" spans="1:38" x14ac:dyDescent="0.25">
      <c r="A814" t="s">
        <v>37</v>
      </c>
      <c r="B814">
        <v>45980.097291666665</v>
      </c>
      <c r="C814">
        <v>91972</v>
      </c>
      <c r="D814" t="s">
        <v>682</v>
      </c>
      <c r="E814">
        <v>4501441</v>
      </c>
      <c r="F814">
        <v>117619</v>
      </c>
      <c r="G814" t="s">
        <v>788</v>
      </c>
      <c r="H814" t="s">
        <v>955</v>
      </c>
      <c r="I814">
        <v>10</v>
      </c>
      <c r="J814" t="b">
        <v>1</v>
      </c>
      <c r="K814">
        <v>1.25</v>
      </c>
      <c r="L814">
        <v>117620</v>
      </c>
      <c r="M814" t="s">
        <v>789</v>
      </c>
      <c r="N814">
        <v>8</v>
      </c>
      <c r="O814">
        <v>8</v>
      </c>
      <c r="P814"/>
      <c r="Q814">
        <v>0</v>
      </c>
      <c r="R814">
        <v>0</v>
      </c>
      <c r="S814" t="s">
        <v>40</v>
      </c>
      <c r="T814">
        <v>261</v>
      </c>
      <c r="W814"/>
      <c r="Y814" t="s">
        <v>377</v>
      </c>
      <c r="Z814" t="s">
        <v>378</v>
      </c>
      <c r="AA814" t="s">
        <v>379</v>
      </c>
      <c r="AB814" t="s">
        <v>400</v>
      </c>
      <c r="AC814" t="s">
        <v>41</v>
      </c>
      <c r="AD814" t="s">
        <v>41</v>
      </c>
      <c r="AE814" t="s">
        <v>41</v>
      </c>
      <c r="AF814" t="s">
        <v>41</v>
      </c>
      <c r="AK814"/>
    </row>
    <row r="815" spans="1:38" x14ac:dyDescent="0.25">
      <c r="A815" t="s">
        <v>43</v>
      </c>
      <c r="B815">
        <v>45980.182974537034</v>
      </c>
      <c r="C815">
        <v>92040</v>
      </c>
      <c r="D815" t="s">
        <v>682</v>
      </c>
      <c r="E815">
        <v>4503271</v>
      </c>
      <c r="F815">
        <v>2104936</v>
      </c>
      <c r="G815" t="s">
        <v>1205</v>
      </c>
      <c r="H815" t="s">
        <v>1156</v>
      </c>
      <c r="I815">
        <v>7.5</v>
      </c>
      <c r="J815" t="b">
        <v>1</v>
      </c>
      <c r="K815">
        <v>2.9296875E-2</v>
      </c>
      <c r="L815">
        <v>2106290</v>
      </c>
      <c r="M815" t="s">
        <v>1206</v>
      </c>
      <c r="N815">
        <v>256</v>
      </c>
      <c r="O815">
        <v>256</v>
      </c>
      <c r="P815"/>
      <c r="Q815">
        <v>134976</v>
      </c>
      <c r="R815">
        <v>1</v>
      </c>
      <c r="S815" t="s">
        <v>40</v>
      </c>
      <c r="T815">
        <v>261</v>
      </c>
      <c r="W815"/>
      <c r="Y815" t="s">
        <v>377</v>
      </c>
      <c r="Z815" t="s">
        <v>378</v>
      </c>
      <c r="AA815" t="s">
        <v>379</v>
      </c>
      <c r="AB815" t="s">
        <v>1207</v>
      </c>
      <c r="AC815" t="s">
        <v>41</v>
      </c>
      <c r="AD815" t="s">
        <v>41</v>
      </c>
      <c r="AE815" t="s">
        <v>41</v>
      </c>
      <c r="AF815" t="s">
        <v>41</v>
      </c>
      <c r="AK815"/>
    </row>
    <row r="816" spans="1:38" x14ac:dyDescent="0.25">
      <c r="A816" t="s">
        <v>38</v>
      </c>
      <c r="B816">
        <v>45980.406574074077</v>
      </c>
      <c r="C816">
        <v>91185</v>
      </c>
      <c r="D816" t="s">
        <v>646</v>
      </c>
      <c r="E816">
        <v>4500180</v>
      </c>
      <c r="F816">
        <v>120138</v>
      </c>
      <c r="G816" t="s">
        <v>911</v>
      </c>
      <c r="H816" t="s">
        <v>1004</v>
      </c>
      <c r="I816">
        <v>14</v>
      </c>
      <c r="J816" t="b">
        <v>1</v>
      </c>
      <c r="K816">
        <v>3.5</v>
      </c>
      <c r="L816">
        <v>120139</v>
      </c>
      <c r="M816" t="s">
        <v>1092</v>
      </c>
      <c r="N816">
        <v>4</v>
      </c>
      <c r="O816">
        <v>6</v>
      </c>
      <c r="P816"/>
      <c r="Q816">
        <v>155687</v>
      </c>
      <c r="R816">
        <v>1</v>
      </c>
      <c r="S816" t="s">
        <v>40</v>
      </c>
      <c r="T816">
        <v>261</v>
      </c>
      <c r="U816">
        <v>147664</v>
      </c>
      <c r="V816">
        <v>24</v>
      </c>
      <c r="W816" t="s">
        <v>40</v>
      </c>
      <c r="X816">
        <v>261</v>
      </c>
      <c r="Y816" t="s">
        <v>377</v>
      </c>
      <c r="Z816" t="s">
        <v>378</v>
      </c>
      <c r="AA816" t="s">
        <v>379</v>
      </c>
      <c r="AB816" t="s">
        <v>384</v>
      </c>
      <c r="AC816" t="s">
        <v>41</v>
      </c>
      <c r="AD816" t="s">
        <v>41</v>
      </c>
      <c r="AE816" t="s">
        <v>41</v>
      </c>
      <c r="AF816" t="s">
        <v>41</v>
      </c>
      <c r="AK816"/>
    </row>
    <row r="817" spans="1:37" x14ac:dyDescent="0.25">
      <c r="A817" t="s">
        <v>37</v>
      </c>
      <c r="B817">
        <v>45980.557604166665</v>
      </c>
      <c r="C817">
        <v>89601</v>
      </c>
      <c r="D817" t="s">
        <v>646</v>
      </c>
      <c r="E817">
        <v>4501676</v>
      </c>
      <c r="F817">
        <v>2123979</v>
      </c>
      <c r="G817" t="s">
        <v>425</v>
      </c>
      <c r="H817" t="s">
        <v>1003</v>
      </c>
      <c r="I817">
        <v>7.5</v>
      </c>
      <c r="J817" t="b">
        <v>1</v>
      </c>
      <c r="K817">
        <v>0.625</v>
      </c>
      <c r="L817">
        <v>120995</v>
      </c>
      <c r="M817" t="s">
        <v>427</v>
      </c>
      <c r="N817">
        <v>12</v>
      </c>
      <c r="O817">
        <v>12</v>
      </c>
      <c r="P817"/>
      <c r="Q817">
        <v>134971</v>
      </c>
      <c r="R817">
        <v>2</v>
      </c>
      <c r="S817" t="s">
        <v>40</v>
      </c>
      <c r="T817">
        <v>261</v>
      </c>
      <c r="U817">
        <v>147664</v>
      </c>
      <c r="V817">
        <v>48</v>
      </c>
      <c r="W817" t="s">
        <v>40</v>
      </c>
      <c r="X817">
        <v>261</v>
      </c>
      <c r="Y817" t="s">
        <v>377</v>
      </c>
      <c r="Z817" t="s">
        <v>378</v>
      </c>
      <c r="AA817" t="s">
        <v>379</v>
      </c>
      <c r="AB817" t="s">
        <v>400</v>
      </c>
      <c r="AC817" t="s">
        <v>379</v>
      </c>
      <c r="AD817" t="s">
        <v>384</v>
      </c>
      <c r="AE817" t="s">
        <v>41</v>
      </c>
      <c r="AF817" t="s">
        <v>41</v>
      </c>
      <c r="AK817"/>
    </row>
    <row r="818" spans="1:37" x14ac:dyDescent="0.25">
      <c r="A818" t="s">
        <v>39</v>
      </c>
      <c r="B818">
        <v>45980.584131944444</v>
      </c>
      <c r="C818">
        <v>92041</v>
      </c>
      <c r="D818" t="s">
        <v>646</v>
      </c>
      <c r="E818">
        <v>4504202</v>
      </c>
      <c r="F818">
        <v>2104980</v>
      </c>
      <c r="G818" t="s">
        <v>848</v>
      </c>
      <c r="H818" t="s">
        <v>1156</v>
      </c>
      <c r="I818">
        <v>7.5</v>
      </c>
      <c r="J818" t="b">
        <v>1</v>
      </c>
      <c r="K818">
        <v>3.7688442211055273E-2</v>
      </c>
      <c r="L818">
        <v>2106313</v>
      </c>
      <c r="M818" t="s">
        <v>849</v>
      </c>
      <c r="N818">
        <v>199</v>
      </c>
      <c r="O818">
        <v>174</v>
      </c>
      <c r="P818"/>
      <c r="Q818">
        <v>134974</v>
      </c>
      <c r="R818">
        <v>1</v>
      </c>
      <c r="S818" t="s">
        <v>40</v>
      </c>
      <c r="T818">
        <v>261</v>
      </c>
      <c r="W818"/>
      <c r="Y818" t="s">
        <v>377</v>
      </c>
      <c r="Z818" t="s">
        <v>378</v>
      </c>
      <c r="AA818" t="s">
        <v>379</v>
      </c>
      <c r="AB818" t="s">
        <v>1158</v>
      </c>
      <c r="AC818" t="s">
        <v>41</v>
      </c>
      <c r="AD818" t="s">
        <v>41</v>
      </c>
      <c r="AE818" t="s">
        <v>41</v>
      </c>
      <c r="AF818" t="s">
        <v>41</v>
      </c>
      <c r="AK818"/>
    </row>
    <row r="819" spans="1:37" x14ac:dyDescent="0.25">
      <c r="A819" t="s">
        <v>39</v>
      </c>
      <c r="B819">
        <v>45980.859050925923</v>
      </c>
      <c r="C819">
        <v>91851</v>
      </c>
      <c r="D819" t="s">
        <v>531</v>
      </c>
      <c r="E819">
        <v>4496753</v>
      </c>
      <c r="F819">
        <v>2309762</v>
      </c>
      <c r="G819" t="s">
        <v>1208</v>
      </c>
      <c r="H819" t="s">
        <v>979</v>
      </c>
      <c r="I819">
        <v>7.5</v>
      </c>
      <c r="J819" t="b">
        <v>1</v>
      </c>
      <c r="K819">
        <v>3.5545023696682464E-2</v>
      </c>
      <c r="L819">
        <v>2309763</v>
      </c>
      <c r="M819" t="s">
        <v>1209</v>
      </c>
      <c r="N819">
        <v>211</v>
      </c>
      <c r="O819">
        <v>894</v>
      </c>
      <c r="P819" t="s">
        <v>906</v>
      </c>
      <c r="Q819">
        <v>0</v>
      </c>
      <c r="R819">
        <v>0</v>
      </c>
      <c r="S819" t="s">
        <v>40</v>
      </c>
      <c r="T819">
        <v>261</v>
      </c>
      <c r="W819"/>
      <c r="Y819" t="s">
        <v>377</v>
      </c>
      <c r="Z819" t="s">
        <v>378</v>
      </c>
      <c r="AA819" t="s">
        <v>379</v>
      </c>
      <c r="AB819" t="s">
        <v>777</v>
      </c>
      <c r="AC819" t="s">
        <v>41</v>
      </c>
      <c r="AD819" t="s">
        <v>41</v>
      </c>
      <c r="AE819" t="s">
        <v>41</v>
      </c>
      <c r="AF819" t="s">
        <v>41</v>
      </c>
      <c r="AK819"/>
    </row>
    <row r="820" spans="1:37" x14ac:dyDescent="0.25">
      <c r="A820" t="s">
        <v>39</v>
      </c>
      <c r="B820">
        <v>45980.86078703704</v>
      </c>
      <c r="C820">
        <v>92042</v>
      </c>
      <c r="D820" t="s">
        <v>531</v>
      </c>
      <c r="E820">
        <v>4504219</v>
      </c>
      <c r="F820">
        <v>2105587</v>
      </c>
      <c r="G820" t="s">
        <v>816</v>
      </c>
      <c r="H820" t="s">
        <v>1210</v>
      </c>
      <c r="I820">
        <v>1.5</v>
      </c>
      <c r="J820" t="b">
        <v>1</v>
      </c>
      <c r="K820">
        <v>7.8947368421052634E-3</v>
      </c>
      <c r="L820">
        <v>2106851</v>
      </c>
      <c r="M820" t="s">
        <v>817</v>
      </c>
      <c r="N820">
        <v>190</v>
      </c>
      <c r="O820">
        <v>210</v>
      </c>
      <c r="P820"/>
      <c r="Q820">
        <v>134976</v>
      </c>
      <c r="R820">
        <v>1</v>
      </c>
      <c r="S820" t="s">
        <v>40</v>
      </c>
      <c r="T820">
        <v>261</v>
      </c>
      <c r="W820"/>
      <c r="Y820" t="s">
        <v>377</v>
      </c>
      <c r="Z820" t="s">
        <v>378</v>
      </c>
      <c r="AA820" t="s">
        <v>379</v>
      </c>
      <c r="AB820" t="s">
        <v>1097</v>
      </c>
      <c r="AC820" t="s">
        <v>41</v>
      </c>
      <c r="AD820" t="s">
        <v>41</v>
      </c>
      <c r="AE820" t="s">
        <v>41</v>
      </c>
      <c r="AF820" t="s">
        <v>41</v>
      </c>
      <c r="AK820"/>
    </row>
    <row r="821" spans="1:37" x14ac:dyDescent="0.25">
      <c r="A821" t="s">
        <v>43</v>
      </c>
      <c r="B821">
        <v>45980.862893518519</v>
      </c>
      <c r="C821">
        <v>91851</v>
      </c>
      <c r="D821" t="s">
        <v>531</v>
      </c>
      <c r="E821">
        <v>4496753</v>
      </c>
      <c r="F821">
        <v>2309762</v>
      </c>
      <c r="G821" t="s">
        <v>1208</v>
      </c>
      <c r="H821" t="s">
        <v>979</v>
      </c>
      <c r="I821">
        <v>7.5</v>
      </c>
      <c r="J821" t="b">
        <v>1</v>
      </c>
      <c r="K821">
        <v>3.5545023696682464E-2</v>
      </c>
      <c r="L821">
        <v>2309763</v>
      </c>
      <c r="M821" t="s">
        <v>1209</v>
      </c>
      <c r="N821">
        <v>211</v>
      </c>
      <c r="O821">
        <v>894</v>
      </c>
      <c r="P821" t="s">
        <v>906</v>
      </c>
      <c r="Q821">
        <v>0</v>
      </c>
      <c r="R821">
        <v>0</v>
      </c>
      <c r="S821" t="s">
        <v>40</v>
      </c>
      <c r="T821">
        <v>261</v>
      </c>
      <c r="W821"/>
      <c r="Y821" t="s">
        <v>377</v>
      </c>
      <c r="Z821" t="s">
        <v>378</v>
      </c>
      <c r="AA821" t="s">
        <v>379</v>
      </c>
      <c r="AB821" t="s">
        <v>777</v>
      </c>
      <c r="AC821" t="s">
        <v>41</v>
      </c>
      <c r="AD821" t="s">
        <v>41</v>
      </c>
      <c r="AE821" t="s">
        <v>41</v>
      </c>
      <c r="AF821" t="s">
        <v>41</v>
      </c>
      <c r="AK821"/>
    </row>
    <row r="822" spans="1:37" x14ac:dyDescent="0.25">
      <c r="A822" t="s">
        <v>38</v>
      </c>
      <c r="B822">
        <v>45981.073819444442</v>
      </c>
      <c r="C822">
        <v>91194</v>
      </c>
      <c r="D822" t="s">
        <v>531</v>
      </c>
      <c r="E822">
        <v>4500472</v>
      </c>
      <c r="F822">
        <v>156292</v>
      </c>
      <c r="G822" t="s">
        <v>46</v>
      </c>
      <c r="H822" t="s">
        <v>1122</v>
      </c>
      <c r="I822">
        <v>14</v>
      </c>
      <c r="J822" t="b">
        <v>1</v>
      </c>
      <c r="K822">
        <v>3.5</v>
      </c>
      <c r="L822">
        <v>156291</v>
      </c>
      <c r="M822" t="s">
        <v>433</v>
      </c>
      <c r="N822">
        <v>4</v>
      </c>
      <c r="O822">
        <v>4</v>
      </c>
      <c r="P822"/>
      <c r="Q822">
        <v>2301936</v>
      </c>
      <c r="R822">
        <v>1</v>
      </c>
      <c r="S822" t="s">
        <v>40</v>
      </c>
      <c r="T822">
        <v>261</v>
      </c>
      <c r="U822">
        <v>147664</v>
      </c>
      <c r="V822">
        <v>24</v>
      </c>
      <c r="W822" t="s">
        <v>40</v>
      </c>
      <c r="X822">
        <v>261</v>
      </c>
      <c r="Y822" t="s">
        <v>377</v>
      </c>
      <c r="Z822" t="s">
        <v>378</v>
      </c>
      <c r="AA822" t="s">
        <v>379</v>
      </c>
      <c r="AB822" t="s">
        <v>384</v>
      </c>
      <c r="AC822" t="s">
        <v>41</v>
      </c>
      <c r="AD822" t="s">
        <v>41</v>
      </c>
      <c r="AE822" t="s">
        <v>41</v>
      </c>
      <c r="AF822" t="s">
        <v>41</v>
      </c>
      <c r="AK822"/>
    </row>
    <row r="823" spans="1:37" x14ac:dyDescent="0.25">
      <c r="A823" t="s">
        <v>38</v>
      </c>
      <c r="B823">
        <v>45981.076909722222</v>
      </c>
      <c r="C823">
        <v>91194</v>
      </c>
      <c r="D823" t="s">
        <v>531</v>
      </c>
      <c r="E823">
        <v>4500471</v>
      </c>
      <c r="F823">
        <v>156292</v>
      </c>
      <c r="G823" t="s">
        <v>46</v>
      </c>
      <c r="H823" t="s">
        <v>1122</v>
      </c>
      <c r="I823">
        <v>14</v>
      </c>
      <c r="J823" t="b">
        <v>1</v>
      </c>
      <c r="K823">
        <v>3.5</v>
      </c>
      <c r="L823">
        <v>156291</v>
      </c>
      <c r="M823" t="s">
        <v>433</v>
      </c>
      <c r="N823">
        <v>4</v>
      </c>
      <c r="O823">
        <v>4</v>
      </c>
      <c r="P823"/>
      <c r="Q823">
        <v>2301936</v>
      </c>
      <c r="R823">
        <v>1</v>
      </c>
      <c r="S823" t="s">
        <v>40</v>
      </c>
      <c r="T823">
        <v>261</v>
      </c>
      <c r="U823">
        <v>147664</v>
      </c>
      <c r="V823">
        <v>24</v>
      </c>
      <c r="W823" t="s">
        <v>40</v>
      </c>
      <c r="X823">
        <v>261</v>
      </c>
      <c r="Y823" t="s">
        <v>377</v>
      </c>
      <c r="Z823" t="s">
        <v>378</v>
      </c>
      <c r="AA823" t="s">
        <v>379</v>
      </c>
      <c r="AB823" t="s">
        <v>384</v>
      </c>
      <c r="AC823" t="s">
        <v>41</v>
      </c>
      <c r="AD823" t="s">
        <v>41</v>
      </c>
      <c r="AE823" t="s">
        <v>41</v>
      </c>
      <c r="AF823" t="s">
        <v>41</v>
      </c>
      <c r="AK823"/>
    </row>
    <row r="824" spans="1:37" x14ac:dyDescent="0.25">
      <c r="A824" t="s">
        <v>37</v>
      </c>
      <c r="B824">
        <v>45981.080277777779</v>
      </c>
      <c r="C824">
        <v>89602</v>
      </c>
      <c r="D824" t="s">
        <v>531</v>
      </c>
      <c r="E824">
        <v>4501677</v>
      </c>
      <c r="F824">
        <v>2123979</v>
      </c>
      <c r="G824" t="s">
        <v>425</v>
      </c>
      <c r="H824" t="s">
        <v>1049</v>
      </c>
      <c r="I824">
        <v>7.5</v>
      </c>
      <c r="J824" t="b">
        <v>1</v>
      </c>
      <c r="K824">
        <v>0.625</v>
      </c>
      <c r="L824">
        <v>120995</v>
      </c>
      <c r="M824" t="s">
        <v>427</v>
      </c>
      <c r="N824">
        <v>12</v>
      </c>
      <c r="O824">
        <v>12</v>
      </c>
      <c r="P824"/>
      <c r="Q824">
        <v>0</v>
      </c>
      <c r="R824">
        <v>0</v>
      </c>
      <c r="S824" t="s">
        <v>40</v>
      </c>
      <c r="T824">
        <v>261</v>
      </c>
      <c r="W824"/>
      <c r="Y824" t="s">
        <v>377</v>
      </c>
      <c r="Z824" t="s">
        <v>378</v>
      </c>
      <c r="AA824" t="s">
        <v>379</v>
      </c>
      <c r="AB824" t="s">
        <v>409</v>
      </c>
      <c r="AC824" t="s">
        <v>41</v>
      </c>
      <c r="AD824" t="s">
        <v>41</v>
      </c>
      <c r="AE824" t="s">
        <v>41</v>
      </c>
      <c r="AF824" t="s">
        <v>41</v>
      </c>
      <c r="AK824"/>
    </row>
    <row r="825" spans="1:37" x14ac:dyDescent="0.25">
      <c r="A825" t="s">
        <v>48</v>
      </c>
      <c r="B825">
        <v>45981.081747685188</v>
      </c>
      <c r="C825">
        <v>91973</v>
      </c>
      <c r="D825" t="s">
        <v>531</v>
      </c>
      <c r="E825">
        <v>4503732</v>
      </c>
      <c r="F825">
        <v>2104881</v>
      </c>
      <c r="G825" t="s">
        <v>600</v>
      </c>
      <c r="H825" t="s">
        <v>1211</v>
      </c>
      <c r="I825">
        <v>10</v>
      </c>
      <c r="J825" t="b">
        <v>1</v>
      </c>
      <c r="K825">
        <v>2</v>
      </c>
      <c r="L825">
        <v>2106201</v>
      </c>
      <c r="M825" t="s">
        <v>602</v>
      </c>
      <c r="N825">
        <v>5</v>
      </c>
      <c r="O825">
        <v>5</v>
      </c>
      <c r="P825"/>
      <c r="Q825">
        <v>134905</v>
      </c>
      <c r="R825">
        <v>1</v>
      </c>
      <c r="S825" t="s">
        <v>40</v>
      </c>
      <c r="T825">
        <v>261</v>
      </c>
      <c r="U825">
        <v>147664</v>
      </c>
      <c r="V825">
        <v>24</v>
      </c>
      <c r="W825" t="s">
        <v>40</v>
      </c>
      <c r="X825">
        <v>261</v>
      </c>
      <c r="Y825" t="s">
        <v>377</v>
      </c>
      <c r="Z825" t="s">
        <v>378</v>
      </c>
      <c r="AA825" t="s">
        <v>379</v>
      </c>
      <c r="AB825" t="s">
        <v>559</v>
      </c>
      <c r="AC825" t="s">
        <v>41</v>
      </c>
      <c r="AD825" t="s">
        <v>41</v>
      </c>
      <c r="AE825" t="s">
        <v>41</v>
      </c>
      <c r="AF825" t="s">
        <v>41</v>
      </c>
      <c r="AK825"/>
    </row>
    <row r="826" spans="1:37" x14ac:dyDescent="0.25">
      <c r="A826" t="s">
        <v>48</v>
      </c>
      <c r="B826">
        <v>45981.083541666667</v>
      </c>
      <c r="C826">
        <v>91973</v>
      </c>
      <c r="D826" t="s">
        <v>531</v>
      </c>
      <c r="E826">
        <v>4503731</v>
      </c>
      <c r="F826">
        <v>2104881</v>
      </c>
      <c r="G826" t="s">
        <v>600</v>
      </c>
      <c r="H826" t="s">
        <v>1211</v>
      </c>
      <c r="I826">
        <v>10</v>
      </c>
      <c r="J826" t="b">
        <v>1</v>
      </c>
      <c r="K826">
        <v>2.5</v>
      </c>
      <c r="L826">
        <v>2106201</v>
      </c>
      <c r="M826" t="s">
        <v>602</v>
      </c>
      <c r="N826">
        <v>4</v>
      </c>
      <c r="O826">
        <v>4</v>
      </c>
      <c r="P826"/>
      <c r="Q826">
        <v>134905</v>
      </c>
      <c r="R826">
        <v>1</v>
      </c>
      <c r="S826" t="s">
        <v>40</v>
      </c>
      <c r="T826">
        <v>261</v>
      </c>
      <c r="U826">
        <v>147664</v>
      </c>
      <c r="V826">
        <v>24</v>
      </c>
      <c r="W826" t="s">
        <v>40</v>
      </c>
      <c r="X826">
        <v>261</v>
      </c>
      <c r="Y826" t="s">
        <v>377</v>
      </c>
      <c r="Z826" t="s">
        <v>378</v>
      </c>
      <c r="AA826" t="s">
        <v>379</v>
      </c>
      <c r="AB826" t="s">
        <v>384</v>
      </c>
      <c r="AC826" t="s">
        <v>41</v>
      </c>
      <c r="AD826" t="s">
        <v>41</v>
      </c>
      <c r="AE826" t="s">
        <v>41</v>
      </c>
      <c r="AF826" t="s">
        <v>41</v>
      </c>
      <c r="AK826"/>
    </row>
    <row r="827" spans="1:37" x14ac:dyDescent="0.25">
      <c r="A827" t="s">
        <v>48</v>
      </c>
      <c r="B827">
        <v>45981.12090277778</v>
      </c>
      <c r="C827">
        <v>91973</v>
      </c>
      <c r="D827" t="s">
        <v>531</v>
      </c>
      <c r="E827">
        <v>4503732</v>
      </c>
      <c r="F827">
        <v>2104881</v>
      </c>
      <c r="G827" t="s">
        <v>600</v>
      </c>
      <c r="H827" t="s">
        <v>1211</v>
      </c>
      <c r="I827">
        <v>10</v>
      </c>
      <c r="J827" t="b">
        <v>1</v>
      </c>
      <c r="K827">
        <v>2</v>
      </c>
      <c r="L827">
        <v>2106201</v>
      </c>
      <c r="M827" t="s">
        <v>602</v>
      </c>
      <c r="N827">
        <v>5</v>
      </c>
      <c r="O827">
        <v>5</v>
      </c>
      <c r="P827"/>
      <c r="Q827">
        <v>2301936</v>
      </c>
      <c r="R827">
        <v>1</v>
      </c>
      <c r="S827" t="s">
        <v>40</v>
      </c>
      <c r="T827">
        <v>261</v>
      </c>
      <c r="U827">
        <v>147664</v>
      </c>
      <c r="V827">
        <v>24</v>
      </c>
      <c r="W827" t="s">
        <v>40</v>
      </c>
      <c r="X827">
        <v>261</v>
      </c>
      <c r="Y827" t="s">
        <v>377</v>
      </c>
      <c r="Z827" t="s">
        <v>378</v>
      </c>
      <c r="AA827" t="s">
        <v>379</v>
      </c>
      <c r="AB827" t="s">
        <v>559</v>
      </c>
      <c r="AC827" t="s">
        <v>41</v>
      </c>
      <c r="AD827" t="s">
        <v>41</v>
      </c>
      <c r="AE827" t="s">
        <v>41</v>
      </c>
      <c r="AF827" t="s">
        <v>41</v>
      </c>
      <c r="AK827"/>
    </row>
    <row r="828" spans="1:37" x14ac:dyDescent="0.25">
      <c r="A828" t="s">
        <v>44</v>
      </c>
      <c r="B828">
        <v>45981.52616898148</v>
      </c>
      <c r="C828">
        <v>92556</v>
      </c>
      <c r="D828" t="s">
        <v>866</v>
      </c>
      <c r="E828">
        <v>4498451</v>
      </c>
      <c r="F828">
        <v>158659</v>
      </c>
      <c r="G828" t="s">
        <v>1212</v>
      </c>
      <c r="H828" t="s">
        <v>803</v>
      </c>
      <c r="I828">
        <v>64.3</v>
      </c>
      <c r="J828" t="b">
        <v>1</v>
      </c>
      <c r="K828">
        <v>0.75647058823529412</v>
      </c>
      <c r="L828">
        <v>158658</v>
      </c>
      <c r="M828" t="s">
        <v>1213</v>
      </c>
      <c r="N828">
        <v>85</v>
      </c>
      <c r="O828">
        <v>60</v>
      </c>
      <c r="P828"/>
      <c r="Q828">
        <v>134908</v>
      </c>
      <c r="R828">
        <v>1</v>
      </c>
      <c r="S828" t="s">
        <v>40</v>
      </c>
      <c r="T828">
        <v>261</v>
      </c>
      <c r="U828">
        <v>147664</v>
      </c>
      <c r="V828">
        <v>24</v>
      </c>
      <c r="W828" t="s">
        <v>40</v>
      </c>
      <c r="X828">
        <v>261</v>
      </c>
      <c r="Y828" t="s">
        <v>377</v>
      </c>
      <c r="Z828" t="s">
        <v>378</v>
      </c>
      <c r="AA828" t="s">
        <v>379</v>
      </c>
      <c r="AB828" t="s">
        <v>841</v>
      </c>
      <c r="AC828" t="s">
        <v>41</v>
      </c>
      <c r="AD828" t="s">
        <v>41</v>
      </c>
      <c r="AE828" t="s">
        <v>41</v>
      </c>
      <c r="AF828" t="s">
        <v>41</v>
      </c>
      <c r="AK828"/>
    </row>
    <row r="829" spans="1:37" x14ac:dyDescent="0.25">
      <c r="A829" t="s">
        <v>37</v>
      </c>
      <c r="B829">
        <v>45981.607233796298</v>
      </c>
      <c r="C829">
        <v>92044</v>
      </c>
      <c r="D829" t="s">
        <v>866</v>
      </c>
      <c r="E829">
        <v>4504005</v>
      </c>
      <c r="F829">
        <v>2308739</v>
      </c>
      <c r="G829" t="s">
        <v>467</v>
      </c>
      <c r="H829" t="s">
        <v>1214</v>
      </c>
      <c r="I829">
        <v>1.5</v>
      </c>
      <c r="J829" t="b">
        <v>1</v>
      </c>
      <c r="K829">
        <v>4.559270516717325E-3</v>
      </c>
      <c r="L829">
        <v>2308780</v>
      </c>
      <c r="M829" t="s">
        <v>469</v>
      </c>
      <c r="N829">
        <v>329</v>
      </c>
      <c r="O829">
        <v>322</v>
      </c>
      <c r="P829"/>
      <c r="Q829">
        <v>134974</v>
      </c>
      <c r="R829">
        <v>1</v>
      </c>
      <c r="S829" t="s">
        <v>40</v>
      </c>
      <c r="T829">
        <v>261</v>
      </c>
      <c r="W829"/>
      <c r="Y829" t="s">
        <v>377</v>
      </c>
      <c r="Z829" t="s">
        <v>378</v>
      </c>
      <c r="AA829" t="s">
        <v>379</v>
      </c>
      <c r="AB829" t="s">
        <v>1215</v>
      </c>
      <c r="AC829" t="s">
        <v>41</v>
      </c>
      <c r="AD829" t="s">
        <v>41</v>
      </c>
      <c r="AE829" t="s">
        <v>41</v>
      </c>
      <c r="AF829" t="s">
        <v>41</v>
      </c>
      <c r="AK829"/>
    </row>
    <row r="830" spans="1:37" x14ac:dyDescent="0.25">
      <c r="A830" t="s">
        <v>37</v>
      </c>
      <c r="B830">
        <v>45981.827222222222</v>
      </c>
      <c r="C830">
        <v>92046</v>
      </c>
      <c r="D830" t="s">
        <v>1025</v>
      </c>
      <c r="E830">
        <v>4504005</v>
      </c>
      <c r="F830">
        <v>2308739</v>
      </c>
      <c r="G830" t="s">
        <v>467</v>
      </c>
      <c r="H830" t="s">
        <v>1214</v>
      </c>
      <c r="I830">
        <v>1.5</v>
      </c>
      <c r="J830" t="b">
        <v>1</v>
      </c>
      <c r="K830">
        <v>1.282051282051282E-2</v>
      </c>
      <c r="L830">
        <v>2308780</v>
      </c>
      <c r="M830" t="s">
        <v>469</v>
      </c>
      <c r="N830">
        <v>117</v>
      </c>
      <c r="O830">
        <v>95</v>
      </c>
      <c r="P830"/>
      <c r="Q830">
        <v>134974</v>
      </c>
      <c r="R830">
        <v>1</v>
      </c>
      <c r="S830" t="s">
        <v>40</v>
      </c>
      <c r="T830">
        <v>261</v>
      </c>
      <c r="W830"/>
      <c r="Y830" t="s">
        <v>377</v>
      </c>
      <c r="Z830" t="s">
        <v>378</v>
      </c>
      <c r="AA830" t="s">
        <v>379</v>
      </c>
      <c r="AB830" t="s">
        <v>763</v>
      </c>
      <c r="AC830" t="s">
        <v>41</v>
      </c>
      <c r="AD830" t="s">
        <v>41</v>
      </c>
      <c r="AE830" t="s">
        <v>41</v>
      </c>
      <c r="AF830" t="s">
        <v>41</v>
      </c>
      <c r="AK830"/>
    </row>
    <row r="831" spans="1:37" x14ac:dyDescent="0.25">
      <c r="A831" t="s">
        <v>43</v>
      </c>
      <c r="B831">
        <v>45981.995081018518</v>
      </c>
      <c r="C831">
        <v>91974</v>
      </c>
      <c r="D831" t="s">
        <v>1025</v>
      </c>
      <c r="E831">
        <v>4503733</v>
      </c>
      <c r="F831">
        <v>2104881</v>
      </c>
      <c r="G831" t="s">
        <v>600</v>
      </c>
      <c r="H831" t="s">
        <v>1216</v>
      </c>
      <c r="I831">
        <v>10</v>
      </c>
      <c r="J831" t="b">
        <v>1</v>
      </c>
      <c r="K831">
        <v>2.5</v>
      </c>
      <c r="L831">
        <v>2106201</v>
      </c>
      <c r="M831" t="s">
        <v>602</v>
      </c>
      <c r="N831">
        <v>4</v>
      </c>
      <c r="O831">
        <v>4</v>
      </c>
      <c r="P831"/>
      <c r="Q831">
        <v>134905</v>
      </c>
      <c r="R831">
        <v>1</v>
      </c>
      <c r="S831" t="s">
        <v>40</v>
      </c>
      <c r="T831">
        <v>261</v>
      </c>
      <c r="U831">
        <v>147664</v>
      </c>
      <c r="V831">
        <v>24</v>
      </c>
      <c r="W831" t="s">
        <v>40</v>
      </c>
      <c r="X831">
        <v>261</v>
      </c>
      <c r="Y831" t="s">
        <v>377</v>
      </c>
      <c r="Z831" t="s">
        <v>378</v>
      </c>
      <c r="AA831" t="s">
        <v>379</v>
      </c>
      <c r="AB831" t="s">
        <v>384</v>
      </c>
      <c r="AC831" t="s">
        <v>41</v>
      </c>
      <c r="AD831" t="s">
        <v>41</v>
      </c>
      <c r="AE831" t="s">
        <v>41</v>
      </c>
      <c r="AF831" t="s">
        <v>41</v>
      </c>
      <c r="AK831"/>
    </row>
    <row r="832" spans="1:37" x14ac:dyDescent="0.25">
      <c r="A832" t="s">
        <v>43</v>
      </c>
      <c r="B832">
        <v>45981.995810185188</v>
      </c>
      <c r="C832">
        <v>91974</v>
      </c>
      <c r="D832" t="s">
        <v>1025</v>
      </c>
      <c r="E832">
        <v>4503734</v>
      </c>
      <c r="F832">
        <v>2104881</v>
      </c>
      <c r="G832" t="s">
        <v>600</v>
      </c>
      <c r="H832" t="s">
        <v>1216</v>
      </c>
      <c r="I832">
        <v>0</v>
      </c>
      <c r="J832" t="b">
        <v>1</v>
      </c>
      <c r="K832">
        <v>0</v>
      </c>
      <c r="L832">
        <v>2106201</v>
      </c>
      <c r="M832" t="s">
        <v>602</v>
      </c>
      <c r="N832">
        <v>5</v>
      </c>
      <c r="O832">
        <v>5</v>
      </c>
      <c r="P832"/>
      <c r="Q832">
        <v>134905</v>
      </c>
      <c r="R832">
        <v>1</v>
      </c>
      <c r="S832" t="s">
        <v>40</v>
      </c>
      <c r="T832">
        <v>261</v>
      </c>
      <c r="U832">
        <v>147664</v>
      </c>
      <c r="V832">
        <v>24</v>
      </c>
      <c r="W832" t="s">
        <v>40</v>
      </c>
      <c r="X832">
        <v>261</v>
      </c>
      <c r="Y832" t="s">
        <v>377</v>
      </c>
      <c r="Z832" t="s">
        <v>378</v>
      </c>
      <c r="AA832" t="s">
        <v>379</v>
      </c>
      <c r="AB832" t="s">
        <v>559</v>
      </c>
      <c r="AC832" t="s">
        <v>41</v>
      </c>
      <c r="AD832" t="s">
        <v>41</v>
      </c>
      <c r="AE832" t="s">
        <v>41</v>
      </c>
      <c r="AF832" t="s">
        <v>41</v>
      </c>
      <c r="AK832"/>
    </row>
    <row r="833" spans="1:37" x14ac:dyDescent="0.25">
      <c r="A833" t="s">
        <v>38</v>
      </c>
      <c r="B833">
        <v>45982.341516203705</v>
      </c>
      <c r="C833">
        <v>89603</v>
      </c>
      <c r="D833" t="s">
        <v>560</v>
      </c>
      <c r="E833">
        <v>4501678</v>
      </c>
      <c r="F833">
        <v>2123979</v>
      </c>
      <c r="G833" t="s">
        <v>425</v>
      </c>
      <c r="H833" t="s">
        <v>1072</v>
      </c>
      <c r="I833">
        <v>7.5</v>
      </c>
      <c r="J833" t="b">
        <v>1</v>
      </c>
      <c r="K833">
        <v>0.625</v>
      </c>
      <c r="L833">
        <v>120995</v>
      </c>
      <c r="M833" t="s">
        <v>427</v>
      </c>
      <c r="N833">
        <v>12</v>
      </c>
      <c r="O833">
        <v>12</v>
      </c>
      <c r="P833"/>
      <c r="Q833">
        <v>134907</v>
      </c>
      <c r="R833">
        <v>2</v>
      </c>
      <c r="S833" t="s">
        <v>40</v>
      </c>
      <c r="T833">
        <v>261</v>
      </c>
      <c r="U833">
        <v>147664</v>
      </c>
      <c r="V833">
        <v>48</v>
      </c>
      <c r="W833" t="s">
        <v>40</v>
      </c>
      <c r="X833">
        <v>261</v>
      </c>
      <c r="Y833" t="s">
        <v>377</v>
      </c>
      <c r="Z833" t="s">
        <v>378</v>
      </c>
      <c r="AA833" t="s">
        <v>379</v>
      </c>
      <c r="AB833" t="s">
        <v>400</v>
      </c>
      <c r="AC833" t="s">
        <v>379</v>
      </c>
      <c r="AD833" t="s">
        <v>384</v>
      </c>
      <c r="AE833" t="s">
        <v>41</v>
      </c>
      <c r="AF833" t="s">
        <v>41</v>
      </c>
      <c r="AK833"/>
    </row>
    <row r="834" spans="1:37" x14ac:dyDescent="0.25">
      <c r="A834" t="s">
        <v>44</v>
      </c>
      <c r="B834">
        <v>45982.544687499998</v>
      </c>
      <c r="C834">
        <v>91196</v>
      </c>
      <c r="D834" t="s">
        <v>560</v>
      </c>
      <c r="E834">
        <v>4495279</v>
      </c>
      <c r="F834">
        <v>2304758</v>
      </c>
      <c r="G834" t="s">
        <v>402</v>
      </c>
      <c r="H834" t="s">
        <v>1217</v>
      </c>
      <c r="I834">
        <v>14</v>
      </c>
      <c r="J834" t="b">
        <v>1</v>
      </c>
      <c r="K834">
        <v>1.75</v>
      </c>
      <c r="L834">
        <v>2304759</v>
      </c>
      <c r="M834" t="s">
        <v>404</v>
      </c>
      <c r="N834">
        <v>8</v>
      </c>
      <c r="O834">
        <v>8</v>
      </c>
      <c r="P834"/>
      <c r="Q834">
        <v>155687</v>
      </c>
      <c r="R834">
        <v>2</v>
      </c>
      <c r="S834" t="s">
        <v>40</v>
      </c>
      <c r="T834">
        <v>261</v>
      </c>
      <c r="U834">
        <v>147664</v>
      </c>
      <c r="V834">
        <v>48</v>
      </c>
      <c r="W834" t="s">
        <v>40</v>
      </c>
      <c r="X834">
        <v>261</v>
      </c>
      <c r="Y834" t="s">
        <v>377</v>
      </c>
      <c r="Z834" t="s">
        <v>378</v>
      </c>
      <c r="AA834" t="s">
        <v>384</v>
      </c>
      <c r="AB834" t="s">
        <v>384</v>
      </c>
      <c r="AC834" t="s">
        <v>41</v>
      </c>
      <c r="AD834" t="s">
        <v>41</v>
      </c>
      <c r="AE834" t="s">
        <v>41</v>
      </c>
      <c r="AF834" t="s">
        <v>41</v>
      </c>
      <c r="AK834"/>
    </row>
    <row r="835" spans="1:37" x14ac:dyDescent="0.25">
      <c r="A835" t="s">
        <v>42</v>
      </c>
      <c r="B835">
        <v>45982.622094907405</v>
      </c>
      <c r="C835">
        <v>92555</v>
      </c>
      <c r="D835" t="s">
        <v>560</v>
      </c>
      <c r="E835">
        <v>4502169</v>
      </c>
      <c r="F835">
        <v>133168</v>
      </c>
      <c r="G835" t="s">
        <v>863</v>
      </c>
      <c r="H835" t="s">
        <v>1107</v>
      </c>
      <c r="I835">
        <v>64.3</v>
      </c>
      <c r="J835" t="b">
        <v>1</v>
      </c>
      <c r="K835">
        <v>0.75647058823529412</v>
      </c>
      <c r="L835">
        <v>144374</v>
      </c>
      <c r="M835" t="s">
        <v>865</v>
      </c>
      <c r="N835">
        <v>85</v>
      </c>
      <c r="O835">
        <v>85</v>
      </c>
      <c r="P835"/>
      <c r="Q835">
        <v>134908</v>
      </c>
      <c r="R835">
        <v>1</v>
      </c>
      <c r="S835" t="s">
        <v>40</v>
      </c>
      <c r="T835">
        <v>261</v>
      </c>
      <c r="U835">
        <v>147664</v>
      </c>
      <c r="V835">
        <v>24</v>
      </c>
      <c r="W835" t="s">
        <v>40</v>
      </c>
      <c r="X835">
        <v>261</v>
      </c>
      <c r="Y835" t="s">
        <v>377</v>
      </c>
      <c r="Z835" t="s">
        <v>378</v>
      </c>
      <c r="AA835" t="s">
        <v>379</v>
      </c>
      <c r="AB835" t="s">
        <v>841</v>
      </c>
      <c r="AC835" t="s">
        <v>41</v>
      </c>
      <c r="AD835" t="s">
        <v>41</v>
      </c>
      <c r="AE835" t="s">
        <v>41</v>
      </c>
      <c r="AF835" t="s">
        <v>41</v>
      </c>
      <c r="AK835"/>
    </row>
    <row r="836" spans="1:37" x14ac:dyDescent="0.25">
      <c r="A836" t="s">
        <v>37</v>
      </c>
      <c r="B836">
        <v>45982.757488425923</v>
      </c>
      <c r="C836">
        <v>91975</v>
      </c>
      <c r="D836" t="s">
        <v>560</v>
      </c>
      <c r="E836">
        <v>4503727</v>
      </c>
      <c r="F836">
        <v>2104880</v>
      </c>
      <c r="G836" t="s">
        <v>577</v>
      </c>
      <c r="H836" t="s">
        <v>1218</v>
      </c>
      <c r="I836">
        <v>5</v>
      </c>
      <c r="J836" t="b">
        <v>1</v>
      </c>
      <c r="K836">
        <v>1.25</v>
      </c>
      <c r="L836">
        <v>2106200</v>
      </c>
      <c r="M836" t="s">
        <v>579</v>
      </c>
      <c r="N836">
        <v>4</v>
      </c>
      <c r="O836">
        <v>4</v>
      </c>
      <c r="P836"/>
      <c r="Q836">
        <v>134907</v>
      </c>
      <c r="R836">
        <v>1</v>
      </c>
      <c r="S836" t="s">
        <v>40</v>
      </c>
      <c r="T836">
        <v>261</v>
      </c>
      <c r="U836">
        <v>147664</v>
      </c>
      <c r="V836">
        <v>24</v>
      </c>
      <c r="W836" t="s">
        <v>40</v>
      </c>
      <c r="X836">
        <v>261</v>
      </c>
      <c r="Y836" t="s">
        <v>377</v>
      </c>
      <c r="Z836" t="s">
        <v>378</v>
      </c>
      <c r="AA836" t="s">
        <v>379</v>
      </c>
      <c r="AB836" t="s">
        <v>384</v>
      </c>
      <c r="AC836" t="s">
        <v>41</v>
      </c>
      <c r="AD836" t="s">
        <v>41</v>
      </c>
      <c r="AE836" t="s">
        <v>41</v>
      </c>
      <c r="AF836" t="s">
        <v>41</v>
      </c>
      <c r="AK836"/>
    </row>
    <row r="837" spans="1:37" x14ac:dyDescent="0.25">
      <c r="A837" t="s">
        <v>37</v>
      </c>
      <c r="B837">
        <v>45982.758449074077</v>
      </c>
      <c r="C837">
        <v>91975</v>
      </c>
      <c r="D837" t="s">
        <v>560</v>
      </c>
      <c r="E837">
        <v>4503728</v>
      </c>
      <c r="F837">
        <v>2104880</v>
      </c>
      <c r="G837" t="s">
        <v>577</v>
      </c>
      <c r="H837" t="s">
        <v>1218</v>
      </c>
      <c r="I837">
        <v>5</v>
      </c>
      <c r="J837" t="b">
        <v>1</v>
      </c>
      <c r="K837">
        <v>1</v>
      </c>
      <c r="L837">
        <v>2106200</v>
      </c>
      <c r="M837" t="s">
        <v>579</v>
      </c>
      <c r="N837">
        <v>5</v>
      </c>
      <c r="O837">
        <v>5</v>
      </c>
      <c r="P837"/>
      <c r="Q837">
        <v>134907</v>
      </c>
      <c r="R837">
        <v>1</v>
      </c>
      <c r="S837" t="s">
        <v>40</v>
      </c>
      <c r="T837">
        <v>261</v>
      </c>
      <c r="U837">
        <v>147664</v>
      </c>
      <c r="V837">
        <v>24</v>
      </c>
      <c r="W837" t="s">
        <v>40</v>
      </c>
      <c r="X837">
        <v>261</v>
      </c>
      <c r="Y837" t="s">
        <v>377</v>
      </c>
      <c r="Z837" t="s">
        <v>378</v>
      </c>
      <c r="AA837" t="s">
        <v>379</v>
      </c>
      <c r="AB837" t="s">
        <v>559</v>
      </c>
      <c r="AC837" t="s">
        <v>41</v>
      </c>
      <c r="AD837" t="s">
        <v>41</v>
      </c>
      <c r="AE837" t="s">
        <v>41</v>
      </c>
      <c r="AF837" t="s">
        <v>41</v>
      </c>
      <c r="AK837"/>
    </row>
    <row r="838" spans="1:37" x14ac:dyDescent="0.25">
      <c r="A838" t="s">
        <v>42</v>
      </c>
      <c r="B838">
        <v>45982.784583333334</v>
      </c>
      <c r="C838">
        <v>92048</v>
      </c>
      <c r="D838" t="s">
        <v>560</v>
      </c>
      <c r="E838">
        <v>4504007</v>
      </c>
      <c r="F838">
        <v>2308739</v>
      </c>
      <c r="G838" t="s">
        <v>467</v>
      </c>
      <c r="H838" t="s">
        <v>1219</v>
      </c>
      <c r="I838">
        <v>1.5</v>
      </c>
      <c r="J838" t="b">
        <v>1</v>
      </c>
      <c r="K838">
        <v>1.948051948051948E-2</v>
      </c>
      <c r="L838">
        <v>2308780</v>
      </c>
      <c r="M838" t="s">
        <v>469</v>
      </c>
      <c r="N838">
        <v>77</v>
      </c>
      <c r="O838">
        <v>400</v>
      </c>
      <c r="P838"/>
      <c r="Q838">
        <v>134974</v>
      </c>
      <c r="R838">
        <v>1</v>
      </c>
      <c r="S838" t="s">
        <v>40</v>
      </c>
      <c r="T838">
        <v>261</v>
      </c>
      <c r="W838"/>
      <c r="Y838" t="s">
        <v>377</v>
      </c>
      <c r="Z838" t="s">
        <v>378</v>
      </c>
      <c r="AA838" t="s">
        <v>379</v>
      </c>
      <c r="AB838" t="s">
        <v>1220</v>
      </c>
      <c r="AC838" t="s">
        <v>41</v>
      </c>
      <c r="AD838" t="s">
        <v>41</v>
      </c>
      <c r="AE838" t="s">
        <v>41</v>
      </c>
      <c r="AF838" t="s">
        <v>41</v>
      </c>
      <c r="AK838"/>
    </row>
    <row r="839" spans="1:37" x14ac:dyDescent="0.25">
      <c r="A839" t="s">
        <v>37</v>
      </c>
      <c r="B839">
        <v>45982.78633101852</v>
      </c>
      <c r="C839">
        <v>89604</v>
      </c>
      <c r="D839" t="s">
        <v>560</v>
      </c>
      <c r="E839">
        <v>4501679</v>
      </c>
      <c r="F839">
        <v>2123979</v>
      </c>
      <c r="G839" t="s">
        <v>425</v>
      </c>
      <c r="H839" t="s">
        <v>986</v>
      </c>
      <c r="I839">
        <v>7.5</v>
      </c>
      <c r="J839" t="b">
        <v>0</v>
      </c>
      <c r="K839">
        <v>0.625</v>
      </c>
      <c r="L839">
        <v>120995</v>
      </c>
      <c r="M839" t="s">
        <v>427</v>
      </c>
      <c r="N839">
        <v>12</v>
      </c>
      <c r="O839">
        <v>12</v>
      </c>
      <c r="P839"/>
      <c r="Q839">
        <v>134907</v>
      </c>
      <c r="R839">
        <v>2</v>
      </c>
      <c r="S839" t="s">
        <v>40</v>
      </c>
      <c r="T839">
        <v>261</v>
      </c>
      <c r="U839">
        <v>147664</v>
      </c>
      <c r="V839">
        <v>48</v>
      </c>
      <c r="W839" t="s">
        <v>40</v>
      </c>
      <c r="X839">
        <v>261</v>
      </c>
      <c r="Y839" t="s">
        <v>377</v>
      </c>
      <c r="Z839" t="s">
        <v>378</v>
      </c>
      <c r="AA839" t="s">
        <v>379</v>
      </c>
      <c r="AB839" t="s">
        <v>400</v>
      </c>
      <c r="AC839" t="s">
        <v>379</v>
      </c>
      <c r="AD839" t="s">
        <v>384</v>
      </c>
      <c r="AE839" t="s">
        <v>41</v>
      </c>
      <c r="AF839" t="s">
        <v>41</v>
      </c>
      <c r="AK839"/>
    </row>
    <row r="840" spans="1:37" x14ac:dyDescent="0.25">
      <c r="A840" t="s">
        <v>47</v>
      </c>
      <c r="B840">
        <v>45982.86173611111</v>
      </c>
      <c r="C840">
        <v>92047</v>
      </c>
      <c r="D840" t="s">
        <v>560</v>
      </c>
      <c r="E840">
        <v>4504007</v>
      </c>
      <c r="F840">
        <v>2308739</v>
      </c>
      <c r="G840" t="s">
        <v>467</v>
      </c>
      <c r="H840" t="s">
        <v>1219</v>
      </c>
      <c r="I840">
        <v>1.5</v>
      </c>
      <c r="J840" t="b">
        <v>1</v>
      </c>
      <c r="K840">
        <v>4.807692307692308E-3</v>
      </c>
      <c r="L840">
        <v>2308780</v>
      </c>
      <c r="M840" t="s">
        <v>469</v>
      </c>
      <c r="N840">
        <v>312</v>
      </c>
      <c r="O840">
        <v>0</v>
      </c>
      <c r="P840"/>
      <c r="Q840">
        <v>134974</v>
      </c>
      <c r="R840">
        <v>1</v>
      </c>
      <c r="S840" t="s">
        <v>40</v>
      </c>
      <c r="T840">
        <v>261</v>
      </c>
      <c r="W840"/>
      <c r="Y840" t="s">
        <v>377</v>
      </c>
      <c r="Z840" t="s">
        <v>378</v>
      </c>
      <c r="AA840" t="s">
        <v>379</v>
      </c>
      <c r="AB840" t="s">
        <v>925</v>
      </c>
      <c r="AC840" t="s">
        <v>41</v>
      </c>
      <c r="AD840" t="s">
        <v>41</v>
      </c>
      <c r="AE840" t="s">
        <v>41</v>
      </c>
      <c r="AF840" t="s">
        <v>41</v>
      </c>
      <c r="AK840"/>
    </row>
    <row r="841" spans="1:37" x14ac:dyDescent="0.25">
      <c r="A841" t="s">
        <v>37</v>
      </c>
      <c r="B841">
        <v>45983.146967592591</v>
      </c>
      <c r="C841">
        <v>92049</v>
      </c>
      <c r="D841" t="s">
        <v>563</v>
      </c>
      <c r="E841">
        <v>4504389</v>
      </c>
      <c r="F841">
        <v>2300533</v>
      </c>
      <c r="G841" t="s">
        <v>1221</v>
      </c>
      <c r="H841" t="s">
        <v>1128</v>
      </c>
      <c r="I841">
        <v>3</v>
      </c>
      <c r="J841" t="b">
        <v>1</v>
      </c>
      <c r="K841">
        <v>1.7647058823529412E-2</v>
      </c>
      <c r="L841">
        <v>2300534</v>
      </c>
      <c r="M841" t="s">
        <v>1222</v>
      </c>
      <c r="N841">
        <v>170</v>
      </c>
      <c r="O841">
        <v>170</v>
      </c>
      <c r="P841"/>
      <c r="Q841">
        <v>134974</v>
      </c>
      <c r="R841">
        <v>1</v>
      </c>
      <c r="S841" t="s">
        <v>40</v>
      </c>
      <c r="T841">
        <v>261</v>
      </c>
      <c r="W841"/>
      <c r="Y841" t="s">
        <v>377</v>
      </c>
      <c r="Z841" t="s">
        <v>378</v>
      </c>
      <c r="AA841" t="s">
        <v>379</v>
      </c>
      <c r="AB841" t="s">
        <v>642</v>
      </c>
      <c r="AC841" t="s">
        <v>41</v>
      </c>
      <c r="AD841" t="s">
        <v>41</v>
      </c>
      <c r="AE841" t="s">
        <v>41</v>
      </c>
      <c r="AF841" t="s">
        <v>41</v>
      </c>
      <c r="AK841"/>
    </row>
    <row r="842" spans="1:37" x14ac:dyDescent="0.25">
      <c r="A842" t="s">
        <v>45</v>
      </c>
      <c r="B842">
        <v>45983.39271990741</v>
      </c>
      <c r="C842">
        <v>92559</v>
      </c>
      <c r="D842" t="s">
        <v>393</v>
      </c>
      <c r="E842">
        <v>4502170</v>
      </c>
      <c r="F842">
        <v>133168</v>
      </c>
      <c r="G842" t="s">
        <v>863</v>
      </c>
      <c r="H842" t="s">
        <v>1108</v>
      </c>
      <c r="I842">
        <v>64.3</v>
      </c>
      <c r="J842" t="b">
        <v>1</v>
      </c>
      <c r="K842">
        <v>0.75647058823529412</v>
      </c>
      <c r="L842">
        <v>144374</v>
      </c>
      <c r="M842" t="s">
        <v>865</v>
      </c>
      <c r="N842">
        <v>85</v>
      </c>
      <c r="O842">
        <v>85</v>
      </c>
      <c r="P842"/>
      <c r="Q842">
        <v>134908</v>
      </c>
      <c r="R842">
        <v>1</v>
      </c>
      <c r="S842" t="s">
        <v>40</v>
      </c>
      <c r="T842">
        <v>261</v>
      </c>
      <c r="U842">
        <v>147664</v>
      </c>
      <c r="V842">
        <v>24</v>
      </c>
      <c r="W842" t="s">
        <v>40</v>
      </c>
      <c r="X842">
        <v>261</v>
      </c>
      <c r="Y842" t="s">
        <v>377</v>
      </c>
      <c r="Z842" t="s">
        <v>378</v>
      </c>
      <c r="AA842" t="s">
        <v>379</v>
      </c>
      <c r="AB842" t="s">
        <v>841</v>
      </c>
      <c r="AC842" t="s">
        <v>41</v>
      </c>
      <c r="AD842" t="s">
        <v>41</v>
      </c>
      <c r="AE842" t="s">
        <v>41</v>
      </c>
      <c r="AF842" t="s">
        <v>41</v>
      </c>
      <c r="AK842"/>
    </row>
    <row r="843" spans="1:37" x14ac:dyDescent="0.25">
      <c r="A843" t="s">
        <v>42</v>
      </c>
      <c r="B843">
        <v>45983.438194444447</v>
      </c>
      <c r="C843">
        <v>89605</v>
      </c>
      <c r="D843" t="s">
        <v>393</v>
      </c>
      <c r="E843">
        <v>4504640</v>
      </c>
      <c r="F843">
        <v>2104851</v>
      </c>
      <c r="G843" t="s">
        <v>429</v>
      </c>
      <c r="H843" t="s">
        <v>1223</v>
      </c>
      <c r="I843">
        <v>7.5</v>
      </c>
      <c r="J843" t="b">
        <v>0</v>
      </c>
      <c r="K843">
        <v>0.9375</v>
      </c>
      <c r="L843">
        <v>2106168</v>
      </c>
      <c r="M843" t="s">
        <v>431</v>
      </c>
      <c r="N843">
        <v>8</v>
      </c>
      <c r="O843">
        <v>8</v>
      </c>
      <c r="P843"/>
      <c r="Q843">
        <v>134971</v>
      </c>
      <c r="R843">
        <v>1</v>
      </c>
      <c r="S843" t="s">
        <v>40</v>
      </c>
      <c r="T843">
        <v>261</v>
      </c>
      <c r="U843">
        <v>147664</v>
      </c>
      <c r="V843">
        <v>24</v>
      </c>
      <c r="W843" t="s">
        <v>40</v>
      </c>
      <c r="X843">
        <v>261</v>
      </c>
      <c r="Y843" t="s">
        <v>377</v>
      </c>
      <c r="Z843" t="s">
        <v>378</v>
      </c>
      <c r="AA843" t="s">
        <v>379</v>
      </c>
      <c r="AB843" t="s">
        <v>400</v>
      </c>
      <c r="AC843" t="s">
        <v>41</v>
      </c>
      <c r="AD843" t="s">
        <v>41</v>
      </c>
      <c r="AE843" t="s">
        <v>41</v>
      </c>
      <c r="AF843" t="s">
        <v>41</v>
      </c>
      <c r="AK843"/>
    </row>
    <row r="844" spans="1:37" x14ac:dyDescent="0.25">
      <c r="A844" t="s">
        <v>42</v>
      </c>
      <c r="B844">
        <v>45983.440300925926</v>
      </c>
      <c r="C844">
        <v>89605</v>
      </c>
      <c r="D844" t="s">
        <v>393</v>
      </c>
      <c r="E844">
        <v>4504640</v>
      </c>
      <c r="F844">
        <v>2104851</v>
      </c>
      <c r="G844" t="s">
        <v>429</v>
      </c>
      <c r="H844" t="s">
        <v>1224</v>
      </c>
      <c r="I844">
        <v>7.5</v>
      </c>
      <c r="J844" t="b">
        <v>1</v>
      </c>
      <c r="K844">
        <v>0.9375</v>
      </c>
      <c r="L844">
        <v>2106168</v>
      </c>
      <c r="M844" t="s">
        <v>431</v>
      </c>
      <c r="N844">
        <v>8</v>
      </c>
      <c r="O844">
        <v>12</v>
      </c>
      <c r="P844"/>
      <c r="Q844">
        <v>134971</v>
      </c>
      <c r="R844">
        <v>1</v>
      </c>
      <c r="S844" t="s">
        <v>40</v>
      </c>
      <c r="T844">
        <v>261</v>
      </c>
      <c r="U844">
        <v>147664</v>
      </c>
      <c r="V844">
        <v>24</v>
      </c>
      <c r="W844" t="s">
        <v>40</v>
      </c>
      <c r="X844">
        <v>261</v>
      </c>
      <c r="Y844" t="s">
        <v>377</v>
      </c>
      <c r="Z844" t="s">
        <v>378</v>
      </c>
      <c r="AA844" t="s">
        <v>379</v>
      </c>
      <c r="AB844" t="s">
        <v>400</v>
      </c>
      <c r="AC844" t="s">
        <v>41</v>
      </c>
      <c r="AD844" t="s">
        <v>41</v>
      </c>
      <c r="AE844" t="s">
        <v>41</v>
      </c>
      <c r="AF844" t="s">
        <v>41</v>
      </c>
      <c r="AK844"/>
    </row>
    <row r="845" spans="1:37" x14ac:dyDescent="0.25">
      <c r="A845" t="s">
        <v>42</v>
      </c>
      <c r="B845">
        <v>45983.441689814812</v>
      </c>
      <c r="C845">
        <v>89605</v>
      </c>
      <c r="D845" t="s">
        <v>393</v>
      </c>
      <c r="E845">
        <v>4504639</v>
      </c>
      <c r="F845">
        <v>2104851</v>
      </c>
      <c r="G845" t="s">
        <v>429</v>
      </c>
      <c r="H845" t="s">
        <v>1224</v>
      </c>
      <c r="I845">
        <v>7.5</v>
      </c>
      <c r="J845" t="b">
        <v>1</v>
      </c>
      <c r="K845">
        <v>1.875</v>
      </c>
      <c r="L845">
        <v>2106168</v>
      </c>
      <c r="M845" t="s">
        <v>431</v>
      </c>
      <c r="N845">
        <v>4</v>
      </c>
      <c r="O845">
        <v>4</v>
      </c>
      <c r="P845"/>
      <c r="Q845">
        <v>134971</v>
      </c>
      <c r="R845">
        <v>1</v>
      </c>
      <c r="S845" t="s">
        <v>40</v>
      </c>
      <c r="T845">
        <v>261</v>
      </c>
      <c r="U845">
        <v>147664</v>
      </c>
      <c r="V845">
        <v>24</v>
      </c>
      <c r="W845" t="s">
        <v>40</v>
      </c>
      <c r="X845">
        <v>261</v>
      </c>
      <c r="Y845" t="s">
        <v>377</v>
      </c>
      <c r="Z845" t="s">
        <v>378</v>
      </c>
      <c r="AA845" t="s">
        <v>379</v>
      </c>
      <c r="AB845" t="s">
        <v>384</v>
      </c>
      <c r="AC845" t="s">
        <v>41</v>
      </c>
      <c r="AD845" t="s">
        <v>41</v>
      </c>
      <c r="AE845" t="s">
        <v>41</v>
      </c>
      <c r="AF845" t="s">
        <v>41</v>
      </c>
      <c r="AK845"/>
    </row>
    <row r="846" spans="1:37" x14ac:dyDescent="0.25">
      <c r="A846" t="s">
        <v>43</v>
      </c>
      <c r="B846">
        <v>45983.592094907406</v>
      </c>
      <c r="C846">
        <v>91978</v>
      </c>
      <c r="D846" t="s">
        <v>393</v>
      </c>
      <c r="E846">
        <v>4503729</v>
      </c>
      <c r="F846">
        <v>2104880</v>
      </c>
      <c r="G846" t="s">
        <v>577</v>
      </c>
      <c r="H846" t="s">
        <v>1225</v>
      </c>
      <c r="I846">
        <v>10</v>
      </c>
      <c r="J846" t="b">
        <v>1</v>
      </c>
      <c r="K846">
        <v>2.5</v>
      </c>
      <c r="L846">
        <v>2106200</v>
      </c>
      <c r="M846" t="s">
        <v>579</v>
      </c>
      <c r="N846">
        <v>4</v>
      </c>
      <c r="O846">
        <v>4</v>
      </c>
      <c r="P846"/>
      <c r="Q846">
        <v>134905</v>
      </c>
      <c r="R846">
        <v>1</v>
      </c>
      <c r="S846" t="s">
        <v>40</v>
      </c>
      <c r="T846">
        <v>261</v>
      </c>
      <c r="U846">
        <v>147664</v>
      </c>
      <c r="V846">
        <v>24</v>
      </c>
      <c r="W846" t="s">
        <v>40</v>
      </c>
      <c r="X846">
        <v>261</v>
      </c>
      <c r="Y846" t="s">
        <v>377</v>
      </c>
      <c r="Z846" t="s">
        <v>378</v>
      </c>
      <c r="AA846" t="s">
        <v>379</v>
      </c>
      <c r="AB846" t="s">
        <v>384</v>
      </c>
      <c r="AC846" t="s">
        <v>41</v>
      </c>
      <c r="AD846" t="s">
        <v>41</v>
      </c>
      <c r="AE846" t="s">
        <v>41</v>
      </c>
      <c r="AF846" t="s">
        <v>41</v>
      </c>
      <c r="AK846"/>
    </row>
    <row r="847" spans="1:37" x14ac:dyDescent="0.25">
      <c r="A847" t="s">
        <v>43</v>
      </c>
      <c r="B847">
        <v>45983.593425925923</v>
      </c>
      <c r="C847">
        <v>91978</v>
      </c>
      <c r="D847" t="s">
        <v>393</v>
      </c>
      <c r="E847">
        <v>4503730</v>
      </c>
      <c r="F847">
        <v>2104880</v>
      </c>
      <c r="G847" t="s">
        <v>577</v>
      </c>
      <c r="H847" t="s">
        <v>1225</v>
      </c>
      <c r="I847">
        <v>10</v>
      </c>
      <c r="J847" t="b">
        <v>1</v>
      </c>
      <c r="K847">
        <v>2</v>
      </c>
      <c r="L847">
        <v>2106200</v>
      </c>
      <c r="M847" t="s">
        <v>579</v>
      </c>
      <c r="N847">
        <v>5</v>
      </c>
      <c r="O847">
        <v>5</v>
      </c>
      <c r="P847"/>
      <c r="Q847">
        <v>134905</v>
      </c>
      <c r="R847">
        <v>1</v>
      </c>
      <c r="S847" t="s">
        <v>40</v>
      </c>
      <c r="T847">
        <v>261</v>
      </c>
      <c r="U847">
        <v>147664</v>
      </c>
      <c r="V847">
        <v>24</v>
      </c>
      <c r="W847" t="s">
        <v>40</v>
      </c>
      <c r="X847">
        <v>261</v>
      </c>
      <c r="Y847" t="s">
        <v>377</v>
      </c>
      <c r="Z847" t="s">
        <v>378</v>
      </c>
      <c r="AA847" t="s">
        <v>379</v>
      </c>
      <c r="AB847" t="s">
        <v>559</v>
      </c>
      <c r="AC847" t="s">
        <v>41</v>
      </c>
      <c r="AD847" t="s">
        <v>41</v>
      </c>
      <c r="AE847" t="s">
        <v>41</v>
      </c>
      <c r="AF847" t="s">
        <v>41</v>
      </c>
      <c r="AK847"/>
    </row>
    <row r="848" spans="1:37" x14ac:dyDescent="0.25">
      <c r="A848" t="s">
        <v>37</v>
      </c>
      <c r="B848">
        <v>45983.601759259262</v>
      </c>
      <c r="C848">
        <v>92050</v>
      </c>
      <c r="D848" t="s">
        <v>393</v>
      </c>
      <c r="E848">
        <v>4504279</v>
      </c>
      <c r="F848">
        <v>2115704</v>
      </c>
      <c r="G848" t="s">
        <v>1226</v>
      </c>
      <c r="H848" t="s">
        <v>1128</v>
      </c>
      <c r="I848">
        <v>2.5</v>
      </c>
      <c r="J848" t="b">
        <v>1</v>
      </c>
      <c r="K848">
        <v>1.4705882352941176E-2</v>
      </c>
      <c r="L848">
        <v>2116856</v>
      </c>
      <c r="M848" t="s">
        <v>1227</v>
      </c>
      <c r="N848">
        <v>170</v>
      </c>
      <c r="O848">
        <v>170</v>
      </c>
      <c r="P848"/>
      <c r="Q848">
        <v>134976</v>
      </c>
      <c r="R848">
        <v>1</v>
      </c>
      <c r="S848" t="s">
        <v>40</v>
      </c>
      <c r="T848">
        <v>261</v>
      </c>
      <c r="W848"/>
      <c r="Y848" t="s">
        <v>377</v>
      </c>
      <c r="Z848" t="s">
        <v>378</v>
      </c>
      <c r="AA848" t="s">
        <v>379</v>
      </c>
      <c r="AB848" t="s">
        <v>642</v>
      </c>
      <c r="AC848" t="s">
        <v>41</v>
      </c>
      <c r="AD848" t="s">
        <v>41</v>
      </c>
      <c r="AE848" t="s">
        <v>41</v>
      </c>
      <c r="AF848" t="s">
        <v>41</v>
      </c>
      <c r="AK848"/>
    </row>
    <row r="849" spans="1:37" x14ac:dyDescent="0.25">
      <c r="A849" t="s">
        <v>44</v>
      </c>
      <c r="B849">
        <v>45983.938969907409</v>
      </c>
      <c r="C849">
        <v>91197</v>
      </c>
      <c r="D849" t="s">
        <v>745</v>
      </c>
      <c r="E849">
        <v>4495276</v>
      </c>
      <c r="F849">
        <v>2304758</v>
      </c>
      <c r="G849" t="s">
        <v>402</v>
      </c>
      <c r="H849" t="s">
        <v>1228</v>
      </c>
      <c r="I849">
        <v>14</v>
      </c>
      <c r="J849" t="b">
        <v>1</v>
      </c>
      <c r="K849">
        <v>1.75</v>
      </c>
      <c r="L849">
        <v>2304759</v>
      </c>
      <c r="M849" t="s">
        <v>404</v>
      </c>
      <c r="N849">
        <v>8</v>
      </c>
      <c r="O849">
        <v>8</v>
      </c>
      <c r="P849"/>
      <c r="Q849">
        <v>155687</v>
      </c>
      <c r="R849">
        <v>2</v>
      </c>
      <c r="S849" t="s">
        <v>40</v>
      </c>
      <c r="T849">
        <v>261</v>
      </c>
      <c r="U849">
        <v>147664</v>
      </c>
      <c r="V849">
        <v>48</v>
      </c>
      <c r="W849" t="s">
        <v>40</v>
      </c>
      <c r="X849">
        <v>261</v>
      </c>
      <c r="Y849" t="s">
        <v>377</v>
      </c>
      <c r="Z849" t="s">
        <v>378</v>
      </c>
      <c r="AA849" t="s">
        <v>384</v>
      </c>
      <c r="AB849" t="s">
        <v>384</v>
      </c>
      <c r="AC849" t="s">
        <v>41</v>
      </c>
      <c r="AD849" t="s">
        <v>41</v>
      </c>
      <c r="AE849" t="s">
        <v>41</v>
      </c>
      <c r="AF849" t="s">
        <v>41</v>
      </c>
      <c r="AK849"/>
    </row>
    <row r="850" spans="1:37" x14ac:dyDescent="0.25">
      <c r="A850" t="s">
        <v>37</v>
      </c>
      <c r="B850">
        <v>45984.040289351855</v>
      </c>
      <c r="C850">
        <v>91979</v>
      </c>
      <c r="D850" t="s">
        <v>745</v>
      </c>
      <c r="E850">
        <v>4504770</v>
      </c>
      <c r="F850">
        <v>2104879</v>
      </c>
      <c r="G850" t="s">
        <v>556</v>
      </c>
      <c r="H850" t="s">
        <v>1229</v>
      </c>
      <c r="I850">
        <v>7</v>
      </c>
      <c r="J850" t="b">
        <v>1</v>
      </c>
      <c r="K850">
        <v>1.4</v>
      </c>
      <c r="L850">
        <v>2106199</v>
      </c>
      <c r="M850" t="s">
        <v>558</v>
      </c>
      <c r="N850">
        <v>5</v>
      </c>
      <c r="O850">
        <v>5</v>
      </c>
      <c r="P850"/>
      <c r="Q850">
        <v>134971</v>
      </c>
      <c r="R850">
        <v>1</v>
      </c>
      <c r="S850" t="s">
        <v>40</v>
      </c>
      <c r="T850">
        <v>261</v>
      </c>
      <c r="U850">
        <v>147664</v>
      </c>
      <c r="V850">
        <v>24</v>
      </c>
      <c r="W850" t="s">
        <v>40</v>
      </c>
      <c r="X850">
        <v>261</v>
      </c>
      <c r="Y850" t="s">
        <v>377</v>
      </c>
      <c r="Z850" t="s">
        <v>378</v>
      </c>
      <c r="AA850" t="s">
        <v>379</v>
      </c>
      <c r="AB850" t="s">
        <v>559</v>
      </c>
      <c r="AC850" t="s">
        <v>41</v>
      </c>
      <c r="AD850" t="s">
        <v>41</v>
      </c>
      <c r="AE850" t="s">
        <v>41</v>
      </c>
      <c r="AF850" t="s">
        <v>41</v>
      </c>
      <c r="AK850"/>
    </row>
    <row r="851" spans="1:37" x14ac:dyDescent="0.25">
      <c r="A851" t="s">
        <v>37</v>
      </c>
      <c r="B851">
        <v>45984.040960648148</v>
      </c>
      <c r="C851">
        <v>91979</v>
      </c>
      <c r="D851" t="s">
        <v>745</v>
      </c>
      <c r="E851">
        <v>4504769</v>
      </c>
      <c r="F851">
        <v>2104879</v>
      </c>
      <c r="G851" t="s">
        <v>556</v>
      </c>
      <c r="H851" t="s">
        <v>1229</v>
      </c>
      <c r="I851">
        <v>7</v>
      </c>
      <c r="J851" t="b">
        <v>1</v>
      </c>
      <c r="K851">
        <v>1.75</v>
      </c>
      <c r="L851">
        <v>2106199</v>
      </c>
      <c r="M851" t="s">
        <v>558</v>
      </c>
      <c r="N851">
        <v>4</v>
      </c>
      <c r="O851">
        <v>4</v>
      </c>
      <c r="P851"/>
      <c r="Q851">
        <v>134971</v>
      </c>
      <c r="R851">
        <v>1</v>
      </c>
      <c r="S851" t="s">
        <v>40</v>
      </c>
      <c r="T851">
        <v>261</v>
      </c>
      <c r="U851">
        <v>147664</v>
      </c>
      <c r="V851">
        <v>24</v>
      </c>
      <c r="W851" t="s">
        <v>40</v>
      </c>
      <c r="X851">
        <v>261</v>
      </c>
      <c r="Y851" t="s">
        <v>377</v>
      </c>
      <c r="Z851" t="s">
        <v>378</v>
      </c>
      <c r="AA851" t="s">
        <v>379</v>
      </c>
      <c r="AB851" t="s">
        <v>384</v>
      </c>
      <c r="AC851" t="s">
        <v>41</v>
      </c>
      <c r="AD851" t="s">
        <v>41</v>
      </c>
      <c r="AE851" t="s">
        <v>41</v>
      </c>
      <c r="AF851" t="s">
        <v>41</v>
      </c>
      <c r="AK851"/>
    </row>
    <row r="852" spans="1:37" x14ac:dyDescent="0.25">
      <c r="A852" t="s">
        <v>39</v>
      </c>
      <c r="B852">
        <v>45984.042534722219</v>
      </c>
      <c r="C852">
        <v>92560</v>
      </c>
      <c r="D852" t="s">
        <v>745</v>
      </c>
      <c r="E852">
        <v>4502171</v>
      </c>
      <c r="F852">
        <v>133168</v>
      </c>
      <c r="G852" t="s">
        <v>863</v>
      </c>
      <c r="H852" t="s">
        <v>1126</v>
      </c>
      <c r="I852">
        <v>64.3</v>
      </c>
      <c r="J852" t="b">
        <v>1</v>
      </c>
      <c r="K852">
        <v>0.75647058823529412</v>
      </c>
      <c r="L852">
        <v>144374</v>
      </c>
      <c r="M852" t="s">
        <v>865</v>
      </c>
      <c r="N852">
        <v>85</v>
      </c>
      <c r="O852">
        <v>85</v>
      </c>
      <c r="P852"/>
      <c r="Q852">
        <v>134908</v>
      </c>
      <c r="R852">
        <v>1</v>
      </c>
      <c r="S852" t="s">
        <v>40</v>
      </c>
      <c r="T852">
        <v>261</v>
      </c>
      <c r="U852">
        <v>147664</v>
      </c>
      <c r="V852">
        <v>24</v>
      </c>
      <c r="W852" t="s">
        <v>40</v>
      </c>
      <c r="X852">
        <v>261</v>
      </c>
      <c r="Y852" t="s">
        <v>377</v>
      </c>
      <c r="Z852" t="s">
        <v>378</v>
      </c>
      <c r="AA852" t="s">
        <v>379</v>
      </c>
      <c r="AB852" t="s">
        <v>841</v>
      </c>
      <c r="AC852" t="s">
        <v>41</v>
      </c>
      <c r="AD852" t="s">
        <v>41</v>
      </c>
      <c r="AE852" t="s">
        <v>41</v>
      </c>
      <c r="AF852" t="s">
        <v>41</v>
      </c>
      <c r="AK852"/>
    </row>
    <row r="853" spans="1:37" x14ac:dyDescent="0.25">
      <c r="A853" t="s">
        <v>42</v>
      </c>
      <c r="B853">
        <v>45984.613263888888</v>
      </c>
      <c r="C853">
        <v>91981</v>
      </c>
      <c r="D853" t="s">
        <v>393</v>
      </c>
      <c r="E853">
        <v>4504771</v>
      </c>
      <c r="F853">
        <v>2104879</v>
      </c>
      <c r="G853" t="s">
        <v>556</v>
      </c>
      <c r="H853" t="s">
        <v>1230</v>
      </c>
      <c r="I853">
        <v>10</v>
      </c>
      <c r="J853" t="b">
        <v>0</v>
      </c>
      <c r="K853">
        <v>2.5</v>
      </c>
      <c r="L853">
        <v>2106199</v>
      </c>
      <c r="M853" t="s">
        <v>558</v>
      </c>
      <c r="N853">
        <v>4</v>
      </c>
      <c r="O853">
        <v>4</v>
      </c>
      <c r="P853"/>
      <c r="Q853">
        <v>134971</v>
      </c>
      <c r="R853">
        <v>1</v>
      </c>
      <c r="S853" t="s">
        <v>40</v>
      </c>
      <c r="T853">
        <v>261</v>
      </c>
      <c r="U853">
        <v>147664</v>
      </c>
      <c r="V853">
        <v>24</v>
      </c>
      <c r="W853" t="s">
        <v>40</v>
      </c>
      <c r="X853">
        <v>261</v>
      </c>
      <c r="Y853" t="s">
        <v>377</v>
      </c>
      <c r="Z853" t="s">
        <v>378</v>
      </c>
      <c r="AA853" t="s">
        <v>379</v>
      </c>
      <c r="AB853" t="s">
        <v>384</v>
      </c>
      <c r="AC853" t="s">
        <v>41</v>
      </c>
      <c r="AD853" t="s">
        <v>41</v>
      </c>
      <c r="AE853" t="s">
        <v>41</v>
      </c>
      <c r="AF853" t="s">
        <v>41</v>
      </c>
      <c r="AK853"/>
    </row>
    <row r="854" spans="1:37" x14ac:dyDescent="0.25">
      <c r="A854" t="s">
        <v>42</v>
      </c>
      <c r="B854">
        <v>45984.615231481483</v>
      </c>
      <c r="C854">
        <v>91981</v>
      </c>
      <c r="D854" t="s">
        <v>393</v>
      </c>
      <c r="E854">
        <v>4504772</v>
      </c>
      <c r="F854">
        <v>2104879</v>
      </c>
      <c r="G854" t="s">
        <v>556</v>
      </c>
      <c r="H854" t="s">
        <v>1231</v>
      </c>
      <c r="I854">
        <v>10</v>
      </c>
      <c r="J854" t="b">
        <v>1</v>
      </c>
      <c r="K854">
        <v>2.5</v>
      </c>
      <c r="L854">
        <v>2106199</v>
      </c>
      <c r="M854" t="s">
        <v>558</v>
      </c>
      <c r="N854">
        <v>4</v>
      </c>
      <c r="O854">
        <v>9</v>
      </c>
      <c r="P854"/>
      <c r="Q854">
        <v>134971</v>
      </c>
      <c r="R854">
        <v>1</v>
      </c>
      <c r="S854" t="s">
        <v>40</v>
      </c>
      <c r="T854">
        <v>261</v>
      </c>
      <c r="U854">
        <v>147664</v>
      </c>
      <c r="V854">
        <v>24</v>
      </c>
      <c r="W854" t="s">
        <v>40</v>
      </c>
      <c r="X854">
        <v>261</v>
      </c>
      <c r="Y854" t="s">
        <v>377</v>
      </c>
      <c r="Z854" t="s">
        <v>378</v>
      </c>
      <c r="AA854" t="s">
        <v>379</v>
      </c>
      <c r="AB854" t="s">
        <v>384</v>
      </c>
      <c r="AC854" t="s">
        <v>41</v>
      </c>
      <c r="AD854" t="s">
        <v>41</v>
      </c>
      <c r="AE854" t="s">
        <v>41</v>
      </c>
      <c r="AF854" t="s">
        <v>41</v>
      </c>
      <c r="AK854"/>
    </row>
    <row r="855" spans="1:37" x14ac:dyDescent="0.25">
      <c r="A855" t="s">
        <v>42</v>
      </c>
      <c r="B855">
        <v>45984.616469907407</v>
      </c>
      <c r="C855">
        <v>91981</v>
      </c>
      <c r="D855" t="s">
        <v>393</v>
      </c>
      <c r="E855">
        <v>4504772</v>
      </c>
      <c r="F855">
        <v>2104879</v>
      </c>
      <c r="G855" t="s">
        <v>556</v>
      </c>
      <c r="H855" t="s">
        <v>1231</v>
      </c>
      <c r="I855">
        <v>10</v>
      </c>
      <c r="J855" t="b">
        <v>1</v>
      </c>
      <c r="K855">
        <v>2</v>
      </c>
      <c r="L855">
        <v>2106199</v>
      </c>
      <c r="M855" t="s">
        <v>558</v>
      </c>
      <c r="N855">
        <v>5</v>
      </c>
      <c r="O855">
        <v>5</v>
      </c>
      <c r="P855"/>
      <c r="Q855">
        <v>134971</v>
      </c>
      <c r="R855">
        <v>1</v>
      </c>
      <c r="S855" t="s">
        <v>40</v>
      </c>
      <c r="T855">
        <v>261</v>
      </c>
      <c r="U855">
        <v>147664</v>
      </c>
      <c r="V855">
        <v>24</v>
      </c>
      <c r="W855" t="s">
        <v>40</v>
      </c>
      <c r="X855">
        <v>261</v>
      </c>
      <c r="Y855" t="s">
        <v>377</v>
      </c>
      <c r="Z855" t="s">
        <v>378</v>
      </c>
      <c r="AA855" t="s">
        <v>379</v>
      </c>
      <c r="AB855" t="s">
        <v>559</v>
      </c>
      <c r="AC855" t="s">
        <v>41</v>
      </c>
      <c r="AD855" t="s">
        <v>41</v>
      </c>
      <c r="AE855" t="s">
        <v>41</v>
      </c>
      <c r="AF855" t="s">
        <v>41</v>
      </c>
      <c r="AK855"/>
    </row>
    <row r="856" spans="1:37" x14ac:dyDescent="0.25">
      <c r="A856" t="s">
        <v>37</v>
      </c>
      <c r="B856">
        <v>45984.738749999997</v>
      </c>
      <c r="C856">
        <v>92051</v>
      </c>
      <c r="D856" t="s">
        <v>393</v>
      </c>
      <c r="E856">
        <v>4504521</v>
      </c>
      <c r="F856">
        <v>2135860</v>
      </c>
      <c r="G856" t="s">
        <v>1232</v>
      </c>
      <c r="H856" t="s">
        <v>1128</v>
      </c>
      <c r="I856">
        <v>5</v>
      </c>
      <c r="J856" t="b">
        <v>1</v>
      </c>
      <c r="K856">
        <v>1.6835016835016835E-2</v>
      </c>
      <c r="L856">
        <v>2135435</v>
      </c>
      <c r="M856" t="s">
        <v>1233</v>
      </c>
      <c r="N856">
        <v>297</v>
      </c>
      <c r="O856">
        <v>297</v>
      </c>
      <c r="P856"/>
      <c r="Q856">
        <v>134976</v>
      </c>
      <c r="R856">
        <v>1</v>
      </c>
      <c r="S856" t="s">
        <v>40</v>
      </c>
      <c r="T856">
        <v>261</v>
      </c>
      <c r="W856"/>
      <c r="Y856" t="s">
        <v>377</v>
      </c>
      <c r="Z856" t="s">
        <v>378</v>
      </c>
      <c r="AA856" t="s">
        <v>379</v>
      </c>
      <c r="AB856" t="s">
        <v>1234</v>
      </c>
      <c r="AC856" t="s">
        <v>41</v>
      </c>
      <c r="AD856" t="s">
        <v>41</v>
      </c>
      <c r="AE856" t="s">
        <v>41</v>
      </c>
      <c r="AF856" t="s">
        <v>41</v>
      </c>
      <c r="AK856"/>
    </row>
    <row r="857" spans="1:37" x14ac:dyDescent="0.25">
      <c r="A857" t="s">
        <v>37</v>
      </c>
      <c r="B857">
        <v>45985.595104166663</v>
      </c>
      <c r="C857">
        <v>90720</v>
      </c>
      <c r="D857" t="s">
        <v>373</v>
      </c>
      <c r="E857">
        <v>4503688</v>
      </c>
      <c r="F857">
        <v>2304174</v>
      </c>
      <c r="G857" t="s">
        <v>1235</v>
      </c>
      <c r="H857" t="s">
        <v>1128</v>
      </c>
      <c r="I857">
        <v>3.75</v>
      </c>
      <c r="J857" t="b">
        <v>1</v>
      </c>
      <c r="K857">
        <v>0.9375</v>
      </c>
      <c r="L857">
        <v>2304175</v>
      </c>
      <c r="M857" t="s">
        <v>1236</v>
      </c>
      <c r="N857">
        <v>4</v>
      </c>
      <c r="O857">
        <v>4</v>
      </c>
      <c r="P857"/>
      <c r="Q857">
        <v>134971</v>
      </c>
      <c r="R857">
        <v>1</v>
      </c>
      <c r="S857" t="s">
        <v>40</v>
      </c>
      <c r="T857">
        <v>261</v>
      </c>
      <c r="U857">
        <v>147664</v>
      </c>
      <c r="V857">
        <v>24</v>
      </c>
      <c r="W857" t="s">
        <v>40</v>
      </c>
      <c r="X857">
        <v>261</v>
      </c>
      <c r="Y857" t="s">
        <v>377</v>
      </c>
      <c r="Z857" t="s">
        <v>378</v>
      </c>
      <c r="AA857" t="s">
        <v>379</v>
      </c>
      <c r="AB857" t="s">
        <v>384</v>
      </c>
      <c r="AC857" t="s">
        <v>41</v>
      </c>
      <c r="AD857" t="s">
        <v>41</v>
      </c>
      <c r="AE857" t="s">
        <v>41</v>
      </c>
      <c r="AF857" t="s">
        <v>41</v>
      </c>
      <c r="AK857"/>
    </row>
    <row r="858" spans="1:37" x14ac:dyDescent="0.25">
      <c r="A858" t="s">
        <v>37</v>
      </c>
      <c r="B858">
        <v>45985.595960648148</v>
      </c>
      <c r="C858">
        <v>90720</v>
      </c>
      <c r="D858" t="s">
        <v>373</v>
      </c>
      <c r="E858">
        <v>4503689</v>
      </c>
      <c r="F858">
        <v>2304174</v>
      </c>
      <c r="G858" t="s">
        <v>1235</v>
      </c>
      <c r="H858" t="s">
        <v>1128</v>
      </c>
      <c r="I858">
        <v>3.75</v>
      </c>
      <c r="J858" t="b">
        <v>1</v>
      </c>
      <c r="K858">
        <v>0.3125</v>
      </c>
      <c r="L858">
        <v>2304175</v>
      </c>
      <c r="M858" t="s">
        <v>1236</v>
      </c>
      <c r="N858">
        <v>12</v>
      </c>
      <c r="O858">
        <v>12</v>
      </c>
      <c r="P858"/>
      <c r="Q858">
        <v>134971</v>
      </c>
      <c r="R858">
        <v>1</v>
      </c>
      <c r="S858" t="s">
        <v>40</v>
      </c>
      <c r="T858">
        <v>261</v>
      </c>
      <c r="U858">
        <v>147664</v>
      </c>
      <c r="V858">
        <v>24</v>
      </c>
      <c r="W858" t="s">
        <v>40</v>
      </c>
      <c r="X858">
        <v>261</v>
      </c>
      <c r="Y858" t="s">
        <v>377</v>
      </c>
      <c r="Z858" t="s">
        <v>378</v>
      </c>
      <c r="AA858" t="s">
        <v>379</v>
      </c>
      <c r="AB858" t="s">
        <v>409</v>
      </c>
      <c r="AC858" t="s">
        <v>41</v>
      </c>
      <c r="AD858" t="s">
        <v>41</v>
      </c>
      <c r="AE858" t="s">
        <v>41</v>
      </c>
      <c r="AF858" t="s">
        <v>41</v>
      </c>
      <c r="AK858"/>
    </row>
    <row r="859" spans="1:37" x14ac:dyDescent="0.25">
      <c r="A859" t="s">
        <v>38</v>
      </c>
      <c r="B859">
        <v>45985.716249999998</v>
      </c>
      <c r="C859">
        <v>91980</v>
      </c>
      <c r="D859" t="s">
        <v>373</v>
      </c>
      <c r="E859">
        <v>4504774</v>
      </c>
      <c r="F859">
        <v>2104881</v>
      </c>
      <c r="G859" t="s">
        <v>600</v>
      </c>
      <c r="H859" t="s">
        <v>1237</v>
      </c>
      <c r="I859">
        <v>5</v>
      </c>
      <c r="J859" t="b">
        <v>1</v>
      </c>
      <c r="K859">
        <v>1</v>
      </c>
      <c r="L859">
        <v>2106201</v>
      </c>
      <c r="M859" t="s">
        <v>602</v>
      </c>
      <c r="N859">
        <v>5</v>
      </c>
      <c r="O859">
        <v>5</v>
      </c>
      <c r="P859"/>
      <c r="Q859">
        <v>134905</v>
      </c>
      <c r="R859">
        <v>1</v>
      </c>
      <c r="S859" t="s">
        <v>40</v>
      </c>
      <c r="T859">
        <v>261</v>
      </c>
      <c r="U859">
        <v>147664</v>
      </c>
      <c r="V859">
        <v>24</v>
      </c>
      <c r="W859" t="s">
        <v>40</v>
      </c>
      <c r="X859">
        <v>261</v>
      </c>
      <c r="Y859" t="s">
        <v>377</v>
      </c>
      <c r="Z859" t="s">
        <v>378</v>
      </c>
      <c r="AA859" t="s">
        <v>379</v>
      </c>
      <c r="AB859" t="s">
        <v>559</v>
      </c>
      <c r="AC859" t="s">
        <v>41</v>
      </c>
      <c r="AD859" t="s">
        <v>41</v>
      </c>
      <c r="AE859" t="s">
        <v>41</v>
      </c>
      <c r="AF859" t="s">
        <v>41</v>
      </c>
      <c r="AK859"/>
    </row>
    <row r="860" spans="1:37" x14ac:dyDescent="0.25">
      <c r="A860" t="s">
        <v>38</v>
      </c>
      <c r="B860">
        <v>45985.716898148145</v>
      </c>
      <c r="C860">
        <v>91980</v>
      </c>
      <c r="D860" t="s">
        <v>373</v>
      </c>
      <c r="E860">
        <v>4504773</v>
      </c>
      <c r="F860">
        <v>2104881</v>
      </c>
      <c r="G860" t="s">
        <v>600</v>
      </c>
      <c r="H860" t="s">
        <v>1237</v>
      </c>
      <c r="I860">
        <v>5</v>
      </c>
      <c r="J860" t="b">
        <v>1</v>
      </c>
      <c r="K860">
        <v>1.25</v>
      </c>
      <c r="L860">
        <v>2106201</v>
      </c>
      <c r="M860" t="s">
        <v>602</v>
      </c>
      <c r="N860">
        <v>4</v>
      </c>
      <c r="O860">
        <v>4</v>
      </c>
      <c r="P860"/>
      <c r="Q860">
        <v>134905</v>
      </c>
      <c r="R860">
        <v>1</v>
      </c>
      <c r="S860" t="s">
        <v>40</v>
      </c>
      <c r="T860">
        <v>261</v>
      </c>
      <c r="U860">
        <v>147664</v>
      </c>
      <c r="V860">
        <v>24</v>
      </c>
      <c r="W860" t="s">
        <v>40</v>
      </c>
      <c r="X860">
        <v>261</v>
      </c>
      <c r="Y860" t="s">
        <v>377</v>
      </c>
      <c r="Z860" t="s">
        <v>378</v>
      </c>
      <c r="AA860" t="s">
        <v>379</v>
      </c>
      <c r="AB860" t="s">
        <v>384</v>
      </c>
      <c r="AC860" t="s">
        <v>41</v>
      </c>
      <c r="AD860" t="s">
        <v>41</v>
      </c>
      <c r="AE860" t="s">
        <v>41</v>
      </c>
      <c r="AF860" t="s">
        <v>41</v>
      </c>
      <c r="AK860"/>
    </row>
    <row r="861" spans="1:37" x14ac:dyDescent="0.25">
      <c r="A861" t="s">
        <v>39</v>
      </c>
      <c r="B861">
        <v>45986.040370370371</v>
      </c>
      <c r="C861">
        <v>92052</v>
      </c>
      <c r="D861" t="s">
        <v>494</v>
      </c>
      <c r="E861">
        <v>4504200</v>
      </c>
      <c r="F861">
        <v>2105316</v>
      </c>
      <c r="G861" t="s">
        <v>1160</v>
      </c>
      <c r="H861" t="s">
        <v>1156</v>
      </c>
      <c r="I861">
        <v>5</v>
      </c>
      <c r="J861" t="b">
        <v>1</v>
      </c>
      <c r="K861">
        <v>1.4044943820224719E-2</v>
      </c>
      <c r="L861">
        <v>2106585</v>
      </c>
      <c r="M861" t="s">
        <v>1161</v>
      </c>
      <c r="N861">
        <v>356</v>
      </c>
      <c r="O861">
        <v>356</v>
      </c>
      <c r="P861" t="s">
        <v>423</v>
      </c>
      <c r="Q861">
        <v>0</v>
      </c>
      <c r="R861">
        <v>0</v>
      </c>
      <c r="S861" t="s">
        <v>40</v>
      </c>
      <c r="T861">
        <v>261</v>
      </c>
      <c r="W861"/>
      <c r="Y861" t="s">
        <v>377</v>
      </c>
      <c r="Z861" t="s">
        <v>378</v>
      </c>
      <c r="AA861" t="s">
        <v>379</v>
      </c>
      <c r="AB861" t="s">
        <v>1238</v>
      </c>
      <c r="AC861" t="s">
        <v>41</v>
      </c>
      <c r="AD861" t="s">
        <v>41</v>
      </c>
      <c r="AE861" t="s">
        <v>41</v>
      </c>
      <c r="AF861" t="s">
        <v>41</v>
      </c>
      <c r="AK861"/>
    </row>
    <row r="862" spans="1:37" x14ac:dyDescent="0.25">
      <c r="A862" t="s">
        <v>47</v>
      </c>
      <c r="B862">
        <v>45986.041446759256</v>
      </c>
      <c r="C862">
        <v>92562</v>
      </c>
      <c r="D862" t="s">
        <v>494</v>
      </c>
      <c r="E862">
        <v>4504189</v>
      </c>
      <c r="F862">
        <v>133168</v>
      </c>
      <c r="G862" t="s">
        <v>863</v>
      </c>
      <c r="H862" t="s">
        <v>1239</v>
      </c>
      <c r="I862">
        <v>64.3</v>
      </c>
      <c r="J862" t="b">
        <v>1</v>
      </c>
      <c r="K862">
        <v>0.7306818181818181</v>
      </c>
      <c r="L862">
        <v>144374</v>
      </c>
      <c r="M862" t="s">
        <v>865</v>
      </c>
      <c r="N862">
        <v>88</v>
      </c>
      <c r="O862">
        <v>87</v>
      </c>
      <c r="P862"/>
      <c r="Q862">
        <v>134971</v>
      </c>
      <c r="R862">
        <v>1</v>
      </c>
      <c r="S862" t="s">
        <v>40</v>
      </c>
      <c r="T862">
        <v>261</v>
      </c>
      <c r="U862">
        <v>147664</v>
      </c>
      <c r="V862">
        <v>24</v>
      </c>
      <c r="W862" t="s">
        <v>40</v>
      </c>
      <c r="X862">
        <v>261</v>
      </c>
      <c r="Y862" t="s">
        <v>377</v>
      </c>
      <c r="Z862" t="s">
        <v>378</v>
      </c>
      <c r="AA862" t="s">
        <v>379</v>
      </c>
      <c r="AB862" t="s">
        <v>680</v>
      </c>
      <c r="AC862" t="s">
        <v>41</v>
      </c>
      <c r="AD862" t="s">
        <v>41</v>
      </c>
      <c r="AE862" t="s">
        <v>41</v>
      </c>
      <c r="AF862" t="s">
        <v>41</v>
      </c>
      <c r="AK862"/>
    </row>
    <row r="863" spans="1:37" x14ac:dyDescent="0.25">
      <c r="A863" t="s">
        <v>37</v>
      </c>
      <c r="B863">
        <v>45986.385277777779</v>
      </c>
      <c r="C863">
        <v>92053</v>
      </c>
      <c r="D863" t="s">
        <v>646</v>
      </c>
      <c r="E863">
        <v>4504213</v>
      </c>
      <c r="F863">
        <v>2116462</v>
      </c>
      <c r="G863" t="s">
        <v>716</v>
      </c>
      <c r="H863" t="s">
        <v>1156</v>
      </c>
      <c r="I863">
        <v>3</v>
      </c>
      <c r="J863" t="b">
        <v>1</v>
      </c>
      <c r="K863">
        <v>1.5957446808510637E-2</v>
      </c>
      <c r="L863">
        <v>2117619</v>
      </c>
      <c r="M863" t="s">
        <v>717</v>
      </c>
      <c r="N863">
        <v>188</v>
      </c>
      <c r="O863">
        <v>190</v>
      </c>
      <c r="P863"/>
      <c r="Q863">
        <v>134976</v>
      </c>
      <c r="R863">
        <v>1</v>
      </c>
      <c r="S863" t="s">
        <v>40</v>
      </c>
      <c r="T863">
        <v>261</v>
      </c>
      <c r="W863"/>
      <c r="Y863" t="s">
        <v>377</v>
      </c>
      <c r="Z863" t="s">
        <v>378</v>
      </c>
      <c r="AA863" t="s">
        <v>379</v>
      </c>
      <c r="AB863" t="s">
        <v>957</v>
      </c>
      <c r="AC863" t="s">
        <v>41</v>
      </c>
      <c r="AD863" t="s">
        <v>41</v>
      </c>
      <c r="AE863" t="s">
        <v>41</v>
      </c>
      <c r="AF863" t="s">
        <v>41</v>
      </c>
      <c r="AK863"/>
    </row>
    <row r="864" spans="1:37" x14ac:dyDescent="0.25">
      <c r="A864" t="s">
        <v>42</v>
      </c>
      <c r="B864">
        <v>45986.484814814816</v>
      </c>
      <c r="C864">
        <v>90721</v>
      </c>
      <c r="D864" t="s">
        <v>646</v>
      </c>
      <c r="E864">
        <v>4503691</v>
      </c>
      <c r="F864">
        <v>2304174</v>
      </c>
      <c r="G864" t="s">
        <v>1235</v>
      </c>
      <c r="H864" t="s">
        <v>1156</v>
      </c>
      <c r="I864">
        <v>7.5</v>
      </c>
      <c r="J864" t="b">
        <v>1</v>
      </c>
      <c r="K864">
        <v>0.625</v>
      </c>
      <c r="L864">
        <v>2304175</v>
      </c>
      <c r="M864" t="s">
        <v>1236</v>
      </c>
      <c r="N864">
        <v>12</v>
      </c>
      <c r="O864">
        <v>12</v>
      </c>
      <c r="P864"/>
      <c r="Q864">
        <v>134906</v>
      </c>
      <c r="R864">
        <v>1</v>
      </c>
      <c r="S864" t="s">
        <v>40</v>
      </c>
      <c r="T864">
        <v>261</v>
      </c>
      <c r="U864">
        <v>147664</v>
      </c>
      <c r="V864">
        <v>24</v>
      </c>
      <c r="W864" t="s">
        <v>40</v>
      </c>
      <c r="X864">
        <v>261</v>
      </c>
      <c r="Y864" t="s">
        <v>377</v>
      </c>
      <c r="Z864" t="s">
        <v>378</v>
      </c>
      <c r="AA864" t="s">
        <v>379</v>
      </c>
      <c r="AB864" t="s">
        <v>409</v>
      </c>
      <c r="AC864" t="s">
        <v>41</v>
      </c>
      <c r="AD864" t="s">
        <v>41</v>
      </c>
      <c r="AE864" t="s">
        <v>41</v>
      </c>
      <c r="AF864" t="s">
        <v>41</v>
      </c>
      <c r="AK864"/>
    </row>
    <row r="865" spans="1:38" x14ac:dyDescent="0.25">
      <c r="A865" t="s">
        <v>42</v>
      </c>
      <c r="B865">
        <v>45986.485891203702</v>
      </c>
      <c r="C865">
        <v>90721</v>
      </c>
      <c r="D865" t="s">
        <v>646</v>
      </c>
      <c r="E865">
        <v>4503690</v>
      </c>
      <c r="F865">
        <v>2304174</v>
      </c>
      <c r="G865" t="s">
        <v>1235</v>
      </c>
      <c r="H865" t="s">
        <v>1156</v>
      </c>
      <c r="I865">
        <v>0</v>
      </c>
      <c r="J865" t="b">
        <v>1</v>
      </c>
      <c r="K865">
        <v>0</v>
      </c>
      <c r="L865">
        <v>2304175</v>
      </c>
      <c r="M865" t="s">
        <v>1236</v>
      </c>
      <c r="N865">
        <v>4</v>
      </c>
      <c r="O865">
        <v>4</v>
      </c>
      <c r="P865"/>
      <c r="Q865">
        <v>134906</v>
      </c>
      <c r="R865">
        <v>1</v>
      </c>
      <c r="S865" t="s">
        <v>40</v>
      </c>
      <c r="T865">
        <v>261</v>
      </c>
      <c r="U865">
        <v>147664</v>
      </c>
      <c r="V865">
        <v>24</v>
      </c>
      <c r="W865" t="s">
        <v>40</v>
      </c>
      <c r="X865">
        <v>261</v>
      </c>
      <c r="Y865" t="s">
        <v>377</v>
      </c>
      <c r="Z865" t="s">
        <v>378</v>
      </c>
      <c r="AA865" t="s">
        <v>379</v>
      </c>
      <c r="AB865" t="s">
        <v>384</v>
      </c>
      <c r="AC865" t="s">
        <v>41</v>
      </c>
      <c r="AD865" t="s">
        <v>41</v>
      </c>
      <c r="AE865" t="s">
        <v>41</v>
      </c>
      <c r="AF865" t="s">
        <v>41</v>
      </c>
      <c r="AK865"/>
    </row>
    <row r="866" spans="1:38" x14ac:dyDescent="0.25">
      <c r="A866" t="s">
        <v>39</v>
      </c>
      <c r="B866">
        <v>45986.58017361111</v>
      </c>
      <c r="C866">
        <v>91982</v>
      </c>
      <c r="D866" t="s">
        <v>646</v>
      </c>
      <c r="E866">
        <v>4504776</v>
      </c>
      <c r="F866">
        <v>2104881</v>
      </c>
      <c r="G866" t="s">
        <v>600</v>
      </c>
      <c r="H866" t="s">
        <v>1240</v>
      </c>
      <c r="I866">
        <v>10</v>
      </c>
      <c r="J866" t="b">
        <v>1</v>
      </c>
      <c r="K866">
        <v>2</v>
      </c>
      <c r="L866">
        <v>2106201</v>
      </c>
      <c r="M866" t="s">
        <v>602</v>
      </c>
      <c r="N866">
        <v>5</v>
      </c>
      <c r="O866">
        <v>5</v>
      </c>
      <c r="P866"/>
      <c r="Q866">
        <v>2301936</v>
      </c>
      <c r="R866">
        <v>1</v>
      </c>
      <c r="S866" t="s">
        <v>40</v>
      </c>
      <c r="T866">
        <v>261</v>
      </c>
      <c r="U866">
        <v>147664</v>
      </c>
      <c r="V866">
        <v>24</v>
      </c>
      <c r="W866" t="s">
        <v>40</v>
      </c>
      <c r="X866">
        <v>261</v>
      </c>
      <c r="Y866" t="s">
        <v>377</v>
      </c>
      <c r="Z866" t="s">
        <v>378</v>
      </c>
      <c r="AA866" t="s">
        <v>379</v>
      </c>
      <c r="AB866" t="s">
        <v>559</v>
      </c>
      <c r="AC866" t="s">
        <v>41</v>
      </c>
      <c r="AD866" t="s">
        <v>41</v>
      </c>
      <c r="AE866" t="s">
        <v>41</v>
      </c>
      <c r="AF866" t="s">
        <v>41</v>
      </c>
      <c r="AK866"/>
    </row>
    <row r="867" spans="1:38" x14ac:dyDescent="0.25">
      <c r="A867" t="s">
        <v>39</v>
      </c>
      <c r="B867">
        <v>45986.581423611111</v>
      </c>
      <c r="C867">
        <v>91982</v>
      </c>
      <c r="D867" t="s">
        <v>646</v>
      </c>
      <c r="E867">
        <v>4504775</v>
      </c>
      <c r="F867">
        <v>2104881</v>
      </c>
      <c r="G867" t="s">
        <v>600</v>
      </c>
      <c r="H867" t="s">
        <v>1240</v>
      </c>
      <c r="I867">
        <v>0</v>
      </c>
      <c r="J867" t="b">
        <v>1</v>
      </c>
      <c r="K867">
        <v>0</v>
      </c>
      <c r="L867">
        <v>2106201</v>
      </c>
      <c r="M867" t="s">
        <v>602</v>
      </c>
      <c r="N867">
        <v>4</v>
      </c>
      <c r="O867">
        <v>4</v>
      </c>
      <c r="P867"/>
      <c r="Q867">
        <v>134905</v>
      </c>
      <c r="R867">
        <v>1</v>
      </c>
      <c r="S867" t="s">
        <v>40</v>
      </c>
      <c r="T867">
        <v>261</v>
      </c>
      <c r="U867">
        <v>147664</v>
      </c>
      <c r="V867">
        <v>24</v>
      </c>
      <c r="W867" t="s">
        <v>40</v>
      </c>
      <c r="X867">
        <v>261</v>
      </c>
      <c r="Y867" t="s">
        <v>377</v>
      </c>
      <c r="Z867" t="s">
        <v>378</v>
      </c>
      <c r="AA867" t="s">
        <v>379</v>
      </c>
      <c r="AB867" t="s">
        <v>384</v>
      </c>
      <c r="AC867" t="s">
        <v>41</v>
      </c>
      <c r="AD867" t="s">
        <v>41</v>
      </c>
      <c r="AE867" t="s">
        <v>41</v>
      </c>
      <c r="AF867" t="s">
        <v>41</v>
      </c>
      <c r="AK867"/>
    </row>
    <row r="868" spans="1:38" x14ac:dyDescent="0.25">
      <c r="A868" t="s">
        <v>43</v>
      </c>
      <c r="B868">
        <v>45986.593124999999</v>
      </c>
      <c r="C868">
        <v>92563</v>
      </c>
      <c r="D868" t="s">
        <v>646</v>
      </c>
      <c r="E868">
        <v>4497441</v>
      </c>
      <c r="F868">
        <v>2310135</v>
      </c>
      <c r="G868" t="s">
        <v>1052</v>
      </c>
      <c r="H868" t="s">
        <v>1241</v>
      </c>
      <c r="I868">
        <v>64.3</v>
      </c>
      <c r="J868" t="b">
        <v>1</v>
      </c>
      <c r="K868">
        <v>0.15309523809523809</v>
      </c>
      <c r="L868">
        <v>2310136</v>
      </c>
      <c r="M868" t="s">
        <v>1053</v>
      </c>
      <c r="N868">
        <v>420</v>
      </c>
      <c r="O868">
        <v>402</v>
      </c>
      <c r="P868"/>
      <c r="Q868">
        <v>134974</v>
      </c>
      <c r="R868">
        <v>1</v>
      </c>
      <c r="S868" t="s">
        <v>40</v>
      </c>
      <c r="T868">
        <v>261</v>
      </c>
      <c r="W868"/>
      <c r="Y868" t="s">
        <v>377</v>
      </c>
      <c r="Z868" t="s">
        <v>378</v>
      </c>
      <c r="AA868" t="s">
        <v>379</v>
      </c>
      <c r="AB868" t="s">
        <v>1242</v>
      </c>
      <c r="AC868" t="s">
        <v>41</v>
      </c>
      <c r="AD868" t="s">
        <v>41</v>
      </c>
      <c r="AE868" t="s">
        <v>41</v>
      </c>
      <c r="AF868" t="s">
        <v>41</v>
      </c>
      <c r="AK868"/>
    </row>
    <row r="869" spans="1:38" x14ac:dyDescent="0.25">
      <c r="A869" t="s">
        <v>45</v>
      </c>
      <c r="B869">
        <v>45986.717465277776</v>
      </c>
      <c r="C869">
        <v>92056</v>
      </c>
      <c r="D869" t="s">
        <v>646</v>
      </c>
      <c r="E869">
        <v>4504198</v>
      </c>
      <c r="F869">
        <v>2301240</v>
      </c>
      <c r="G869" t="s">
        <v>1181</v>
      </c>
      <c r="H869" t="s">
        <v>1156</v>
      </c>
      <c r="I869">
        <v>2.5</v>
      </c>
      <c r="J869" t="b">
        <v>1</v>
      </c>
      <c r="K869">
        <v>1.5923566878980892E-2</v>
      </c>
      <c r="L869">
        <v>2301241</v>
      </c>
      <c r="M869" t="s">
        <v>1182</v>
      </c>
      <c r="N869">
        <v>157</v>
      </c>
      <c r="O869">
        <v>144</v>
      </c>
      <c r="P869"/>
      <c r="Q869">
        <v>134976</v>
      </c>
      <c r="R869">
        <v>1</v>
      </c>
      <c r="S869" t="s">
        <v>40</v>
      </c>
      <c r="T869">
        <v>261</v>
      </c>
      <c r="W869"/>
      <c r="Y869" t="s">
        <v>377</v>
      </c>
      <c r="Z869" t="s">
        <v>378</v>
      </c>
      <c r="AA869" t="s">
        <v>379</v>
      </c>
      <c r="AB869" t="s">
        <v>1121</v>
      </c>
      <c r="AC869" t="s">
        <v>41</v>
      </c>
      <c r="AD869" t="s">
        <v>41</v>
      </c>
      <c r="AE869" t="s">
        <v>41</v>
      </c>
      <c r="AF869" t="s">
        <v>41</v>
      </c>
      <c r="AK869"/>
    </row>
    <row r="870" spans="1:38" x14ac:dyDescent="0.25">
      <c r="A870" t="s">
        <v>37</v>
      </c>
      <c r="B870">
        <v>45986.764166666668</v>
      </c>
      <c r="C870">
        <v>89137</v>
      </c>
      <c r="D870" t="s">
        <v>745</v>
      </c>
      <c r="E870">
        <v>4504640</v>
      </c>
      <c r="F870">
        <v>2104851</v>
      </c>
      <c r="G870" t="s">
        <v>429</v>
      </c>
      <c r="H870" t="s">
        <v>1224</v>
      </c>
      <c r="I870">
        <v>7.5</v>
      </c>
      <c r="J870" t="b">
        <v>1</v>
      </c>
      <c r="K870">
        <v>0.9375</v>
      </c>
      <c r="L870">
        <v>2106168</v>
      </c>
      <c r="M870" t="s">
        <v>431</v>
      </c>
      <c r="N870">
        <v>8</v>
      </c>
      <c r="O870">
        <v>8</v>
      </c>
      <c r="P870"/>
      <c r="Q870">
        <v>134971</v>
      </c>
      <c r="R870">
        <v>1</v>
      </c>
      <c r="S870" t="s">
        <v>40</v>
      </c>
      <c r="T870">
        <v>261</v>
      </c>
      <c r="U870">
        <v>147664</v>
      </c>
      <c r="V870">
        <v>24</v>
      </c>
      <c r="W870" t="s">
        <v>40</v>
      </c>
      <c r="X870">
        <v>261</v>
      </c>
      <c r="Y870" t="s">
        <v>377</v>
      </c>
      <c r="Z870" t="s">
        <v>378</v>
      </c>
      <c r="AA870" t="s">
        <v>379</v>
      </c>
      <c r="AB870" t="s">
        <v>400</v>
      </c>
      <c r="AC870" t="s">
        <v>41</v>
      </c>
      <c r="AD870" t="s">
        <v>41</v>
      </c>
      <c r="AE870" t="s">
        <v>41</v>
      </c>
      <c r="AF870" t="s">
        <v>41</v>
      </c>
      <c r="AK870"/>
    </row>
    <row r="871" spans="1:38" x14ac:dyDescent="0.25">
      <c r="A871" t="s">
        <v>37</v>
      </c>
      <c r="B871">
        <v>45986.764780092592</v>
      </c>
      <c r="C871">
        <v>89137</v>
      </c>
      <c r="D871" t="s">
        <v>745</v>
      </c>
      <c r="E871">
        <v>4504639</v>
      </c>
      <c r="F871">
        <v>2104851</v>
      </c>
      <c r="G871" t="s">
        <v>429</v>
      </c>
      <c r="H871" t="s">
        <v>1224</v>
      </c>
      <c r="I871">
        <v>7.5</v>
      </c>
      <c r="J871" t="b">
        <v>1</v>
      </c>
      <c r="K871">
        <v>1.875</v>
      </c>
      <c r="L871">
        <v>2106168</v>
      </c>
      <c r="M871" t="s">
        <v>431</v>
      </c>
      <c r="N871">
        <v>4</v>
      </c>
      <c r="O871">
        <v>4</v>
      </c>
      <c r="P871"/>
      <c r="Q871">
        <v>134971</v>
      </c>
      <c r="R871">
        <v>1</v>
      </c>
      <c r="S871" t="s">
        <v>40</v>
      </c>
      <c r="T871">
        <v>261</v>
      </c>
      <c r="U871">
        <v>147664</v>
      </c>
      <c r="V871">
        <v>24</v>
      </c>
      <c r="W871" t="s">
        <v>40</v>
      </c>
      <c r="X871">
        <v>261</v>
      </c>
      <c r="Y871" t="s">
        <v>377</v>
      </c>
      <c r="Z871" t="s">
        <v>378</v>
      </c>
      <c r="AA871" t="s">
        <v>379</v>
      </c>
      <c r="AB871" t="s">
        <v>384</v>
      </c>
      <c r="AC871" t="s">
        <v>41</v>
      </c>
      <c r="AD871" t="s">
        <v>41</v>
      </c>
      <c r="AE871" t="s">
        <v>41</v>
      </c>
      <c r="AF871" t="s">
        <v>41</v>
      </c>
      <c r="AK871"/>
    </row>
    <row r="872" spans="1:38" x14ac:dyDescent="0.25">
      <c r="A872" t="s">
        <v>38</v>
      </c>
      <c r="B872">
        <v>45986.939502314817</v>
      </c>
      <c r="C872">
        <v>91199</v>
      </c>
      <c r="D872" t="s">
        <v>745</v>
      </c>
      <c r="E872">
        <v>4495280</v>
      </c>
      <c r="F872">
        <v>2304758</v>
      </c>
      <c r="G872" t="s">
        <v>402</v>
      </c>
      <c r="H872" t="s">
        <v>1243</v>
      </c>
      <c r="I872">
        <v>14</v>
      </c>
      <c r="J872" t="b">
        <v>1</v>
      </c>
      <c r="K872">
        <v>1.75</v>
      </c>
      <c r="L872">
        <v>2304759</v>
      </c>
      <c r="M872" t="s">
        <v>404</v>
      </c>
      <c r="N872">
        <v>8</v>
      </c>
      <c r="O872">
        <v>8</v>
      </c>
      <c r="P872"/>
      <c r="Q872">
        <v>155687</v>
      </c>
      <c r="R872">
        <v>2</v>
      </c>
      <c r="S872" t="s">
        <v>40</v>
      </c>
      <c r="T872">
        <v>261</v>
      </c>
      <c r="U872">
        <v>147664</v>
      </c>
      <c r="V872">
        <v>48</v>
      </c>
      <c r="W872" t="s">
        <v>40</v>
      </c>
      <c r="X872">
        <v>261</v>
      </c>
      <c r="Y872" t="s">
        <v>377</v>
      </c>
      <c r="Z872" t="s">
        <v>378</v>
      </c>
      <c r="AA872" t="s">
        <v>384</v>
      </c>
      <c r="AB872" t="s">
        <v>384</v>
      </c>
      <c r="AC872" t="s">
        <v>41</v>
      </c>
      <c r="AD872" t="s">
        <v>41</v>
      </c>
      <c r="AE872" t="s">
        <v>41</v>
      </c>
      <c r="AF872" t="s">
        <v>41</v>
      </c>
      <c r="AK872"/>
    </row>
    <row r="873" spans="1:38" x14ac:dyDescent="0.25">
      <c r="A873" t="s">
        <v>48</v>
      </c>
      <c r="B873">
        <v>45987.167453703703</v>
      </c>
      <c r="C873">
        <v>90723</v>
      </c>
      <c r="D873" t="s">
        <v>745</v>
      </c>
      <c r="E873">
        <v>4503693</v>
      </c>
      <c r="F873">
        <v>2304174</v>
      </c>
      <c r="G873" t="s">
        <v>1235</v>
      </c>
      <c r="H873" t="s">
        <v>1210</v>
      </c>
      <c r="I873">
        <v>3.75</v>
      </c>
      <c r="J873" t="b">
        <v>1</v>
      </c>
      <c r="K873">
        <v>0.3125</v>
      </c>
      <c r="L873">
        <v>2304175</v>
      </c>
      <c r="M873" t="s">
        <v>1236</v>
      </c>
      <c r="N873">
        <v>12</v>
      </c>
      <c r="O873">
        <v>12</v>
      </c>
      <c r="P873"/>
      <c r="Q873">
        <v>134906</v>
      </c>
      <c r="R873">
        <v>1</v>
      </c>
      <c r="S873" t="s">
        <v>40</v>
      </c>
      <c r="T873">
        <v>261</v>
      </c>
      <c r="U873">
        <v>147664</v>
      </c>
      <c r="V873">
        <v>24</v>
      </c>
      <c r="W873" t="s">
        <v>40</v>
      </c>
      <c r="X873">
        <v>261</v>
      </c>
      <c r="Y873" t="s">
        <v>377</v>
      </c>
      <c r="Z873" t="s">
        <v>378</v>
      </c>
      <c r="AA873" t="s">
        <v>379</v>
      </c>
      <c r="AB873" t="s">
        <v>409</v>
      </c>
      <c r="AC873" t="s">
        <v>41</v>
      </c>
      <c r="AD873" t="s">
        <v>41</v>
      </c>
      <c r="AE873" t="s">
        <v>41</v>
      </c>
      <c r="AF873" t="s">
        <v>41</v>
      </c>
      <c r="AK873"/>
    </row>
    <row r="874" spans="1:38" x14ac:dyDescent="0.25">
      <c r="A874" t="s">
        <v>48</v>
      </c>
      <c r="B874">
        <v>45987.168090277781</v>
      </c>
      <c r="C874">
        <v>90723</v>
      </c>
      <c r="D874" t="s">
        <v>745</v>
      </c>
      <c r="E874">
        <v>4503692</v>
      </c>
      <c r="F874">
        <v>2304174</v>
      </c>
      <c r="G874" t="s">
        <v>1235</v>
      </c>
      <c r="H874" t="s">
        <v>1210</v>
      </c>
      <c r="I874">
        <v>3.75</v>
      </c>
      <c r="J874" t="b">
        <v>1</v>
      </c>
      <c r="K874">
        <v>0.9375</v>
      </c>
      <c r="L874">
        <v>2304175</v>
      </c>
      <c r="M874" t="s">
        <v>1236</v>
      </c>
      <c r="N874">
        <v>4</v>
      </c>
      <c r="O874">
        <v>4</v>
      </c>
      <c r="P874"/>
      <c r="Q874">
        <v>134906</v>
      </c>
      <c r="R874">
        <v>1</v>
      </c>
      <c r="S874" t="s">
        <v>40</v>
      </c>
      <c r="T874">
        <v>261</v>
      </c>
      <c r="U874">
        <v>147664</v>
      </c>
      <c r="V874">
        <v>24</v>
      </c>
      <c r="W874" t="s">
        <v>40</v>
      </c>
      <c r="X874">
        <v>261</v>
      </c>
      <c r="Y874" t="s">
        <v>377</v>
      </c>
      <c r="Z874" t="s">
        <v>378</v>
      </c>
      <c r="AA874" t="s">
        <v>379</v>
      </c>
      <c r="AB874" t="s">
        <v>384</v>
      </c>
      <c r="AC874" t="s">
        <v>41</v>
      </c>
      <c r="AD874" t="s">
        <v>41</v>
      </c>
      <c r="AE874" t="s">
        <v>41</v>
      </c>
      <c r="AF874" t="s">
        <v>41</v>
      </c>
      <c r="AK874"/>
    </row>
    <row r="875" spans="1:38" x14ac:dyDescent="0.25">
      <c r="A875" t="s">
        <v>45</v>
      </c>
      <c r="B875">
        <v>45987.585335648146</v>
      </c>
      <c r="C875">
        <v>92058</v>
      </c>
      <c r="D875" t="s">
        <v>401</v>
      </c>
      <c r="E875">
        <v>4504010</v>
      </c>
      <c r="F875">
        <v>155570</v>
      </c>
      <c r="G875" t="s">
        <v>1244</v>
      </c>
      <c r="H875" t="s">
        <v>1128</v>
      </c>
      <c r="I875">
        <v>2.5</v>
      </c>
      <c r="J875" t="b">
        <v>1</v>
      </c>
      <c r="K875">
        <v>1.2755102040816327E-2</v>
      </c>
      <c r="L875">
        <v>155571</v>
      </c>
      <c r="M875" t="s">
        <v>1245</v>
      </c>
      <c r="N875">
        <v>196</v>
      </c>
      <c r="O875">
        <v>196</v>
      </c>
      <c r="P875"/>
      <c r="Q875">
        <v>134908</v>
      </c>
      <c r="R875">
        <v>1</v>
      </c>
      <c r="S875" t="s">
        <v>40</v>
      </c>
      <c r="T875">
        <v>261</v>
      </c>
      <c r="U875">
        <v>147664</v>
      </c>
      <c r="V875">
        <v>24</v>
      </c>
      <c r="W875" t="s">
        <v>40</v>
      </c>
      <c r="X875">
        <v>261</v>
      </c>
      <c r="Y875" t="s">
        <v>377</v>
      </c>
      <c r="Z875" t="s">
        <v>378</v>
      </c>
      <c r="AA875" t="s">
        <v>379</v>
      </c>
      <c r="AB875" t="s">
        <v>860</v>
      </c>
      <c r="AC875" t="s">
        <v>41</v>
      </c>
      <c r="AD875" t="s">
        <v>41</v>
      </c>
      <c r="AE875" t="s">
        <v>41</v>
      </c>
      <c r="AF875" t="s">
        <v>41</v>
      </c>
      <c r="AK875"/>
    </row>
    <row r="876" spans="1:38" x14ac:dyDescent="0.25">
      <c r="A876" t="s">
        <v>37</v>
      </c>
      <c r="B876">
        <v>45987.702962962961</v>
      </c>
      <c r="C876">
        <v>90724</v>
      </c>
      <c r="D876" t="s">
        <v>401</v>
      </c>
      <c r="E876">
        <v>4503694</v>
      </c>
      <c r="F876">
        <v>2304174</v>
      </c>
      <c r="G876" t="s">
        <v>1235</v>
      </c>
      <c r="H876" t="s">
        <v>1201</v>
      </c>
      <c r="I876">
        <v>7.5</v>
      </c>
      <c r="J876" t="b">
        <v>1</v>
      </c>
      <c r="K876">
        <v>1.875</v>
      </c>
      <c r="L876">
        <v>2304175</v>
      </c>
      <c r="M876" t="s">
        <v>1236</v>
      </c>
      <c r="N876">
        <v>4</v>
      </c>
      <c r="O876">
        <v>4</v>
      </c>
      <c r="P876"/>
      <c r="Q876">
        <v>134906</v>
      </c>
      <c r="R876">
        <v>1</v>
      </c>
      <c r="S876" t="s">
        <v>40</v>
      </c>
      <c r="T876">
        <v>261</v>
      </c>
      <c r="U876">
        <v>147664</v>
      </c>
      <c r="V876">
        <v>24</v>
      </c>
      <c r="W876" t="s">
        <v>40</v>
      </c>
      <c r="X876">
        <v>261</v>
      </c>
      <c r="Y876" t="s">
        <v>377</v>
      </c>
      <c r="Z876" t="s">
        <v>378</v>
      </c>
      <c r="AA876" t="s">
        <v>379</v>
      </c>
      <c r="AB876" t="s">
        <v>384</v>
      </c>
      <c r="AC876" t="s">
        <v>41</v>
      </c>
      <c r="AD876" t="s">
        <v>41</v>
      </c>
      <c r="AE876" t="s">
        <v>41</v>
      </c>
      <c r="AF876" t="s">
        <v>41</v>
      </c>
      <c r="AK876"/>
    </row>
    <row r="877" spans="1:38" x14ac:dyDescent="0.25">
      <c r="A877" t="s">
        <v>37</v>
      </c>
      <c r="B877">
        <v>45987.705150462964</v>
      </c>
      <c r="C877">
        <v>90724</v>
      </c>
      <c r="D877" t="s">
        <v>401</v>
      </c>
      <c r="E877">
        <v>4503695</v>
      </c>
      <c r="F877">
        <v>2304174</v>
      </c>
      <c r="G877" t="s">
        <v>1235</v>
      </c>
      <c r="H877" t="s">
        <v>1201</v>
      </c>
      <c r="I877">
        <v>0</v>
      </c>
      <c r="J877" t="b">
        <v>1</v>
      </c>
      <c r="K877">
        <v>0</v>
      </c>
      <c r="L877">
        <v>2304175</v>
      </c>
      <c r="M877" t="s">
        <v>1236</v>
      </c>
      <c r="N877">
        <v>12</v>
      </c>
      <c r="O877">
        <v>12</v>
      </c>
      <c r="P877"/>
      <c r="Q877">
        <v>134906</v>
      </c>
      <c r="R877">
        <v>1</v>
      </c>
      <c r="S877" t="s">
        <v>40</v>
      </c>
      <c r="T877">
        <v>261</v>
      </c>
      <c r="U877">
        <v>147664</v>
      </c>
      <c r="V877">
        <v>24</v>
      </c>
      <c r="W877" t="s">
        <v>40</v>
      </c>
      <c r="X877">
        <v>261</v>
      </c>
      <c r="Y877" t="s">
        <v>377</v>
      </c>
      <c r="Z877" t="s">
        <v>378</v>
      </c>
      <c r="AA877" t="s">
        <v>379</v>
      </c>
      <c r="AB877" t="s">
        <v>409</v>
      </c>
      <c r="AC877" t="s">
        <v>41</v>
      </c>
      <c r="AD877" t="s">
        <v>41</v>
      </c>
      <c r="AE877" t="s">
        <v>41</v>
      </c>
      <c r="AF877" t="s">
        <v>41</v>
      </c>
      <c r="AK877"/>
    </row>
    <row r="878" spans="1:38" x14ac:dyDescent="0.25">
      <c r="A878" t="s">
        <v>43</v>
      </c>
      <c r="B878">
        <v>45987.988587962966</v>
      </c>
      <c r="C878">
        <v>89140</v>
      </c>
      <c r="D878" t="s">
        <v>843</v>
      </c>
      <c r="E878">
        <v>4504641</v>
      </c>
      <c r="F878">
        <v>2104851</v>
      </c>
      <c r="G878" t="s">
        <v>429</v>
      </c>
      <c r="H878" t="s">
        <v>1246</v>
      </c>
      <c r="I878">
        <v>7.5</v>
      </c>
      <c r="J878" t="b">
        <v>1</v>
      </c>
      <c r="K878">
        <v>0.625</v>
      </c>
      <c r="L878">
        <v>2106168</v>
      </c>
      <c r="M878" t="s">
        <v>431</v>
      </c>
      <c r="N878">
        <v>12</v>
      </c>
      <c r="O878">
        <v>12</v>
      </c>
      <c r="P878"/>
      <c r="Q878">
        <v>134971</v>
      </c>
      <c r="R878">
        <v>1</v>
      </c>
      <c r="S878" t="s">
        <v>40</v>
      </c>
      <c r="T878">
        <v>261</v>
      </c>
      <c r="U878">
        <v>147664</v>
      </c>
      <c r="V878">
        <v>48</v>
      </c>
      <c r="W878" t="s">
        <v>40</v>
      </c>
      <c r="X878">
        <v>261</v>
      </c>
      <c r="Y878" t="s">
        <v>377</v>
      </c>
      <c r="Z878" t="s">
        <v>378</v>
      </c>
      <c r="AA878" t="s">
        <v>379</v>
      </c>
      <c r="AB878" t="s">
        <v>400</v>
      </c>
      <c r="AC878" t="s">
        <v>379</v>
      </c>
      <c r="AD878" t="s">
        <v>384</v>
      </c>
      <c r="AE878" t="s">
        <v>41</v>
      </c>
      <c r="AF878" t="s">
        <v>41</v>
      </c>
      <c r="AI878">
        <v>134907</v>
      </c>
      <c r="AJ878">
        <v>1</v>
      </c>
      <c r="AK878" t="s">
        <v>40</v>
      </c>
      <c r="AL878">
        <v>261</v>
      </c>
    </row>
    <row r="879" spans="1:38" x14ac:dyDescent="0.25">
      <c r="A879" t="s">
        <v>42</v>
      </c>
      <c r="B879">
        <v>45988.170266203706</v>
      </c>
      <c r="C879">
        <v>89141</v>
      </c>
      <c r="D879" t="s">
        <v>843</v>
      </c>
      <c r="E879">
        <v>4504643</v>
      </c>
      <c r="F879">
        <v>2104851</v>
      </c>
      <c r="G879" t="s">
        <v>429</v>
      </c>
      <c r="H879" t="s">
        <v>1247</v>
      </c>
      <c r="I879">
        <v>3.7</v>
      </c>
      <c r="J879" t="b">
        <v>1</v>
      </c>
      <c r="K879">
        <v>0.52857142857142858</v>
      </c>
      <c r="L879">
        <v>2106168</v>
      </c>
      <c r="M879" t="s">
        <v>431</v>
      </c>
      <c r="N879">
        <v>7</v>
      </c>
      <c r="O879">
        <v>12</v>
      </c>
      <c r="P879"/>
      <c r="Q879">
        <v>134907</v>
      </c>
      <c r="R879">
        <v>1</v>
      </c>
      <c r="S879" t="s">
        <v>40</v>
      </c>
      <c r="T879">
        <v>261</v>
      </c>
      <c r="U879">
        <v>147664</v>
      </c>
      <c r="V879">
        <v>24</v>
      </c>
      <c r="W879" t="s">
        <v>40</v>
      </c>
      <c r="X879">
        <v>261</v>
      </c>
      <c r="Y879" t="s">
        <v>377</v>
      </c>
      <c r="Z879" t="s">
        <v>378</v>
      </c>
      <c r="AA879" t="s">
        <v>379</v>
      </c>
      <c r="AB879" t="s">
        <v>1248</v>
      </c>
      <c r="AC879" t="s">
        <v>41</v>
      </c>
      <c r="AD879" t="s">
        <v>41</v>
      </c>
      <c r="AE879" t="s">
        <v>41</v>
      </c>
      <c r="AF879" t="s">
        <v>41</v>
      </c>
      <c r="AK879"/>
    </row>
    <row r="880" spans="1:38" x14ac:dyDescent="0.25">
      <c r="A880" t="s">
        <v>42</v>
      </c>
      <c r="B880">
        <v>45988.171319444446</v>
      </c>
      <c r="C880">
        <v>89141</v>
      </c>
      <c r="D880" t="s">
        <v>843</v>
      </c>
      <c r="E880">
        <v>4504642</v>
      </c>
      <c r="F880">
        <v>2104851</v>
      </c>
      <c r="G880" t="s">
        <v>429</v>
      </c>
      <c r="H880" t="s">
        <v>1247</v>
      </c>
      <c r="I880">
        <v>3.7</v>
      </c>
      <c r="J880" t="b">
        <v>1</v>
      </c>
      <c r="K880">
        <v>0.92500000000000004</v>
      </c>
      <c r="L880">
        <v>2106168</v>
      </c>
      <c r="M880" t="s">
        <v>431</v>
      </c>
      <c r="N880">
        <v>4</v>
      </c>
      <c r="O880">
        <v>4</v>
      </c>
      <c r="P880"/>
      <c r="Q880">
        <v>134971</v>
      </c>
      <c r="R880">
        <v>1</v>
      </c>
      <c r="S880" t="s">
        <v>40</v>
      </c>
      <c r="T880">
        <v>261</v>
      </c>
      <c r="U880">
        <v>147664</v>
      </c>
      <c r="V880">
        <v>24</v>
      </c>
      <c r="W880" t="s">
        <v>40</v>
      </c>
      <c r="X880">
        <v>261</v>
      </c>
      <c r="Y880" t="s">
        <v>377</v>
      </c>
      <c r="Z880" t="s">
        <v>378</v>
      </c>
      <c r="AA880" t="s">
        <v>379</v>
      </c>
      <c r="AB880" t="s">
        <v>384</v>
      </c>
      <c r="AC880" t="s">
        <v>41</v>
      </c>
      <c r="AD880" t="s">
        <v>41</v>
      </c>
      <c r="AE880" t="s">
        <v>41</v>
      </c>
      <c r="AF880" t="s">
        <v>41</v>
      </c>
      <c r="AK880"/>
    </row>
    <row r="881" spans="1:38" x14ac:dyDescent="0.25">
      <c r="A881" t="s">
        <v>44</v>
      </c>
      <c r="B881">
        <v>45988.191087962965</v>
      </c>
      <c r="C881">
        <v>91200</v>
      </c>
      <c r="D881" t="s">
        <v>843</v>
      </c>
      <c r="E881">
        <v>4500201</v>
      </c>
      <c r="F881">
        <v>120138</v>
      </c>
      <c r="G881" t="s">
        <v>911</v>
      </c>
      <c r="H881" t="s">
        <v>1084</v>
      </c>
      <c r="I881">
        <v>14</v>
      </c>
      <c r="J881" t="b">
        <v>1</v>
      </c>
      <c r="K881">
        <v>1.75</v>
      </c>
      <c r="L881">
        <v>120139</v>
      </c>
      <c r="M881" t="s">
        <v>1092</v>
      </c>
      <c r="N881">
        <v>8</v>
      </c>
      <c r="O881">
        <v>0</v>
      </c>
      <c r="P881"/>
      <c r="Q881">
        <v>134906</v>
      </c>
      <c r="R881">
        <v>2</v>
      </c>
      <c r="S881" t="s">
        <v>40</v>
      </c>
      <c r="T881">
        <v>261</v>
      </c>
      <c r="U881">
        <v>147664</v>
      </c>
      <c r="V881">
        <v>48</v>
      </c>
      <c r="W881" t="s">
        <v>40</v>
      </c>
      <c r="X881">
        <v>261</v>
      </c>
      <c r="Y881" t="s">
        <v>377</v>
      </c>
      <c r="Z881" t="s">
        <v>378</v>
      </c>
      <c r="AA881" t="s">
        <v>384</v>
      </c>
      <c r="AB881" t="s">
        <v>384</v>
      </c>
      <c r="AC881" t="s">
        <v>41</v>
      </c>
      <c r="AD881" t="s">
        <v>41</v>
      </c>
      <c r="AE881" t="s">
        <v>41</v>
      </c>
      <c r="AF881" t="s">
        <v>41</v>
      </c>
      <c r="AK881"/>
    </row>
    <row r="882" spans="1:38" x14ac:dyDescent="0.25">
      <c r="A882" t="s">
        <v>37</v>
      </c>
      <c r="B882">
        <v>45988.35087962963</v>
      </c>
      <c r="C882">
        <v>90725</v>
      </c>
      <c r="D882" t="s">
        <v>459</v>
      </c>
      <c r="E882">
        <v>4503697</v>
      </c>
      <c r="F882">
        <v>2304174</v>
      </c>
      <c r="G882" t="s">
        <v>1235</v>
      </c>
      <c r="H882" t="s">
        <v>1203</v>
      </c>
      <c r="I882">
        <v>7.5</v>
      </c>
      <c r="J882" t="b">
        <v>0</v>
      </c>
      <c r="K882">
        <v>0.625</v>
      </c>
      <c r="L882">
        <v>2304175</v>
      </c>
      <c r="M882" t="s">
        <v>1236</v>
      </c>
      <c r="N882">
        <v>12</v>
      </c>
      <c r="O882">
        <v>16</v>
      </c>
      <c r="P882"/>
      <c r="Q882">
        <v>134906</v>
      </c>
      <c r="R882">
        <v>1</v>
      </c>
      <c r="S882" t="s">
        <v>40</v>
      </c>
      <c r="T882">
        <v>261</v>
      </c>
      <c r="U882">
        <v>147664</v>
      </c>
      <c r="V882">
        <v>24</v>
      </c>
      <c r="W882" t="s">
        <v>40</v>
      </c>
      <c r="X882">
        <v>261</v>
      </c>
      <c r="Y882" t="s">
        <v>377</v>
      </c>
      <c r="Z882" t="s">
        <v>378</v>
      </c>
      <c r="AA882" t="s">
        <v>379</v>
      </c>
      <c r="AB882" t="s">
        <v>409</v>
      </c>
      <c r="AC882" t="s">
        <v>41</v>
      </c>
      <c r="AD882" t="s">
        <v>41</v>
      </c>
      <c r="AE882" t="s">
        <v>41</v>
      </c>
      <c r="AF882" t="s">
        <v>41</v>
      </c>
      <c r="AK882"/>
    </row>
    <row r="883" spans="1:38" x14ac:dyDescent="0.25">
      <c r="A883" t="s">
        <v>37</v>
      </c>
      <c r="B883">
        <v>45988.353796296295</v>
      </c>
      <c r="C883">
        <v>90725</v>
      </c>
      <c r="D883" t="s">
        <v>459</v>
      </c>
      <c r="E883">
        <v>4503696</v>
      </c>
      <c r="F883">
        <v>2304174</v>
      </c>
      <c r="G883" t="s">
        <v>1235</v>
      </c>
      <c r="H883" t="s">
        <v>1203</v>
      </c>
      <c r="I883">
        <v>7.5</v>
      </c>
      <c r="J883" t="b">
        <v>1</v>
      </c>
      <c r="K883">
        <v>1.875</v>
      </c>
      <c r="L883">
        <v>2304175</v>
      </c>
      <c r="M883" t="s">
        <v>1236</v>
      </c>
      <c r="N883">
        <v>4</v>
      </c>
      <c r="O883">
        <v>4</v>
      </c>
      <c r="P883"/>
      <c r="Q883">
        <v>134906</v>
      </c>
      <c r="R883">
        <v>1</v>
      </c>
      <c r="S883" t="s">
        <v>40</v>
      </c>
      <c r="T883">
        <v>261</v>
      </c>
      <c r="U883">
        <v>147664</v>
      </c>
      <c r="V883">
        <v>24</v>
      </c>
      <c r="W883" t="s">
        <v>40</v>
      </c>
      <c r="X883">
        <v>261</v>
      </c>
      <c r="Y883" t="s">
        <v>377</v>
      </c>
      <c r="Z883" t="s">
        <v>378</v>
      </c>
      <c r="AA883" t="s">
        <v>379</v>
      </c>
      <c r="AB883" t="s">
        <v>384</v>
      </c>
      <c r="AC883" t="s">
        <v>41</v>
      </c>
      <c r="AD883" t="s">
        <v>41</v>
      </c>
      <c r="AE883" t="s">
        <v>41</v>
      </c>
      <c r="AF883" t="s">
        <v>41</v>
      </c>
      <c r="AK883"/>
    </row>
    <row r="884" spans="1:38" x14ac:dyDescent="0.25">
      <c r="A884" t="s">
        <v>42</v>
      </c>
      <c r="B884">
        <v>45988.641770833332</v>
      </c>
      <c r="C884">
        <v>92059</v>
      </c>
      <c r="D884" t="s">
        <v>459</v>
      </c>
      <c r="E884">
        <v>4504276</v>
      </c>
      <c r="F884">
        <v>2116517</v>
      </c>
      <c r="G884" t="s">
        <v>659</v>
      </c>
      <c r="H884" t="s">
        <v>1249</v>
      </c>
      <c r="I884">
        <v>3</v>
      </c>
      <c r="J884" t="b">
        <v>1</v>
      </c>
      <c r="K884">
        <v>8.9552238805970154E-3</v>
      </c>
      <c r="L884">
        <v>2117670</v>
      </c>
      <c r="M884" t="s">
        <v>660</v>
      </c>
      <c r="N884">
        <v>335</v>
      </c>
      <c r="O884">
        <v>414</v>
      </c>
      <c r="P884"/>
      <c r="Q884">
        <v>134976</v>
      </c>
      <c r="R884">
        <v>2</v>
      </c>
      <c r="S884" t="s">
        <v>40</v>
      </c>
      <c r="T884">
        <v>261</v>
      </c>
      <c r="W884"/>
      <c r="Y884" t="s">
        <v>377</v>
      </c>
      <c r="Z884" t="s">
        <v>378</v>
      </c>
      <c r="AA884" t="s">
        <v>379</v>
      </c>
      <c r="AB884" t="s">
        <v>1250</v>
      </c>
      <c r="AC884" t="s">
        <v>379</v>
      </c>
      <c r="AD884" t="s">
        <v>1251</v>
      </c>
      <c r="AE884" t="s">
        <v>41</v>
      </c>
      <c r="AF884" t="s">
        <v>41</v>
      </c>
      <c r="AK884"/>
    </row>
    <row r="885" spans="1:38" x14ac:dyDescent="0.25">
      <c r="A885" t="s">
        <v>44</v>
      </c>
      <c r="B885">
        <v>45988.679791666669</v>
      </c>
      <c r="C885">
        <v>89142</v>
      </c>
      <c r="D885" t="s">
        <v>459</v>
      </c>
      <c r="E885">
        <v>4504632</v>
      </c>
      <c r="F885">
        <v>2123979</v>
      </c>
      <c r="G885" t="s">
        <v>425</v>
      </c>
      <c r="H885" t="s">
        <v>1252</v>
      </c>
      <c r="I885">
        <v>7.5</v>
      </c>
      <c r="J885" t="b">
        <v>1</v>
      </c>
      <c r="K885">
        <v>0.9375</v>
      </c>
      <c r="L885">
        <v>120995</v>
      </c>
      <c r="M885" t="s">
        <v>427</v>
      </c>
      <c r="N885">
        <v>8</v>
      </c>
      <c r="O885">
        <v>12</v>
      </c>
      <c r="P885"/>
      <c r="Q885">
        <v>134971</v>
      </c>
      <c r="R885">
        <v>1</v>
      </c>
      <c r="S885" t="s">
        <v>40</v>
      </c>
      <c r="T885">
        <v>261</v>
      </c>
      <c r="U885">
        <v>147664</v>
      </c>
      <c r="V885">
        <v>24</v>
      </c>
      <c r="W885" t="s">
        <v>40</v>
      </c>
      <c r="X885">
        <v>261</v>
      </c>
      <c r="Y885" t="s">
        <v>377</v>
      </c>
      <c r="Z885" t="s">
        <v>378</v>
      </c>
      <c r="AA885" t="s">
        <v>379</v>
      </c>
      <c r="AB885" t="s">
        <v>400</v>
      </c>
      <c r="AC885" t="s">
        <v>41</v>
      </c>
      <c r="AD885" t="s">
        <v>41</v>
      </c>
      <c r="AE885" t="s">
        <v>41</v>
      </c>
      <c r="AF885" t="s">
        <v>41</v>
      </c>
      <c r="AK885"/>
    </row>
    <row r="886" spans="1:38" x14ac:dyDescent="0.25">
      <c r="A886" t="s">
        <v>44</v>
      </c>
      <c r="B886">
        <v>45988.682141203702</v>
      </c>
      <c r="C886">
        <v>89142</v>
      </c>
      <c r="D886" t="s">
        <v>459</v>
      </c>
      <c r="E886">
        <v>4504631</v>
      </c>
      <c r="F886">
        <v>2123979</v>
      </c>
      <c r="G886" t="s">
        <v>425</v>
      </c>
      <c r="H886" t="s">
        <v>1252</v>
      </c>
      <c r="I886">
        <v>7.5</v>
      </c>
      <c r="J886" t="b">
        <v>1</v>
      </c>
      <c r="K886">
        <v>1.875</v>
      </c>
      <c r="L886">
        <v>120995</v>
      </c>
      <c r="M886" t="s">
        <v>427</v>
      </c>
      <c r="N886">
        <v>4</v>
      </c>
      <c r="O886">
        <v>4</v>
      </c>
      <c r="P886"/>
      <c r="Q886">
        <v>134971</v>
      </c>
      <c r="R886">
        <v>1</v>
      </c>
      <c r="S886" t="s">
        <v>40</v>
      </c>
      <c r="T886">
        <v>261</v>
      </c>
      <c r="U886">
        <v>147664</v>
      </c>
      <c r="V886">
        <v>24</v>
      </c>
      <c r="W886" t="s">
        <v>40</v>
      </c>
      <c r="X886">
        <v>261</v>
      </c>
      <c r="Y886" t="s">
        <v>377</v>
      </c>
      <c r="Z886" t="s">
        <v>378</v>
      </c>
      <c r="AA886" t="s">
        <v>379</v>
      </c>
      <c r="AB886" t="s">
        <v>384</v>
      </c>
      <c r="AC886" t="s">
        <v>41</v>
      </c>
      <c r="AD886" t="s">
        <v>41</v>
      </c>
      <c r="AE886" t="s">
        <v>41</v>
      </c>
      <c r="AF886" t="s">
        <v>41</v>
      </c>
      <c r="AK886"/>
    </row>
    <row r="887" spans="1:38" x14ac:dyDescent="0.25">
      <c r="A887" t="s">
        <v>38</v>
      </c>
      <c r="B887">
        <v>45988.71261574074</v>
      </c>
      <c r="C887">
        <v>91195</v>
      </c>
      <c r="D887" t="s">
        <v>459</v>
      </c>
      <c r="E887">
        <v>4500201</v>
      </c>
      <c r="F887">
        <v>120138</v>
      </c>
      <c r="G887" t="s">
        <v>911</v>
      </c>
      <c r="H887" t="s">
        <v>1084</v>
      </c>
      <c r="I887">
        <v>14</v>
      </c>
      <c r="J887" t="b">
        <v>1</v>
      </c>
      <c r="K887">
        <v>1.75</v>
      </c>
      <c r="L887">
        <v>120139</v>
      </c>
      <c r="M887" t="s">
        <v>1092</v>
      </c>
      <c r="N887">
        <v>8</v>
      </c>
      <c r="O887">
        <v>0</v>
      </c>
      <c r="P887"/>
      <c r="Q887">
        <v>155687</v>
      </c>
      <c r="R887">
        <v>2</v>
      </c>
      <c r="S887" t="s">
        <v>40</v>
      </c>
      <c r="T887">
        <v>261</v>
      </c>
      <c r="U887">
        <v>147664</v>
      </c>
      <c r="V887">
        <v>48</v>
      </c>
      <c r="W887" t="s">
        <v>40</v>
      </c>
      <c r="X887">
        <v>261</v>
      </c>
      <c r="Y887" t="s">
        <v>377</v>
      </c>
      <c r="Z887" t="s">
        <v>378</v>
      </c>
      <c r="AA887" t="s">
        <v>384</v>
      </c>
      <c r="AB887" t="s">
        <v>384</v>
      </c>
      <c r="AC887" t="s">
        <v>41</v>
      </c>
      <c r="AD887" t="s">
        <v>41</v>
      </c>
      <c r="AE887" t="s">
        <v>41</v>
      </c>
      <c r="AF887" t="s">
        <v>41</v>
      </c>
      <c r="AK887"/>
    </row>
    <row r="888" spans="1:38" x14ac:dyDescent="0.25">
      <c r="A888" t="s">
        <v>45</v>
      </c>
      <c r="B888">
        <v>45988.981192129628</v>
      </c>
      <c r="C888">
        <v>92060</v>
      </c>
      <c r="D888" t="s">
        <v>563</v>
      </c>
      <c r="E888">
        <v>4504276</v>
      </c>
      <c r="F888">
        <v>2116517</v>
      </c>
      <c r="G888" t="s">
        <v>659</v>
      </c>
      <c r="H888" t="s">
        <v>1249</v>
      </c>
      <c r="I888">
        <v>1.5</v>
      </c>
      <c r="J888" t="b">
        <v>1</v>
      </c>
      <c r="K888">
        <v>1.4705882352941176E-2</v>
      </c>
      <c r="L888">
        <v>2117670</v>
      </c>
      <c r="M888" t="s">
        <v>660</v>
      </c>
      <c r="N888">
        <v>102</v>
      </c>
      <c r="O888">
        <v>102</v>
      </c>
      <c r="P888"/>
      <c r="Q888">
        <v>134976</v>
      </c>
      <c r="R888">
        <v>1</v>
      </c>
      <c r="S888" t="s">
        <v>40</v>
      </c>
      <c r="T888">
        <v>261</v>
      </c>
      <c r="W888"/>
      <c r="Y888" t="s">
        <v>377</v>
      </c>
      <c r="Z888" t="s">
        <v>378</v>
      </c>
      <c r="AA888" t="s">
        <v>379</v>
      </c>
      <c r="AB888" t="s">
        <v>807</v>
      </c>
      <c r="AC888" t="s">
        <v>41</v>
      </c>
      <c r="AD888" t="s">
        <v>41</v>
      </c>
      <c r="AE888" t="s">
        <v>41</v>
      </c>
      <c r="AF888" t="s">
        <v>41</v>
      </c>
      <c r="AK888"/>
    </row>
    <row r="889" spans="1:38" x14ac:dyDescent="0.25">
      <c r="A889" t="s">
        <v>43</v>
      </c>
      <c r="B889">
        <v>45988.983240740738</v>
      </c>
      <c r="C889">
        <v>91986</v>
      </c>
      <c r="D889" t="s">
        <v>563</v>
      </c>
      <c r="E889">
        <v>4493111</v>
      </c>
      <c r="F889">
        <v>150527</v>
      </c>
      <c r="G889" t="s">
        <v>1253</v>
      </c>
      <c r="H889" t="s">
        <v>924</v>
      </c>
      <c r="I889">
        <v>10</v>
      </c>
      <c r="J889" t="b">
        <v>1</v>
      </c>
      <c r="K889">
        <v>1.25</v>
      </c>
      <c r="L889">
        <v>150529</v>
      </c>
      <c r="M889" t="s">
        <v>1254</v>
      </c>
      <c r="N889">
        <v>8</v>
      </c>
      <c r="O889">
        <v>8</v>
      </c>
      <c r="P889"/>
      <c r="Q889">
        <v>134971</v>
      </c>
      <c r="R889">
        <v>2</v>
      </c>
      <c r="S889" t="s">
        <v>40</v>
      </c>
      <c r="T889">
        <v>261</v>
      </c>
      <c r="U889">
        <v>147664</v>
      </c>
      <c r="V889">
        <v>48</v>
      </c>
      <c r="W889" t="s">
        <v>40</v>
      </c>
      <c r="X889">
        <v>261</v>
      </c>
      <c r="Y889" t="s">
        <v>377</v>
      </c>
      <c r="Z889" t="s">
        <v>378</v>
      </c>
      <c r="AA889" t="s">
        <v>384</v>
      </c>
      <c r="AB889" t="s">
        <v>384</v>
      </c>
      <c r="AC889" t="s">
        <v>41</v>
      </c>
      <c r="AD889" t="s">
        <v>41</v>
      </c>
      <c r="AE889" t="s">
        <v>41</v>
      </c>
      <c r="AF889" t="s">
        <v>41</v>
      </c>
      <c r="AK889"/>
    </row>
    <row r="890" spans="1:38" x14ac:dyDescent="0.25">
      <c r="A890" t="s">
        <v>42</v>
      </c>
      <c r="B890">
        <v>45989.014849537038</v>
      </c>
      <c r="C890">
        <v>89143</v>
      </c>
      <c r="D890" t="s">
        <v>563</v>
      </c>
      <c r="E890">
        <v>4504633</v>
      </c>
      <c r="F890">
        <v>2123979</v>
      </c>
      <c r="G890" t="s">
        <v>425</v>
      </c>
      <c r="H890" t="s">
        <v>1255</v>
      </c>
      <c r="I890">
        <v>7.5</v>
      </c>
      <c r="J890" t="b">
        <v>1</v>
      </c>
      <c r="K890">
        <v>0.625</v>
      </c>
      <c r="L890">
        <v>120995</v>
      </c>
      <c r="M890" t="s">
        <v>427</v>
      </c>
      <c r="N890">
        <v>12</v>
      </c>
      <c r="O890">
        <v>12</v>
      </c>
      <c r="P890"/>
      <c r="Q890">
        <v>134971</v>
      </c>
      <c r="R890">
        <v>2</v>
      </c>
      <c r="S890" t="s">
        <v>40</v>
      </c>
      <c r="T890">
        <v>261</v>
      </c>
      <c r="U890">
        <v>147664</v>
      </c>
      <c r="V890">
        <v>48</v>
      </c>
      <c r="W890" t="s">
        <v>40</v>
      </c>
      <c r="X890">
        <v>261</v>
      </c>
      <c r="Y890" t="s">
        <v>377</v>
      </c>
      <c r="Z890" t="s">
        <v>378</v>
      </c>
      <c r="AA890" t="s">
        <v>379</v>
      </c>
      <c r="AB890" t="s">
        <v>400</v>
      </c>
      <c r="AC890" t="s">
        <v>379</v>
      </c>
      <c r="AD890" t="s">
        <v>384</v>
      </c>
      <c r="AE890" t="s">
        <v>41</v>
      </c>
      <c r="AF890" t="s">
        <v>41</v>
      </c>
      <c r="AK890"/>
    </row>
    <row r="891" spans="1:38" x14ac:dyDescent="0.25">
      <c r="A891" t="s">
        <v>37</v>
      </c>
      <c r="B891">
        <v>45989.037812499999</v>
      </c>
      <c r="C891">
        <v>90727</v>
      </c>
      <c r="D891" t="s">
        <v>563</v>
      </c>
      <c r="E891">
        <v>4503699</v>
      </c>
      <c r="F891">
        <v>2304174</v>
      </c>
      <c r="G891" t="s">
        <v>1235</v>
      </c>
      <c r="H891" t="s">
        <v>1249</v>
      </c>
      <c r="I891">
        <v>4</v>
      </c>
      <c r="J891" t="b">
        <v>1</v>
      </c>
      <c r="K891">
        <v>0.33333333333333331</v>
      </c>
      <c r="L891">
        <v>2304175</v>
      </c>
      <c r="M891" t="s">
        <v>1236</v>
      </c>
      <c r="N891">
        <v>12</v>
      </c>
      <c r="O891">
        <v>12</v>
      </c>
      <c r="P891"/>
      <c r="Q891">
        <v>134905</v>
      </c>
      <c r="R891">
        <v>1</v>
      </c>
      <c r="S891" t="s">
        <v>40</v>
      </c>
      <c r="T891">
        <v>261</v>
      </c>
      <c r="U891">
        <v>147664</v>
      </c>
      <c r="V891">
        <v>24</v>
      </c>
      <c r="W891" t="s">
        <v>40</v>
      </c>
      <c r="X891">
        <v>261</v>
      </c>
      <c r="Y891" t="s">
        <v>377</v>
      </c>
      <c r="Z891" t="s">
        <v>378</v>
      </c>
      <c r="AA891" t="s">
        <v>379</v>
      </c>
      <c r="AB891" t="s">
        <v>409</v>
      </c>
      <c r="AC891" t="s">
        <v>41</v>
      </c>
      <c r="AD891" t="s">
        <v>41</v>
      </c>
      <c r="AE891" t="s">
        <v>41</v>
      </c>
      <c r="AF891" t="s">
        <v>41</v>
      </c>
      <c r="AK891"/>
    </row>
    <row r="892" spans="1:38" x14ac:dyDescent="0.25">
      <c r="A892" t="s">
        <v>37</v>
      </c>
      <c r="B892">
        <v>45989.038483796299</v>
      </c>
      <c r="C892">
        <v>90727</v>
      </c>
      <c r="D892" t="s">
        <v>563</v>
      </c>
      <c r="E892">
        <v>4503698</v>
      </c>
      <c r="F892">
        <v>2304174</v>
      </c>
      <c r="G892" t="s">
        <v>1235</v>
      </c>
      <c r="H892" t="s">
        <v>1249</v>
      </c>
      <c r="I892">
        <v>3</v>
      </c>
      <c r="J892" t="b">
        <v>1</v>
      </c>
      <c r="K892">
        <v>0.75</v>
      </c>
      <c r="L892">
        <v>2304175</v>
      </c>
      <c r="M892" t="s">
        <v>1236</v>
      </c>
      <c r="N892">
        <v>4</v>
      </c>
      <c r="O892">
        <v>4</v>
      </c>
      <c r="P892"/>
      <c r="Q892">
        <v>134905</v>
      </c>
      <c r="R892">
        <v>1</v>
      </c>
      <c r="S892" t="s">
        <v>40</v>
      </c>
      <c r="T892">
        <v>261</v>
      </c>
      <c r="U892">
        <v>147664</v>
      </c>
      <c r="V892">
        <v>24</v>
      </c>
      <c r="W892" t="s">
        <v>40</v>
      </c>
      <c r="X892">
        <v>261</v>
      </c>
      <c r="Y892" t="s">
        <v>377</v>
      </c>
      <c r="Z892" t="s">
        <v>378</v>
      </c>
      <c r="AA892" t="s">
        <v>379</v>
      </c>
      <c r="AB892" t="s">
        <v>384</v>
      </c>
      <c r="AC892" t="s">
        <v>41</v>
      </c>
      <c r="AD892" t="s">
        <v>41</v>
      </c>
      <c r="AE892" t="s">
        <v>41</v>
      </c>
      <c r="AF892" t="s">
        <v>41</v>
      </c>
      <c r="AK892"/>
    </row>
    <row r="893" spans="1:38" x14ac:dyDescent="0.25">
      <c r="A893" t="s">
        <v>38</v>
      </c>
      <c r="B893">
        <v>45989.530752314815</v>
      </c>
      <c r="C893">
        <v>91987</v>
      </c>
      <c r="D893" t="s">
        <v>373</v>
      </c>
      <c r="E893">
        <v>4495217</v>
      </c>
      <c r="F893">
        <v>139248</v>
      </c>
      <c r="G893" t="s">
        <v>1256</v>
      </c>
      <c r="H893" t="s">
        <v>930</v>
      </c>
      <c r="I893">
        <v>10</v>
      </c>
      <c r="J893" t="b">
        <v>1</v>
      </c>
      <c r="K893">
        <v>1.25</v>
      </c>
      <c r="L893">
        <v>139250</v>
      </c>
      <c r="M893" t="s">
        <v>1257</v>
      </c>
      <c r="N893">
        <v>8</v>
      </c>
      <c r="O893">
        <v>8</v>
      </c>
      <c r="P893"/>
      <c r="Q893">
        <v>134971</v>
      </c>
      <c r="R893">
        <v>1</v>
      </c>
      <c r="S893" t="s">
        <v>40</v>
      </c>
      <c r="T893">
        <v>261</v>
      </c>
      <c r="U893">
        <v>147664</v>
      </c>
      <c r="V893">
        <v>48</v>
      </c>
      <c r="W893" t="s">
        <v>40</v>
      </c>
      <c r="X893">
        <v>261</v>
      </c>
      <c r="Y893" t="s">
        <v>377</v>
      </c>
      <c r="Z893" t="s">
        <v>378</v>
      </c>
      <c r="AA893" t="s">
        <v>384</v>
      </c>
      <c r="AB893" t="s">
        <v>384</v>
      </c>
      <c r="AC893" t="s">
        <v>41</v>
      </c>
      <c r="AD893" t="s">
        <v>41</v>
      </c>
      <c r="AE893" t="s">
        <v>41</v>
      </c>
      <c r="AF893" t="s">
        <v>41</v>
      </c>
      <c r="AI893">
        <v>134971</v>
      </c>
      <c r="AJ893">
        <v>1</v>
      </c>
      <c r="AK893" t="s">
        <v>40</v>
      </c>
      <c r="AL893">
        <v>261</v>
      </c>
    </row>
    <row r="894" spans="1:38" x14ac:dyDescent="0.25">
      <c r="A894" t="s">
        <v>43</v>
      </c>
      <c r="B894">
        <v>45989.535254629627</v>
      </c>
      <c r="C894">
        <v>92062</v>
      </c>
      <c r="D894" t="s">
        <v>373</v>
      </c>
      <c r="E894">
        <v>4505156</v>
      </c>
      <c r="F894">
        <v>2105503</v>
      </c>
      <c r="G894" t="s">
        <v>1258</v>
      </c>
      <c r="H894" t="s">
        <v>1128</v>
      </c>
      <c r="I894">
        <v>1.5</v>
      </c>
      <c r="J894" t="b">
        <v>1</v>
      </c>
      <c r="K894">
        <v>4.9019607843137254E-3</v>
      </c>
      <c r="L894">
        <v>2106759</v>
      </c>
      <c r="M894" t="s">
        <v>1259</v>
      </c>
      <c r="N894">
        <v>306</v>
      </c>
      <c r="O894">
        <v>306</v>
      </c>
      <c r="P894" t="s">
        <v>1260</v>
      </c>
      <c r="Q894">
        <v>0</v>
      </c>
      <c r="R894">
        <v>0</v>
      </c>
      <c r="S894" t="s">
        <v>40</v>
      </c>
      <c r="T894">
        <v>261</v>
      </c>
      <c r="W894"/>
      <c r="Y894" t="s">
        <v>377</v>
      </c>
      <c r="Z894" t="s">
        <v>378</v>
      </c>
      <c r="AA894" t="s">
        <v>379</v>
      </c>
      <c r="AB894" t="s">
        <v>869</v>
      </c>
      <c r="AC894" t="s">
        <v>41</v>
      </c>
      <c r="AD894" t="s">
        <v>41</v>
      </c>
      <c r="AE894" t="s">
        <v>41</v>
      </c>
      <c r="AF894" t="s">
        <v>41</v>
      </c>
      <c r="AK894"/>
    </row>
    <row r="895" spans="1:38" x14ac:dyDescent="0.25">
      <c r="A895" t="s">
        <v>37</v>
      </c>
      <c r="B895">
        <v>45989.567766203705</v>
      </c>
      <c r="C895">
        <v>89144</v>
      </c>
      <c r="D895" t="s">
        <v>373</v>
      </c>
      <c r="E895">
        <v>4504634</v>
      </c>
      <c r="F895">
        <v>2123979</v>
      </c>
      <c r="G895" t="s">
        <v>425</v>
      </c>
      <c r="H895" t="s">
        <v>1261</v>
      </c>
      <c r="I895">
        <v>3.75</v>
      </c>
      <c r="J895" t="b">
        <v>1</v>
      </c>
      <c r="K895">
        <v>0.9375</v>
      </c>
      <c r="L895">
        <v>120995</v>
      </c>
      <c r="M895" t="s">
        <v>427</v>
      </c>
      <c r="N895">
        <v>4</v>
      </c>
      <c r="O895">
        <v>4</v>
      </c>
      <c r="P895"/>
      <c r="Q895">
        <v>134971</v>
      </c>
      <c r="R895">
        <v>1</v>
      </c>
      <c r="S895" t="s">
        <v>40</v>
      </c>
      <c r="T895">
        <v>261</v>
      </c>
      <c r="U895">
        <v>147664</v>
      </c>
      <c r="V895">
        <v>24</v>
      </c>
      <c r="W895" t="s">
        <v>40</v>
      </c>
      <c r="X895">
        <v>261</v>
      </c>
      <c r="Y895" t="s">
        <v>377</v>
      </c>
      <c r="Z895" t="s">
        <v>378</v>
      </c>
      <c r="AA895" t="s">
        <v>379</v>
      </c>
      <c r="AB895" t="s">
        <v>384</v>
      </c>
      <c r="AC895" t="s">
        <v>41</v>
      </c>
      <c r="AD895" t="s">
        <v>41</v>
      </c>
      <c r="AE895" t="s">
        <v>41</v>
      </c>
      <c r="AF895" t="s">
        <v>41</v>
      </c>
      <c r="AK895"/>
    </row>
    <row r="896" spans="1:38" x14ac:dyDescent="0.25">
      <c r="A896" t="s">
        <v>37</v>
      </c>
      <c r="B896">
        <v>45989.568495370368</v>
      </c>
      <c r="C896">
        <v>89144</v>
      </c>
      <c r="D896" t="s">
        <v>373</v>
      </c>
      <c r="E896">
        <v>4504635</v>
      </c>
      <c r="F896">
        <v>2123979</v>
      </c>
      <c r="G896" t="s">
        <v>425</v>
      </c>
      <c r="H896" t="s">
        <v>1261</v>
      </c>
      <c r="I896">
        <v>3.75</v>
      </c>
      <c r="J896" t="b">
        <v>1</v>
      </c>
      <c r="K896">
        <v>0.46875</v>
      </c>
      <c r="L896">
        <v>120995</v>
      </c>
      <c r="M896" t="s">
        <v>427</v>
      </c>
      <c r="N896">
        <v>8</v>
      </c>
      <c r="O896">
        <v>8</v>
      </c>
      <c r="P896"/>
      <c r="Q896">
        <v>134971</v>
      </c>
      <c r="R896">
        <v>1</v>
      </c>
      <c r="S896" t="s">
        <v>40</v>
      </c>
      <c r="T896">
        <v>261</v>
      </c>
      <c r="U896">
        <v>147664</v>
      </c>
      <c r="V896">
        <v>24</v>
      </c>
      <c r="W896" t="s">
        <v>40</v>
      </c>
      <c r="X896">
        <v>261</v>
      </c>
      <c r="Y896" t="s">
        <v>377</v>
      </c>
      <c r="Z896" t="s">
        <v>378</v>
      </c>
      <c r="AA896" t="s">
        <v>379</v>
      </c>
      <c r="AB896" t="s">
        <v>400</v>
      </c>
      <c r="AC896" t="s">
        <v>41</v>
      </c>
      <c r="AD896" t="s">
        <v>41</v>
      </c>
      <c r="AE896" t="s">
        <v>41</v>
      </c>
      <c r="AF896" t="s">
        <v>41</v>
      </c>
      <c r="AK896"/>
    </row>
    <row r="897" spans="1:37" x14ac:dyDescent="0.25">
      <c r="A897" t="s">
        <v>39</v>
      </c>
      <c r="B897">
        <v>45989.667650462965</v>
      </c>
      <c r="C897">
        <v>92564</v>
      </c>
      <c r="D897" t="s">
        <v>373</v>
      </c>
      <c r="E897">
        <v>4497442</v>
      </c>
      <c r="F897">
        <v>2310135</v>
      </c>
      <c r="G897" t="s">
        <v>1052</v>
      </c>
      <c r="H897" t="s">
        <v>1224</v>
      </c>
      <c r="I897">
        <v>64.3</v>
      </c>
      <c r="J897" t="b">
        <v>1</v>
      </c>
      <c r="K897">
        <v>0.14988344988344987</v>
      </c>
      <c r="L897">
        <v>2310136</v>
      </c>
      <c r="M897" t="s">
        <v>1053</v>
      </c>
      <c r="N897">
        <v>429</v>
      </c>
      <c r="O897">
        <v>400</v>
      </c>
      <c r="P897"/>
      <c r="Q897">
        <v>134974</v>
      </c>
      <c r="R897">
        <v>1</v>
      </c>
      <c r="S897" t="s">
        <v>40</v>
      </c>
      <c r="T897">
        <v>261</v>
      </c>
      <c r="W897"/>
      <c r="Y897" t="s">
        <v>377</v>
      </c>
      <c r="Z897" t="s">
        <v>378</v>
      </c>
      <c r="AA897" t="s">
        <v>379</v>
      </c>
      <c r="AB897" t="s">
        <v>1262</v>
      </c>
      <c r="AC897" t="s">
        <v>41</v>
      </c>
      <c r="AD897" t="s">
        <v>41</v>
      </c>
      <c r="AE897" t="s">
        <v>41</v>
      </c>
      <c r="AF897" t="s">
        <v>41</v>
      </c>
      <c r="AK897"/>
    </row>
    <row r="898" spans="1:37" x14ac:dyDescent="0.25">
      <c r="A898" t="s">
        <v>42</v>
      </c>
      <c r="B898">
        <v>45989.732627314814</v>
      </c>
      <c r="C898">
        <v>91201</v>
      </c>
      <c r="D898" t="s">
        <v>373</v>
      </c>
      <c r="E898">
        <v>4503241</v>
      </c>
      <c r="F898">
        <v>156316</v>
      </c>
      <c r="G898" t="s">
        <v>899</v>
      </c>
      <c r="H898" t="s">
        <v>1261</v>
      </c>
      <c r="I898">
        <v>7</v>
      </c>
      <c r="J898" t="b">
        <v>1</v>
      </c>
      <c r="K898">
        <v>1.75</v>
      </c>
      <c r="L898">
        <v>156315</v>
      </c>
      <c r="M898" t="s">
        <v>901</v>
      </c>
      <c r="N898">
        <v>4</v>
      </c>
      <c r="O898">
        <v>4</v>
      </c>
      <c r="P898"/>
      <c r="Q898">
        <v>134905</v>
      </c>
      <c r="R898">
        <v>1</v>
      </c>
      <c r="S898" t="s">
        <v>40</v>
      </c>
      <c r="T898">
        <v>261</v>
      </c>
      <c r="U898">
        <v>147664</v>
      </c>
      <c r="V898">
        <v>24</v>
      </c>
      <c r="W898" t="s">
        <v>40</v>
      </c>
      <c r="X898">
        <v>261</v>
      </c>
      <c r="Y898" t="s">
        <v>377</v>
      </c>
      <c r="Z898" t="s">
        <v>378</v>
      </c>
      <c r="AA898" t="s">
        <v>379</v>
      </c>
      <c r="AB898" t="s">
        <v>384</v>
      </c>
      <c r="AC898" t="s">
        <v>41</v>
      </c>
      <c r="AD898" t="s">
        <v>41</v>
      </c>
      <c r="AE898" t="s">
        <v>41</v>
      </c>
      <c r="AF898" t="s">
        <v>41</v>
      </c>
      <c r="AK898"/>
    </row>
    <row r="899" spans="1:37" x14ac:dyDescent="0.25">
      <c r="A899" t="s">
        <v>42</v>
      </c>
      <c r="B899">
        <v>45989.733518518522</v>
      </c>
      <c r="C899">
        <v>91201</v>
      </c>
      <c r="D899" t="s">
        <v>373</v>
      </c>
      <c r="E899">
        <v>4503242</v>
      </c>
      <c r="F899">
        <v>156316</v>
      </c>
      <c r="G899" t="s">
        <v>899</v>
      </c>
      <c r="H899" t="s">
        <v>1261</v>
      </c>
      <c r="I899">
        <v>7</v>
      </c>
      <c r="J899" t="b">
        <v>1</v>
      </c>
      <c r="K899">
        <v>1.75</v>
      </c>
      <c r="L899">
        <v>156315</v>
      </c>
      <c r="M899" t="s">
        <v>901</v>
      </c>
      <c r="N899">
        <v>4</v>
      </c>
      <c r="O899">
        <v>4</v>
      </c>
      <c r="P899"/>
      <c r="Q899">
        <v>134905</v>
      </c>
      <c r="R899">
        <v>1</v>
      </c>
      <c r="S899" t="s">
        <v>40</v>
      </c>
      <c r="T899">
        <v>261</v>
      </c>
      <c r="U899">
        <v>147664</v>
      </c>
      <c r="V899">
        <v>24</v>
      </c>
      <c r="W899" t="s">
        <v>40</v>
      </c>
      <c r="X899">
        <v>261</v>
      </c>
      <c r="Y899" t="s">
        <v>377</v>
      </c>
      <c r="Z899" t="s">
        <v>378</v>
      </c>
      <c r="AA899" t="s">
        <v>379</v>
      </c>
      <c r="AB899" t="s">
        <v>384</v>
      </c>
      <c r="AC899" t="s">
        <v>41</v>
      </c>
      <c r="AD899" t="s">
        <v>41</v>
      </c>
      <c r="AE899" t="s">
        <v>41</v>
      </c>
      <c r="AF899" t="s">
        <v>41</v>
      </c>
      <c r="AK899"/>
    </row>
    <row r="900" spans="1:37" x14ac:dyDescent="0.25">
      <c r="A900" t="s">
        <v>43</v>
      </c>
      <c r="B900">
        <v>45989.977326388886</v>
      </c>
      <c r="C900">
        <v>90728</v>
      </c>
      <c r="D900" t="s">
        <v>745</v>
      </c>
      <c r="E900">
        <v>4504800</v>
      </c>
      <c r="F900">
        <v>2304174</v>
      </c>
      <c r="G900" t="s">
        <v>1235</v>
      </c>
      <c r="H900" t="s">
        <v>1263</v>
      </c>
      <c r="I900">
        <v>7.5</v>
      </c>
      <c r="J900" t="b">
        <v>1</v>
      </c>
      <c r="K900">
        <v>0.46875</v>
      </c>
      <c r="L900">
        <v>2304175</v>
      </c>
      <c r="M900" t="s">
        <v>1236</v>
      </c>
      <c r="N900">
        <v>16</v>
      </c>
      <c r="O900">
        <v>16</v>
      </c>
      <c r="P900"/>
      <c r="Q900">
        <v>134906</v>
      </c>
      <c r="R900">
        <v>1</v>
      </c>
      <c r="S900" t="s">
        <v>40</v>
      </c>
      <c r="T900">
        <v>261</v>
      </c>
      <c r="U900">
        <v>147664</v>
      </c>
      <c r="V900">
        <v>24</v>
      </c>
      <c r="W900" t="s">
        <v>40</v>
      </c>
      <c r="X900">
        <v>261</v>
      </c>
      <c r="Y900" t="s">
        <v>377</v>
      </c>
      <c r="Z900" t="s">
        <v>378</v>
      </c>
      <c r="AA900" t="s">
        <v>379</v>
      </c>
      <c r="AB900" t="s">
        <v>1264</v>
      </c>
      <c r="AC900" t="s">
        <v>41</v>
      </c>
      <c r="AD900" t="s">
        <v>41</v>
      </c>
      <c r="AE900" t="s">
        <v>41</v>
      </c>
      <c r="AF900" t="s">
        <v>41</v>
      </c>
      <c r="AK900"/>
    </row>
    <row r="901" spans="1:37" x14ac:dyDescent="0.25">
      <c r="A901" t="s">
        <v>37</v>
      </c>
      <c r="B901">
        <v>45990.044259259259</v>
      </c>
      <c r="C901">
        <v>89145</v>
      </c>
      <c r="D901" t="s">
        <v>745</v>
      </c>
      <c r="E901">
        <v>4504636</v>
      </c>
      <c r="F901">
        <v>2123979</v>
      </c>
      <c r="G901" t="s">
        <v>425</v>
      </c>
      <c r="H901" t="s">
        <v>1265</v>
      </c>
      <c r="I901">
        <v>7.5</v>
      </c>
      <c r="J901" t="b">
        <v>1</v>
      </c>
      <c r="K901">
        <v>0.625</v>
      </c>
      <c r="L901">
        <v>120995</v>
      </c>
      <c r="M901" t="s">
        <v>427</v>
      </c>
      <c r="N901">
        <v>12</v>
      </c>
      <c r="O901">
        <v>12</v>
      </c>
      <c r="P901"/>
      <c r="Q901">
        <v>134971</v>
      </c>
      <c r="R901">
        <v>2</v>
      </c>
      <c r="S901" t="s">
        <v>40</v>
      </c>
      <c r="T901">
        <v>261</v>
      </c>
      <c r="U901">
        <v>147664</v>
      </c>
      <c r="V901">
        <v>48</v>
      </c>
      <c r="W901" t="s">
        <v>40</v>
      </c>
      <c r="X901">
        <v>261</v>
      </c>
      <c r="Y901" t="s">
        <v>377</v>
      </c>
      <c r="Z901" t="s">
        <v>378</v>
      </c>
      <c r="AA901" t="s">
        <v>379</v>
      </c>
      <c r="AB901" t="s">
        <v>400</v>
      </c>
      <c r="AC901" t="s">
        <v>379</v>
      </c>
      <c r="AD901" t="s">
        <v>384</v>
      </c>
      <c r="AE901" t="s">
        <v>41</v>
      </c>
      <c r="AF901" t="s">
        <v>41</v>
      </c>
      <c r="AK901"/>
    </row>
    <row r="902" spans="1:37" x14ac:dyDescent="0.25">
      <c r="A902" t="s">
        <v>42</v>
      </c>
      <c r="B902">
        <v>45990.0781712963</v>
      </c>
      <c r="C902">
        <v>92064</v>
      </c>
      <c r="D902" t="s">
        <v>745</v>
      </c>
      <c r="E902">
        <v>4505156</v>
      </c>
      <c r="F902">
        <v>2105503</v>
      </c>
      <c r="G902" t="s">
        <v>1258</v>
      </c>
      <c r="H902" t="s">
        <v>1128</v>
      </c>
      <c r="I902">
        <v>3</v>
      </c>
      <c r="J902" t="b">
        <v>1</v>
      </c>
      <c r="K902">
        <v>8.6206896551724137E-3</v>
      </c>
      <c r="L902">
        <v>2106759</v>
      </c>
      <c r="M902" t="s">
        <v>1259</v>
      </c>
      <c r="N902">
        <v>348</v>
      </c>
      <c r="O902">
        <v>381</v>
      </c>
      <c r="P902" t="s">
        <v>748</v>
      </c>
      <c r="Q902">
        <v>0</v>
      </c>
      <c r="R902">
        <v>0</v>
      </c>
      <c r="S902" t="s">
        <v>40</v>
      </c>
      <c r="T902">
        <v>261</v>
      </c>
      <c r="W902"/>
      <c r="Y902" t="s">
        <v>377</v>
      </c>
      <c r="Z902" t="s">
        <v>378</v>
      </c>
      <c r="AA902" t="s">
        <v>379</v>
      </c>
      <c r="AB902" t="s">
        <v>739</v>
      </c>
      <c r="AC902" t="s">
        <v>41</v>
      </c>
      <c r="AD902" t="s">
        <v>41</v>
      </c>
      <c r="AE902" t="s">
        <v>41</v>
      </c>
      <c r="AF902" t="s">
        <v>41</v>
      </c>
      <c r="AK902"/>
    </row>
    <row r="903" spans="1:37" x14ac:dyDescent="0.25">
      <c r="A903" t="s">
        <v>38</v>
      </c>
      <c r="B903">
        <v>45990.159375000003</v>
      </c>
      <c r="C903">
        <v>91988</v>
      </c>
      <c r="D903" t="s">
        <v>745</v>
      </c>
      <c r="E903">
        <v>4487636</v>
      </c>
      <c r="F903">
        <v>129839</v>
      </c>
      <c r="G903" t="s">
        <v>1266</v>
      </c>
      <c r="H903" t="s">
        <v>1237</v>
      </c>
      <c r="I903">
        <v>10</v>
      </c>
      <c r="J903" t="b">
        <v>1</v>
      </c>
      <c r="K903">
        <v>1.25</v>
      </c>
      <c r="L903">
        <v>129840</v>
      </c>
      <c r="M903" t="s">
        <v>1267</v>
      </c>
      <c r="N903">
        <v>8</v>
      </c>
      <c r="O903">
        <v>8</v>
      </c>
      <c r="P903"/>
      <c r="Q903">
        <v>134905</v>
      </c>
      <c r="R903">
        <v>2</v>
      </c>
      <c r="S903" t="s">
        <v>40</v>
      </c>
      <c r="T903">
        <v>261</v>
      </c>
      <c r="U903">
        <v>147664</v>
      </c>
      <c r="V903">
        <v>48</v>
      </c>
      <c r="W903" t="s">
        <v>40</v>
      </c>
      <c r="X903">
        <v>261</v>
      </c>
      <c r="Y903" t="s">
        <v>377</v>
      </c>
      <c r="Z903" t="s">
        <v>378</v>
      </c>
      <c r="AA903" t="s">
        <v>384</v>
      </c>
      <c r="AB903" t="s">
        <v>384</v>
      </c>
      <c r="AC903" t="s">
        <v>41</v>
      </c>
      <c r="AD903" t="s">
        <v>41</v>
      </c>
      <c r="AE903" t="s">
        <v>41</v>
      </c>
      <c r="AF903" t="s">
        <v>41</v>
      </c>
      <c r="AK903"/>
    </row>
    <row r="904" spans="1:37" x14ac:dyDescent="0.25">
      <c r="A904" t="s">
        <v>44</v>
      </c>
      <c r="B904">
        <v>45990.169259259259</v>
      </c>
      <c r="C904">
        <v>90729</v>
      </c>
      <c r="D904" t="s">
        <v>745</v>
      </c>
      <c r="E904">
        <v>4505022</v>
      </c>
      <c r="F904">
        <v>2304174</v>
      </c>
      <c r="G904" t="s">
        <v>1235</v>
      </c>
      <c r="H904" t="s">
        <v>1268</v>
      </c>
      <c r="I904">
        <v>7.5</v>
      </c>
      <c r="J904" t="b">
        <v>1</v>
      </c>
      <c r="K904">
        <v>0.46875</v>
      </c>
      <c r="L904">
        <v>2304175</v>
      </c>
      <c r="M904" t="s">
        <v>1236</v>
      </c>
      <c r="N904">
        <v>16</v>
      </c>
      <c r="O904">
        <v>16</v>
      </c>
      <c r="P904"/>
      <c r="Q904">
        <v>134906</v>
      </c>
      <c r="R904">
        <v>1</v>
      </c>
      <c r="S904" t="s">
        <v>40</v>
      </c>
      <c r="T904">
        <v>261</v>
      </c>
      <c r="U904">
        <v>147664</v>
      </c>
      <c r="V904">
        <v>24</v>
      </c>
      <c r="W904" t="s">
        <v>40</v>
      </c>
      <c r="X904">
        <v>261</v>
      </c>
      <c r="Y904" t="s">
        <v>377</v>
      </c>
      <c r="Z904" t="s">
        <v>378</v>
      </c>
      <c r="AA904" t="s">
        <v>379</v>
      </c>
      <c r="AB904" t="s">
        <v>1264</v>
      </c>
      <c r="AC904" t="s">
        <v>41</v>
      </c>
      <c r="AD904" t="s">
        <v>41</v>
      </c>
      <c r="AE904" t="s">
        <v>41</v>
      </c>
      <c r="AF904" t="s">
        <v>41</v>
      </c>
      <c r="AK904"/>
    </row>
    <row r="905" spans="1:37" x14ac:dyDescent="0.25">
      <c r="A905" t="s">
        <v>42</v>
      </c>
      <c r="B905">
        <v>45990.653495370374</v>
      </c>
      <c r="C905">
        <v>89146</v>
      </c>
      <c r="D905" t="s">
        <v>373</v>
      </c>
      <c r="E905">
        <v>4504637</v>
      </c>
      <c r="F905">
        <v>2123979</v>
      </c>
      <c r="G905" t="s">
        <v>425</v>
      </c>
      <c r="H905" t="s">
        <v>1269</v>
      </c>
      <c r="I905">
        <v>3.75</v>
      </c>
      <c r="J905" t="b">
        <v>1</v>
      </c>
      <c r="K905">
        <v>0.9375</v>
      </c>
      <c r="L905">
        <v>120995</v>
      </c>
      <c r="M905" t="s">
        <v>427</v>
      </c>
      <c r="N905">
        <v>4</v>
      </c>
      <c r="O905">
        <v>4</v>
      </c>
      <c r="P905"/>
      <c r="Q905">
        <v>134971</v>
      </c>
      <c r="R905">
        <v>1</v>
      </c>
      <c r="S905" t="s">
        <v>40</v>
      </c>
      <c r="T905">
        <v>261</v>
      </c>
      <c r="U905">
        <v>147664</v>
      </c>
      <c r="V905">
        <v>24</v>
      </c>
      <c r="W905" t="s">
        <v>40</v>
      </c>
      <c r="X905">
        <v>261</v>
      </c>
      <c r="Y905" t="s">
        <v>377</v>
      </c>
      <c r="Z905" t="s">
        <v>378</v>
      </c>
      <c r="AA905" t="s">
        <v>379</v>
      </c>
      <c r="AB905" t="s">
        <v>384</v>
      </c>
      <c r="AC905" t="s">
        <v>41</v>
      </c>
      <c r="AD905" t="s">
        <v>41</v>
      </c>
      <c r="AE905" t="s">
        <v>41</v>
      </c>
      <c r="AF905" t="s">
        <v>41</v>
      </c>
      <c r="AK905"/>
    </row>
    <row r="906" spans="1:37" x14ac:dyDescent="0.25">
      <c r="A906" t="s">
        <v>42</v>
      </c>
      <c r="B906">
        <v>45990.65421296296</v>
      </c>
      <c r="C906">
        <v>89146</v>
      </c>
      <c r="D906" t="s">
        <v>373</v>
      </c>
      <c r="E906">
        <v>4504638</v>
      </c>
      <c r="F906">
        <v>2123979</v>
      </c>
      <c r="G906" t="s">
        <v>425</v>
      </c>
      <c r="H906" t="s">
        <v>1269</v>
      </c>
      <c r="I906">
        <v>3.75</v>
      </c>
      <c r="J906" t="b">
        <v>1</v>
      </c>
      <c r="K906">
        <v>0.46875</v>
      </c>
      <c r="L906">
        <v>120995</v>
      </c>
      <c r="M906" t="s">
        <v>427</v>
      </c>
      <c r="N906">
        <v>8</v>
      </c>
      <c r="O906">
        <v>8</v>
      </c>
      <c r="P906"/>
      <c r="Q906">
        <v>134971</v>
      </c>
      <c r="R906">
        <v>1</v>
      </c>
      <c r="S906" t="s">
        <v>40</v>
      </c>
      <c r="T906">
        <v>261</v>
      </c>
      <c r="U906">
        <v>147664</v>
      </c>
      <c r="V906">
        <v>24</v>
      </c>
      <c r="W906" t="s">
        <v>40</v>
      </c>
      <c r="X906">
        <v>261</v>
      </c>
      <c r="Y906" t="s">
        <v>377</v>
      </c>
      <c r="Z906" t="s">
        <v>378</v>
      </c>
      <c r="AA906" t="s">
        <v>379</v>
      </c>
      <c r="AB906" t="s">
        <v>400</v>
      </c>
      <c r="AC906" t="s">
        <v>41</v>
      </c>
      <c r="AD906" t="s">
        <v>41</v>
      </c>
      <c r="AE906" t="s">
        <v>41</v>
      </c>
      <c r="AF906" t="s">
        <v>41</v>
      </c>
      <c r="AK906"/>
    </row>
    <row r="907" spans="1:37" x14ac:dyDescent="0.25">
      <c r="A907" t="s">
        <v>37</v>
      </c>
      <c r="B907">
        <v>45990.781307870369</v>
      </c>
      <c r="C907">
        <v>90447</v>
      </c>
      <c r="D907" t="s">
        <v>531</v>
      </c>
      <c r="E907">
        <v>4504801</v>
      </c>
      <c r="F907">
        <v>156316</v>
      </c>
      <c r="G907" t="s">
        <v>899</v>
      </c>
      <c r="H907" t="s">
        <v>1270</v>
      </c>
      <c r="I907">
        <v>14</v>
      </c>
      <c r="J907" t="b">
        <v>1</v>
      </c>
      <c r="K907">
        <v>3.5</v>
      </c>
      <c r="L907">
        <v>156315</v>
      </c>
      <c r="M907" t="s">
        <v>901</v>
      </c>
      <c r="N907">
        <v>4</v>
      </c>
      <c r="O907">
        <v>4</v>
      </c>
      <c r="P907"/>
      <c r="Q907">
        <v>134906</v>
      </c>
      <c r="R907">
        <v>1</v>
      </c>
      <c r="S907" t="s">
        <v>40</v>
      </c>
      <c r="T907">
        <v>261</v>
      </c>
      <c r="U907">
        <v>147664</v>
      </c>
      <c r="V907">
        <v>24</v>
      </c>
      <c r="W907" t="s">
        <v>40</v>
      </c>
      <c r="X907">
        <v>261</v>
      </c>
      <c r="Y907" t="s">
        <v>377</v>
      </c>
      <c r="Z907" t="s">
        <v>378</v>
      </c>
      <c r="AA907" t="s">
        <v>379</v>
      </c>
      <c r="AB907" t="s">
        <v>384</v>
      </c>
      <c r="AC907" t="s">
        <v>41</v>
      </c>
      <c r="AD907" t="s">
        <v>41</v>
      </c>
      <c r="AE907" t="s">
        <v>41</v>
      </c>
      <c r="AF907" t="s">
        <v>41</v>
      </c>
      <c r="AK907"/>
    </row>
    <row r="908" spans="1:37" x14ac:dyDescent="0.25">
      <c r="A908" t="s">
        <v>37</v>
      </c>
      <c r="B908">
        <v>45990.782743055555</v>
      </c>
      <c r="C908">
        <v>90447</v>
      </c>
      <c r="D908" t="s">
        <v>531</v>
      </c>
      <c r="E908">
        <v>4504780</v>
      </c>
      <c r="F908">
        <v>156316</v>
      </c>
      <c r="G908" t="s">
        <v>899</v>
      </c>
      <c r="H908" t="s">
        <v>1270</v>
      </c>
      <c r="I908">
        <v>14</v>
      </c>
      <c r="J908" t="b">
        <v>1</v>
      </c>
      <c r="K908">
        <v>3.5</v>
      </c>
      <c r="L908">
        <v>156315</v>
      </c>
      <c r="M908" t="s">
        <v>901</v>
      </c>
      <c r="N908">
        <v>4</v>
      </c>
      <c r="O908">
        <v>4</v>
      </c>
      <c r="P908"/>
      <c r="Q908">
        <v>134906</v>
      </c>
      <c r="R908">
        <v>1</v>
      </c>
      <c r="S908" t="s">
        <v>40</v>
      </c>
      <c r="T908">
        <v>261</v>
      </c>
      <c r="U908">
        <v>147664</v>
      </c>
      <c r="V908">
        <v>24</v>
      </c>
      <c r="W908" t="s">
        <v>40</v>
      </c>
      <c r="X908">
        <v>261</v>
      </c>
      <c r="Y908" t="s">
        <v>377</v>
      </c>
      <c r="Z908" t="s">
        <v>378</v>
      </c>
      <c r="AA908" t="s">
        <v>379</v>
      </c>
      <c r="AB908" t="s">
        <v>384</v>
      </c>
      <c r="AC908" t="s">
        <v>41</v>
      </c>
      <c r="AD908" t="s">
        <v>41</v>
      </c>
      <c r="AE908" t="s">
        <v>41</v>
      </c>
      <c r="AF908" t="s">
        <v>41</v>
      </c>
      <c r="AK908"/>
    </row>
    <row r="909" spans="1:37" x14ac:dyDescent="0.25">
      <c r="A909" t="s">
        <v>42</v>
      </c>
      <c r="B909">
        <v>45990.784351851849</v>
      </c>
      <c r="C909">
        <v>92065</v>
      </c>
      <c r="D909" t="s">
        <v>531</v>
      </c>
      <c r="E909">
        <v>4505156</v>
      </c>
      <c r="F909">
        <v>2105503</v>
      </c>
      <c r="G909" t="s">
        <v>1258</v>
      </c>
      <c r="H909" t="s">
        <v>1128</v>
      </c>
      <c r="I909">
        <v>1.5</v>
      </c>
      <c r="J909" t="b">
        <v>1</v>
      </c>
      <c r="K909">
        <v>4.24929178470255E-3</v>
      </c>
      <c r="L909">
        <v>2106759</v>
      </c>
      <c r="M909" t="s">
        <v>1259</v>
      </c>
      <c r="N909">
        <v>353</v>
      </c>
      <c r="O909">
        <v>353</v>
      </c>
      <c r="P909"/>
      <c r="Q909">
        <v>0</v>
      </c>
      <c r="R909">
        <v>0</v>
      </c>
      <c r="S909" t="s">
        <v>40</v>
      </c>
      <c r="T909">
        <v>261</v>
      </c>
      <c r="W909"/>
      <c r="Y909" t="s">
        <v>377</v>
      </c>
      <c r="Z909" t="s">
        <v>378</v>
      </c>
      <c r="AA909" t="s">
        <v>379</v>
      </c>
      <c r="AB909" t="s">
        <v>1271</v>
      </c>
      <c r="AC909" t="s">
        <v>41</v>
      </c>
      <c r="AD909" t="s">
        <v>41</v>
      </c>
      <c r="AE909" t="s">
        <v>41</v>
      </c>
      <c r="AF909" t="s">
        <v>41</v>
      </c>
      <c r="AK909"/>
    </row>
    <row r="910" spans="1:37" x14ac:dyDescent="0.25">
      <c r="A910" t="s">
        <v>38</v>
      </c>
      <c r="B910">
        <v>45990.785925925928</v>
      </c>
      <c r="C910">
        <v>90730</v>
      </c>
      <c r="D910" t="s">
        <v>531</v>
      </c>
      <c r="E910">
        <v>4505024</v>
      </c>
      <c r="F910">
        <v>2304174</v>
      </c>
      <c r="G910" t="s">
        <v>1235</v>
      </c>
      <c r="H910" t="s">
        <v>1272</v>
      </c>
      <c r="I910">
        <v>7.5</v>
      </c>
      <c r="J910" t="b">
        <v>1</v>
      </c>
      <c r="K910">
        <v>0.625</v>
      </c>
      <c r="L910">
        <v>2304175</v>
      </c>
      <c r="M910" t="s">
        <v>1236</v>
      </c>
      <c r="N910">
        <v>12</v>
      </c>
      <c r="O910">
        <v>12</v>
      </c>
      <c r="P910"/>
      <c r="Q910">
        <v>134906</v>
      </c>
      <c r="R910">
        <v>1</v>
      </c>
      <c r="S910" t="s">
        <v>40</v>
      </c>
      <c r="T910">
        <v>261</v>
      </c>
      <c r="U910">
        <v>147664</v>
      </c>
      <c r="V910">
        <v>24</v>
      </c>
      <c r="W910" t="s">
        <v>40</v>
      </c>
      <c r="X910">
        <v>261</v>
      </c>
      <c r="Y910" t="s">
        <v>377</v>
      </c>
      <c r="Z910" t="s">
        <v>378</v>
      </c>
      <c r="AA910" t="s">
        <v>379</v>
      </c>
      <c r="AB910" t="s">
        <v>409</v>
      </c>
      <c r="AC910" t="s">
        <v>41</v>
      </c>
      <c r="AD910" t="s">
        <v>41</v>
      </c>
      <c r="AE910" t="s">
        <v>41</v>
      </c>
      <c r="AF910" t="s">
        <v>41</v>
      </c>
      <c r="AK910"/>
    </row>
    <row r="911" spans="1:37" x14ac:dyDescent="0.25">
      <c r="A911" t="s">
        <v>38</v>
      </c>
      <c r="B911">
        <v>45990.787118055552</v>
      </c>
      <c r="C911">
        <v>90730</v>
      </c>
      <c r="D911" t="s">
        <v>531</v>
      </c>
      <c r="E911">
        <v>4505023</v>
      </c>
      <c r="F911">
        <v>2304174</v>
      </c>
      <c r="G911" t="s">
        <v>1235</v>
      </c>
      <c r="H911" t="s">
        <v>1272</v>
      </c>
      <c r="I911">
        <v>7.5</v>
      </c>
      <c r="J911" t="b">
        <v>1</v>
      </c>
      <c r="K911">
        <v>1.875</v>
      </c>
      <c r="L911">
        <v>2304175</v>
      </c>
      <c r="M911" t="s">
        <v>1236</v>
      </c>
      <c r="N911">
        <v>4</v>
      </c>
      <c r="O911">
        <v>4</v>
      </c>
      <c r="P911"/>
      <c r="Q911">
        <v>134906</v>
      </c>
      <c r="R911">
        <v>1</v>
      </c>
      <c r="S911" t="s">
        <v>40</v>
      </c>
      <c r="T911">
        <v>261</v>
      </c>
      <c r="U911">
        <v>147664</v>
      </c>
      <c r="V911">
        <v>24</v>
      </c>
      <c r="W911" t="s">
        <v>40</v>
      </c>
      <c r="X911">
        <v>261</v>
      </c>
      <c r="Y911" t="s">
        <v>377</v>
      </c>
      <c r="Z911" t="s">
        <v>378</v>
      </c>
      <c r="AA911" t="s">
        <v>379</v>
      </c>
      <c r="AB911" t="s">
        <v>384</v>
      </c>
      <c r="AC911" t="s">
        <v>41</v>
      </c>
      <c r="AD911" t="s">
        <v>41</v>
      </c>
      <c r="AE911" t="s">
        <v>41</v>
      </c>
      <c r="AF911" t="s">
        <v>41</v>
      </c>
      <c r="AK911"/>
    </row>
    <row r="912" spans="1:37" x14ac:dyDescent="0.25">
      <c r="A912" t="s">
        <v>43</v>
      </c>
      <c r="B912">
        <v>45990.789143518516</v>
      </c>
      <c r="C912">
        <v>91990</v>
      </c>
      <c r="D912" t="s">
        <v>531</v>
      </c>
      <c r="E912">
        <v>4487635</v>
      </c>
      <c r="F912">
        <v>129839</v>
      </c>
      <c r="G912" t="s">
        <v>1266</v>
      </c>
      <c r="H912" t="s">
        <v>1240</v>
      </c>
      <c r="I912">
        <v>10</v>
      </c>
      <c r="J912" t="b">
        <v>1</v>
      </c>
      <c r="K912">
        <v>1.25</v>
      </c>
      <c r="L912">
        <v>129840</v>
      </c>
      <c r="M912" t="s">
        <v>1267</v>
      </c>
      <c r="N912">
        <v>8</v>
      </c>
      <c r="O912">
        <v>8</v>
      </c>
      <c r="P912"/>
      <c r="Q912">
        <v>2301936</v>
      </c>
      <c r="R912">
        <v>2</v>
      </c>
      <c r="S912" t="s">
        <v>40</v>
      </c>
      <c r="T912">
        <v>261</v>
      </c>
      <c r="U912">
        <v>147664</v>
      </c>
      <c r="V912">
        <v>48</v>
      </c>
      <c r="W912" t="s">
        <v>40</v>
      </c>
      <c r="X912">
        <v>261</v>
      </c>
      <c r="Y912" t="s">
        <v>377</v>
      </c>
      <c r="Z912" t="s">
        <v>378</v>
      </c>
      <c r="AA912" t="s">
        <v>384</v>
      </c>
      <c r="AB912" t="s">
        <v>384</v>
      </c>
      <c r="AC912" t="s">
        <v>41</v>
      </c>
      <c r="AD912" t="s">
        <v>41</v>
      </c>
      <c r="AE912" t="s">
        <v>41</v>
      </c>
      <c r="AF912" t="s">
        <v>41</v>
      </c>
      <c r="AK912"/>
    </row>
    <row r="913" spans="1:38" x14ac:dyDescent="0.25">
      <c r="A913" t="s">
        <v>47</v>
      </c>
      <c r="B913">
        <v>45991.208171296297</v>
      </c>
      <c r="C913">
        <v>92567</v>
      </c>
      <c r="D913" t="s">
        <v>531</v>
      </c>
      <c r="E913">
        <v>4497443</v>
      </c>
      <c r="F913">
        <v>2310135</v>
      </c>
      <c r="G913" t="s">
        <v>1052</v>
      </c>
      <c r="H913" t="s">
        <v>1246</v>
      </c>
      <c r="I913">
        <v>64.3</v>
      </c>
      <c r="J913" t="b">
        <v>1</v>
      </c>
      <c r="K913">
        <v>0.15682926829268293</v>
      </c>
      <c r="L913">
        <v>2310136</v>
      </c>
      <c r="M913" t="s">
        <v>1053</v>
      </c>
      <c r="N913">
        <v>410</v>
      </c>
      <c r="O913">
        <v>400</v>
      </c>
      <c r="P913"/>
      <c r="Q913">
        <v>134974</v>
      </c>
      <c r="R913">
        <v>1</v>
      </c>
      <c r="S913" t="s">
        <v>40</v>
      </c>
      <c r="T913">
        <v>261</v>
      </c>
      <c r="W913"/>
      <c r="Y913" t="s">
        <v>377</v>
      </c>
      <c r="Z913" t="s">
        <v>378</v>
      </c>
      <c r="AA913" t="s">
        <v>379</v>
      </c>
      <c r="AB913" t="s">
        <v>1273</v>
      </c>
      <c r="AC913" t="s">
        <v>41</v>
      </c>
      <c r="AD913" t="s">
        <v>41</v>
      </c>
      <c r="AE913" t="s">
        <v>41</v>
      </c>
      <c r="AF913" t="s">
        <v>41</v>
      </c>
      <c r="AK913"/>
    </row>
    <row r="914" spans="1:38" x14ac:dyDescent="0.25">
      <c r="A914" t="s">
        <v>43</v>
      </c>
      <c r="B914">
        <v>45991.441643518519</v>
      </c>
      <c r="C914">
        <v>91991</v>
      </c>
      <c r="D914" t="s">
        <v>373</v>
      </c>
      <c r="E914">
        <v>4493117</v>
      </c>
      <c r="F914">
        <v>129839</v>
      </c>
      <c r="G914" t="s">
        <v>1266</v>
      </c>
      <c r="H914" t="s">
        <v>1274</v>
      </c>
      <c r="I914">
        <v>10</v>
      </c>
      <c r="J914" t="b">
        <v>1</v>
      </c>
      <c r="K914">
        <v>1.25</v>
      </c>
      <c r="L914">
        <v>129840</v>
      </c>
      <c r="M914" t="s">
        <v>1267</v>
      </c>
      <c r="N914">
        <v>8</v>
      </c>
      <c r="O914">
        <v>8</v>
      </c>
      <c r="P914"/>
      <c r="Q914">
        <v>134905</v>
      </c>
      <c r="R914">
        <v>1</v>
      </c>
      <c r="S914" t="s">
        <v>40</v>
      </c>
      <c r="T914">
        <v>261</v>
      </c>
      <c r="U914">
        <v>147664</v>
      </c>
      <c r="V914">
        <v>48</v>
      </c>
      <c r="W914" t="s">
        <v>40</v>
      </c>
      <c r="X914">
        <v>261</v>
      </c>
      <c r="Y914" t="s">
        <v>377</v>
      </c>
      <c r="Z914" t="s">
        <v>378</v>
      </c>
      <c r="AA914" t="s">
        <v>384</v>
      </c>
      <c r="AB914" t="s">
        <v>384</v>
      </c>
      <c r="AC914" t="s">
        <v>41</v>
      </c>
      <c r="AD914" t="s">
        <v>41</v>
      </c>
      <c r="AE914" t="s">
        <v>41</v>
      </c>
      <c r="AF914" t="s">
        <v>41</v>
      </c>
      <c r="AI914">
        <v>134905</v>
      </c>
      <c r="AJ914">
        <v>1</v>
      </c>
      <c r="AK914" t="s">
        <v>40</v>
      </c>
      <c r="AL914">
        <v>261</v>
      </c>
    </row>
    <row r="915" spans="1:38" x14ac:dyDescent="0.25">
      <c r="A915" t="s">
        <v>44</v>
      </c>
      <c r="B915">
        <v>45991.49459490741</v>
      </c>
      <c r="C915">
        <v>90731</v>
      </c>
      <c r="D915" t="s">
        <v>373</v>
      </c>
      <c r="E915">
        <v>4505025</v>
      </c>
      <c r="F915">
        <v>2304174</v>
      </c>
      <c r="G915" t="s">
        <v>1235</v>
      </c>
      <c r="H915" t="s">
        <v>1275</v>
      </c>
      <c r="I915">
        <v>3.75</v>
      </c>
      <c r="J915" t="b">
        <v>1</v>
      </c>
      <c r="K915">
        <v>0.9375</v>
      </c>
      <c r="L915">
        <v>2304175</v>
      </c>
      <c r="M915" t="s">
        <v>1236</v>
      </c>
      <c r="N915">
        <v>4</v>
      </c>
      <c r="O915">
        <v>4</v>
      </c>
      <c r="P915"/>
      <c r="Q915">
        <v>134906</v>
      </c>
      <c r="R915">
        <v>1</v>
      </c>
      <c r="S915" t="s">
        <v>40</v>
      </c>
      <c r="T915">
        <v>261</v>
      </c>
      <c r="U915">
        <v>147664</v>
      </c>
      <c r="V915">
        <v>24</v>
      </c>
      <c r="W915" t="s">
        <v>40</v>
      </c>
      <c r="X915">
        <v>261</v>
      </c>
      <c r="Y915" t="s">
        <v>377</v>
      </c>
      <c r="Z915" t="s">
        <v>378</v>
      </c>
      <c r="AA915" t="s">
        <v>379</v>
      </c>
      <c r="AB915" t="s">
        <v>384</v>
      </c>
      <c r="AC915" t="s">
        <v>41</v>
      </c>
      <c r="AD915" t="s">
        <v>41</v>
      </c>
      <c r="AE915" t="s">
        <v>41</v>
      </c>
      <c r="AF915" t="s">
        <v>41</v>
      </c>
      <c r="AK915"/>
    </row>
    <row r="916" spans="1:38" x14ac:dyDescent="0.25">
      <c r="A916" t="s">
        <v>44</v>
      </c>
      <c r="B916">
        <v>45991.495266203703</v>
      </c>
      <c r="C916">
        <v>90731</v>
      </c>
      <c r="D916" t="s">
        <v>373</v>
      </c>
      <c r="E916">
        <v>4505026</v>
      </c>
      <c r="F916">
        <v>2304174</v>
      </c>
      <c r="G916" t="s">
        <v>1235</v>
      </c>
      <c r="H916" t="s">
        <v>1275</v>
      </c>
      <c r="I916">
        <v>3.75</v>
      </c>
      <c r="J916" t="b">
        <v>1</v>
      </c>
      <c r="K916">
        <v>0.3125</v>
      </c>
      <c r="L916">
        <v>2304175</v>
      </c>
      <c r="M916" t="s">
        <v>1236</v>
      </c>
      <c r="N916">
        <v>12</v>
      </c>
      <c r="O916">
        <v>12</v>
      </c>
      <c r="P916"/>
      <c r="Q916">
        <v>134906</v>
      </c>
      <c r="R916">
        <v>1</v>
      </c>
      <c r="S916" t="s">
        <v>40</v>
      </c>
      <c r="T916">
        <v>261</v>
      </c>
      <c r="U916">
        <v>147664</v>
      </c>
      <c r="V916">
        <v>24</v>
      </c>
      <c r="W916" t="s">
        <v>40</v>
      </c>
      <c r="X916">
        <v>261</v>
      </c>
      <c r="Y916" t="s">
        <v>377</v>
      </c>
      <c r="Z916" t="s">
        <v>378</v>
      </c>
      <c r="AA916" t="s">
        <v>379</v>
      </c>
      <c r="AB916" t="s">
        <v>409</v>
      </c>
      <c r="AC916" t="s">
        <v>41</v>
      </c>
      <c r="AD916" t="s">
        <v>41</v>
      </c>
      <c r="AE916" t="s">
        <v>41</v>
      </c>
      <c r="AF916" t="s">
        <v>41</v>
      </c>
      <c r="AK916"/>
    </row>
    <row r="917" spans="1:38" x14ac:dyDescent="0.25">
      <c r="A917" t="s">
        <v>42</v>
      </c>
      <c r="B917">
        <v>45991.624189814815</v>
      </c>
      <c r="C917">
        <v>89147</v>
      </c>
      <c r="D917" t="s">
        <v>373</v>
      </c>
      <c r="E917">
        <v>4504646</v>
      </c>
      <c r="F917">
        <v>2104854</v>
      </c>
      <c r="G917" t="s">
        <v>1123</v>
      </c>
      <c r="H917" t="s">
        <v>1272</v>
      </c>
      <c r="I917">
        <v>5</v>
      </c>
      <c r="J917" t="b">
        <v>1</v>
      </c>
      <c r="K917">
        <v>1.25</v>
      </c>
      <c r="L917">
        <v>2106172</v>
      </c>
      <c r="M917" t="s">
        <v>1124</v>
      </c>
      <c r="N917">
        <v>4</v>
      </c>
      <c r="O917">
        <v>4</v>
      </c>
      <c r="P917"/>
      <c r="Q917">
        <v>134906</v>
      </c>
      <c r="R917">
        <v>1</v>
      </c>
      <c r="S917" t="s">
        <v>40</v>
      </c>
      <c r="T917">
        <v>261</v>
      </c>
      <c r="U917">
        <v>147664</v>
      </c>
      <c r="V917">
        <v>24</v>
      </c>
      <c r="W917" t="s">
        <v>40</v>
      </c>
      <c r="X917">
        <v>261</v>
      </c>
      <c r="Y917" t="s">
        <v>377</v>
      </c>
      <c r="Z917" t="s">
        <v>378</v>
      </c>
      <c r="AA917" t="s">
        <v>379</v>
      </c>
      <c r="AB917" t="s">
        <v>384</v>
      </c>
      <c r="AC917" t="s">
        <v>41</v>
      </c>
      <c r="AD917" t="s">
        <v>41</v>
      </c>
      <c r="AE917" t="s">
        <v>41</v>
      </c>
      <c r="AF917" t="s">
        <v>41</v>
      </c>
      <c r="AK917"/>
    </row>
    <row r="918" spans="1:38" x14ac:dyDescent="0.25">
      <c r="A918" t="s">
        <v>42</v>
      </c>
      <c r="B918">
        <v>45991.625</v>
      </c>
      <c r="C918">
        <v>89147</v>
      </c>
      <c r="D918" t="s">
        <v>373</v>
      </c>
      <c r="E918">
        <v>4504647</v>
      </c>
      <c r="F918">
        <v>2104854</v>
      </c>
      <c r="G918" t="s">
        <v>1123</v>
      </c>
      <c r="H918" t="s">
        <v>1272</v>
      </c>
      <c r="I918">
        <v>5</v>
      </c>
      <c r="J918" t="b">
        <v>1</v>
      </c>
      <c r="K918">
        <v>0.625</v>
      </c>
      <c r="L918">
        <v>2106172</v>
      </c>
      <c r="M918" t="s">
        <v>1124</v>
      </c>
      <c r="N918">
        <v>8</v>
      </c>
      <c r="O918">
        <v>8</v>
      </c>
      <c r="P918"/>
      <c r="Q918">
        <v>134971</v>
      </c>
      <c r="R918">
        <v>1</v>
      </c>
      <c r="S918" t="s">
        <v>40</v>
      </c>
      <c r="T918">
        <v>261</v>
      </c>
      <c r="U918">
        <v>147664</v>
      </c>
      <c r="V918">
        <v>24</v>
      </c>
      <c r="W918" t="s">
        <v>40</v>
      </c>
      <c r="X918">
        <v>261</v>
      </c>
      <c r="Y918" t="s">
        <v>377</v>
      </c>
      <c r="Z918" t="s">
        <v>378</v>
      </c>
      <c r="AA918" t="s">
        <v>379</v>
      </c>
      <c r="AB918" t="s">
        <v>400</v>
      </c>
      <c r="AC918" t="s">
        <v>41</v>
      </c>
      <c r="AD918" t="s">
        <v>41</v>
      </c>
      <c r="AE918" t="s">
        <v>41</v>
      </c>
      <c r="AF918" t="s">
        <v>41</v>
      </c>
      <c r="AK918"/>
    </row>
    <row r="919" spans="1:38" x14ac:dyDescent="0.25">
      <c r="A919" t="s">
        <v>37</v>
      </c>
      <c r="B919">
        <v>45991.852800925924</v>
      </c>
      <c r="C919">
        <v>92066</v>
      </c>
      <c r="D919" t="s">
        <v>494</v>
      </c>
      <c r="E919">
        <v>4505156</v>
      </c>
      <c r="F919">
        <v>2105503</v>
      </c>
      <c r="G919" t="s">
        <v>1258</v>
      </c>
      <c r="H919" t="s">
        <v>1128</v>
      </c>
      <c r="I919">
        <v>1.5</v>
      </c>
      <c r="J919" t="b">
        <v>1</v>
      </c>
      <c r="K919">
        <v>4.10958904109589E-3</v>
      </c>
      <c r="L919">
        <v>2106759</v>
      </c>
      <c r="M919" t="s">
        <v>1259</v>
      </c>
      <c r="N919">
        <v>365</v>
      </c>
      <c r="O919">
        <v>412</v>
      </c>
      <c r="P919" t="s">
        <v>423</v>
      </c>
      <c r="Q919">
        <v>0</v>
      </c>
      <c r="R919">
        <v>0</v>
      </c>
      <c r="S919" t="s">
        <v>40</v>
      </c>
      <c r="T919">
        <v>261</v>
      </c>
      <c r="W919"/>
      <c r="Y919" t="s">
        <v>377</v>
      </c>
      <c r="Z919" t="s">
        <v>378</v>
      </c>
      <c r="AA919" t="s">
        <v>379</v>
      </c>
      <c r="AB919" t="s">
        <v>1162</v>
      </c>
      <c r="AC919" t="s">
        <v>41</v>
      </c>
      <c r="AD919" t="s">
        <v>41</v>
      </c>
      <c r="AE919" t="s">
        <v>41</v>
      </c>
      <c r="AF919" t="s">
        <v>41</v>
      </c>
      <c r="AK919"/>
    </row>
    <row r="920" spans="1:38" x14ac:dyDescent="0.25">
      <c r="A920" t="s">
        <v>43</v>
      </c>
      <c r="B920">
        <v>45992.109363425923</v>
      </c>
      <c r="C920">
        <v>91992</v>
      </c>
      <c r="D920" t="s">
        <v>494</v>
      </c>
      <c r="E920">
        <v>4493118</v>
      </c>
      <c r="F920">
        <v>129839</v>
      </c>
      <c r="G920" t="s">
        <v>1266</v>
      </c>
      <c r="H920" t="s">
        <v>1276</v>
      </c>
      <c r="I920">
        <v>10</v>
      </c>
      <c r="J920" t="b">
        <v>1</v>
      </c>
      <c r="K920">
        <v>1.25</v>
      </c>
      <c r="L920">
        <v>129840</v>
      </c>
      <c r="M920" t="s">
        <v>1267</v>
      </c>
      <c r="N920">
        <v>8</v>
      </c>
      <c r="O920">
        <v>8</v>
      </c>
      <c r="P920"/>
      <c r="Q920">
        <v>134905</v>
      </c>
      <c r="R920">
        <v>1</v>
      </c>
      <c r="S920" t="s">
        <v>40</v>
      </c>
      <c r="T920">
        <v>261</v>
      </c>
      <c r="U920">
        <v>147664</v>
      </c>
      <c r="V920">
        <v>48</v>
      </c>
      <c r="W920" t="s">
        <v>40</v>
      </c>
      <c r="X920">
        <v>261</v>
      </c>
      <c r="Y920" t="s">
        <v>377</v>
      </c>
      <c r="Z920" t="s">
        <v>378</v>
      </c>
      <c r="AA920" t="s">
        <v>384</v>
      </c>
      <c r="AB920" t="s">
        <v>384</v>
      </c>
      <c r="AC920" t="s">
        <v>41</v>
      </c>
      <c r="AD920" t="s">
        <v>41</v>
      </c>
      <c r="AE920" t="s">
        <v>41</v>
      </c>
      <c r="AF920" t="s">
        <v>41</v>
      </c>
      <c r="AI920">
        <v>155687</v>
      </c>
      <c r="AJ920">
        <v>1</v>
      </c>
      <c r="AK920" t="s">
        <v>40</v>
      </c>
      <c r="AL920">
        <v>261</v>
      </c>
    </row>
    <row r="921" spans="1:38" x14ac:dyDescent="0.25">
      <c r="A921" t="s">
        <v>42</v>
      </c>
      <c r="B921">
        <v>45992.124479166669</v>
      </c>
      <c r="C921">
        <v>90732</v>
      </c>
      <c r="D921" t="s">
        <v>494</v>
      </c>
      <c r="E921">
        <v>4505028</v>
      </c>
      <c r="F921">
        <v>2304174</v>
      </c>
      <c r="G921" t="s">
        <v>1235</v>
      </c>
      <c r="H921" t="s">
        <v>1277</v>
      </c>
      <c r="I921">
        <v>7.5</v>
      </c>
      <c r="J921" t="b">
        <v>1</v>
      </c>
      <c r="K921">
        <v>0.625</v>
      </c>
      <c r="L921">
        <v>2304175</v>
      </c>
      <c r="M921" t="s">
        <v>1236</v>
      </c>
      <c r="N921">
        <v>12</v>
      </c>
      <c r="O921">
        <v>16</v>
      </c>
      <c r="P921"/>
      <c r="Q921">
        <v>155687</v>
      </c>
      <c r="R921">
        <v>1</v>
      </c>
      <c r="S921" t="s">
        <v>40</v>
      </c>
      <c r="T921">
        <v>261</v>
      </c>
      <c r="U921">
        <v>147664</v>
      </c>
      <c r="V921">
        <v>24</v>
      </c>
      <c r="W921" t="s">
        <v>40</v>
      </c>
      <c r="X921">
        <v>261</v>
      </c>
      <c r="Y921" t="s">
        <v>377</v>
      </c>
      <c r="Z921" t="s">
        <v>378</v>
      </c>
      <c r="AA921" t="s">
        <v>379</v>
      </c>
      <c r="AB921" t="s">
        <v>409</v>
      </c>
      <c r="AC921" t="s">
        <v>41</v>
      </c>
      <c r="AD921" t="s">
        <v>41</v>
      </c>
      <c r="AE921" t="s">
        <v>41</v>
      </c>
      <c r="AF921" t="s">
        <v>41</v>
      </c>
      <c r="AK921"/>
    </row>
    <row r="922" spans="1:38" x14ac:dyDescent="0.25">
      <c r="A922" t="s">
        <v>42</v>
      </c>
      <c r="B922">
        <v>45992.125578703701</v>
      </c>
      <c r="C922">
        <v>90732</v>
      </c>
      <c r="D922" t="s">
        <v>494</v>
      </c>
      <c r="E922">
        <v>4505027</v>
      </c>
      <c r="F922">
        <v>2304174</v>
      </c>
      <c r="G922" t="s">
        <v>1235</v>
      </c>
      <c r="H922" t="s">
        <v>1277</v>
      </c>
      <c r="I922">
        <v>7.5</v>
      </c>
      <c r="J922" t="b">
        <v>1</v>
      </c>
      <c r="K922">
        <v>1.875</v>
      </c>
      <c r="L922">
        <v>2304175</v>
      </c>
      <c r="M922" t="s">
        <v>1236</v>
      </c>
      <c r="N922">
        <v>4</v>
      </c>
      <c r="O922">
        <v>4</v>
      </c>
      <c r="P922"/>
      <c r="Q922">
        <v>155687</v>
      </c>
      <c r="R922">
        <v>1</v>
      </c>
      <c r="S922" t="s">
        <v>40</v>
      </c>
      <c r="T922">
        <v>261</v>
      </c>
      <c r="U922">
        <v>147664</v>
      </c>
      <c r="V922">
        <v>24</v>
      </c>
      <c r="W922" t="s">
        <v>40</v>
      </c>
      <c r="X922">
        <v>261</v>
      </c>
      <c r="Y922" t="s">
        <v>377</v>
      </c>
      <c r="Z922" t="s">
        <v>378</v>
      </c>
      <c r="AA922" t="s">
        <v>379</v>
      </c>
      <c r="AB922" t="s">
        <v>384</v>
      </c>
      <c r="AC922" t="s">
        <v>41</v>
      </c>
      <c r="AD922" t="s">
        <v>41</v>
      </c>
      <c r="AE922" t="s">
        <v>41</v>
      </c>
      <c r="AF922" t="s">
        <v>41</v>
      </c>
      <c r="AK922"/>
    </row>
    <row r="923" spans="1:38" x14ac:dyDescent="0.25">
      <c r="A923" t="s">
        <v>37</v>
      </c>
      <c r="B923">
        <v>45992.513553240744</v>
      </c>
      <c r="C923">
        <v>89148</v>
      </c>
      <c r="D923" t="s">
        <v>560</v>
      </c>
      <c r="E923">
        <v>4504648</v>
      </c>
      <c r="F923">
        <v>2104854</v>
      </c>
      <c r="G923" t="s">
        <v>1123</v>
      </c>
      <c r="H923" t="s">
        <v>1275</v>
      </c>
      <c r="I923">
        <v>5</v>
      </c>
      <c r="J923" t="b">
        <v>0</v>
      </c>
      <c r="K923">
        <v>1.25</v>
      </c>
      <c r="L923">
        <v>2106172</v>
      </c>
      <c r="M923" t="s">
        <v>1124</v>
      </c>
      <c r="N923">
        <v>4</v>
      </c>
      <c r="O923">
        <v>12</v>
      </c>
      <c r="P923"/>
      <c r="Q923">
        <v>134907</v>
      </c>
      <c r="R923">
        <v>1</v>
      </c>
      <c r="S923" t="s">
        <v>40</v>
      </c>
      <c r="T923">
        <v>261</v>
      </c>
      <c r="U923">
        <v>147664</v>
      </c>
      <c r="V923">
        <v>24</v>
      </c>
      <c r="W923" t="s">
        <v>40</v>
      </c>
      <c r="X923">
        <v>261</v>
      </c>
      <c r="Y923" t="s">
        <v>377</v>
      </c>
      <c r="Z923" t="s">
        <v>378</v>
      </c>
      <c r="AA923" t="s">
        <v>379</v>
      </c>
      <c r="AB923" t="s">
        <v>384</v>
      </c>
      <c r="AC923" t="s">
        <v>41</v>
      </c>
      <c r="AD923" t="s">
        <v>41</v>
      </c>
      <c r="AE923" t="s">
        <v>41</v>
      </c>
      <c r="AF923" t="s">
        <v>41</v>
      </c>
      <c r="AK923"/>
    </row>
    <row r="924" spans="1:38" x14ac:dyDescent="0.25">
      <c r="A924" t="s">
        <v>37</v>
      </c>
      <c r="B924">
        <v>45992.518379629626</v>
      </c>
      <c r="C924">
        <v>89148</v>
      </c>
      <c r="D924" t="s">
        <v>560</v>
      </c>
      <c r="E924">
        <v>4504648</v>
      </c>
      <c r="F924">
        <v>2104854</v>
      </c>
      <c r="G924" t="s">
        <v>1123</v>
      </c>
      <c r="H924" t="s">
        <v>1275</v>
      </c>
      <c r="I924">
        <v>5</v>
      </c>
      <c r="J924" t="b">
        <v>1</v>
      </c>
      <c r="K924">
        <v>1.25</v>
      </c>
      <c r="L924">
        <v>2106172</v>
      </c>
      <c r="M924" t="s">
        <v>1124</v>
      </c>
      <c r="N924">
        <v>4</v>
      </c>
      <c r="O924">
        <v>4</v>
      </c>
      <c r="P924"/>
      <c r="Q924">
        <v>134907</v>
      </c>
      <c r="R924">
        <v>1</v>
      </c>
      <c r="S924" t="s">
        <v>40</v>
      </c>
      <c r="T924">
        <v>261</v>
      </c>
      <c r="U924">
        <v>147664</v>
      </c>
      <c r="V924">
        <v>24</v>
      </c>
      <c r="W924" t="s">
        <v>40</v>
      </c>
      <c r="X924">
        <v>261</v>
      </c>
      <c r="Y924" t="s">
        <v>377</v>
      </c>
      <c r="Z924" t="s">
        <v>378</v>
      </c>
      <c r="AA924" t="s">
        <v>379</v>
      </c>
      <c r="AB924" t="s">
        <v>384</v>
      </c>
      <c r="AC924" t="s">
        <v>41</v>
      </c>
      <c r="AD924" t="s">
        <v>41</v>
      </c>
      <c r="AE924" t="s">
        <v>41</v>
      </c>
      <c r="AF924" t="s">
        <v>41</v>
      </c>
      <c r="AK924"/>
    </row>
    <row r="925" spans="1:38" x14ac:dyDescent="0.25">
      <c r="A925" t="s">
        <v>37</v>
      </c>
      <c r="B925">
        <v>45992.519178240742</v>
      </c>
      <c r="C925">
        <v>89148</v>
      </c>
      <c r="D925" t="s">
        <v>560</v>
      </c>
      <c r="E925">
        <v>4504651</v>
      </c>
      <c r="F925">
        <v>105472</v>
      </c>
      <c r="G925" t="s">
        <v>1055</v>
      </c>
      <c r="H925" t="s">
        <v>1275</v>
      </c>
      <c r="I925">
        <v>5</v>
      </c>
      <c r="J925" t="b">
        <v>1</v>
      </c>
      <c r="K925">
        <v>0.625</v>
      </c>
      <c r="L925">
        <v>2106172</v>
      </c>
      <c r="M925" t="s">
        <v>1124</v>
      </c>
      <c r="N925">
        <v>8</v>
      </c>
      <c r="O925">
        <v>8</v>
      </c>
      <c r="P925"/>
      <c r="Q925">
        <v>134907</v>
      </c>
      <c r="R925">
        <v>1</v>
      </c>
      <c r="S925" t="s">
        <v>40</v>
      </c>
      <c r="T925">
        <v>261</v>
      </c>
      <c r="U925">
        <v>147664</v>
      </c>
      <c r="V925">
        <v>24</v>
      </c>
      <c r="W925" t="s">
        <v>40</v>
      </c>
      <c r="X925">
        <v>261</v>
      </c>
      <c r="Y925" t="s">
        <v>377</v>
      </c>
      <c r="Z925" t="s">
        <v>378</v>
      </c>
      <c r="AA925" t="s">
        <v>379</v>
      </c>
      <c r="AB925" t="s">
        <v>400</v>
      </c>
      <c r="AC925" t="s">
        <v>41</v>
      </c>
      <c r="AD925" t="s">
        <v>41</v>
      </c>
      <c r="AE925" t="s">
        <v>41</v>
      </c>
      <c r="AF925" t="s">
        <v>41</v>
      </c>
      <c r="AK925"/>
    </row>
    <row r="926" spans="1:38" x14ac:dyDescent="0.25">
      <c r="A926" t="s">
        <v>37</v>
      </c>
      <c r="B926">
        <v>45992.526435185187</v>
      </c>
      <c r="C926">
        <v>89148</v>
      </c>
      <c r="D926" t="s">
        <v>560</v>
      </c>
      <c r="E926">
        <v>4504648</v>
      </c>
      <c r="F926">
        <v>2104854</v>
      </c>
      <c r="G926" t="s">
        <v>1123</v>
      </c>
      <c r="H926" t="s">
        <v>1275</v>
      </c>
      <c r="I926">
        <v>10</v>
      </c>
      <c r="J926" t="b">
        <v>0</v>
      </c>
      <c r="K926">
        <v>0.83333333333333337</v>
      </c>
      <c r="L926">
        <v>2106172</v>
      </c>
      <c r="M926" t="s">
        <v>1124</v>
      </c>
      <c r="N926">
        <v>12</v>
      </c>
      <c r="O926">
        <v>12</v>
      </c>
      <c r="P926"/>
      <c r="Q926">
        <v>134907</v>
      </c>
      <c r="R926">
        <v>2</v>
      </c>
      <c r="S926" t="s">
        <v>40</v>
      </c>
      <c r="T926">
        <v>261</v>
      </c>
      <c r="U926">
        <v>147664</v>
      </c>
      <c r="V926">
        <v>48</v>
      </c>
      <c r="W926" t="s">
        <v>40</v>
      </c>
      <c r="X926">
        <v>261</v>
      </c>
      <c r="Y926" t="s">
        <v>377</v>
      </c>
      <c r="Z926" t="s">
        <v>378</v>
      </c>
      <c r="AA926" t="s">
        <v>379</v>
      </c>
      <c r="AB926" t="s">
        <v>400</v>
      </c>
      <c r="AC926" t="s">
        <v>379</v>
      </c>
      <c r="AD926" t="s">
        <v>384</v>
      </c>
      <c r="AE926" t="s">
        <v>41</v>
      </c>
      <c r="AF926" t="s">
        <v>41</v>
      </c>
      <c r="AK926"/>
    </row>
    <row r="927" spans="1:38" x14ac:dyDescent="0.25">
      <c r="A927" t="s">
        <v>45</v>
      </c>
      <c r="B927">
        <v>45992.54614583333</v>
      </c>
      <c r="C927">
        <v>92569</v>
      </c>
      <c r="D927" t="s">
        <v>560</v>
      </c>
      <c r="E927">
        <v>4489810</v>
      </c>
      <c r="F927">
        <v>2104773</v>
      </c>
      <c r="G927" t="s">
        <v>1278</v>
      </c>
      <c r="H927" t="s">
        <v>1156</v>
      </c>
      <c r="I927">
        <v>57.3</v>
      </c>
      <c r="J927" t="b">
        <v>1</v>
      </c>
      <c r="K927">
        <v>0.46585365853658534</v>
      </c>
      <c r="L927">
        <v>2106102</v>
      </c>
      <c r="M927" t="s">
        <v>1279</v>
      </c>
      <c r="N927">
        <v>123</v>
      </c>
      <c r="O927">
        <v>123</v>
      </c>
      <c r="P927"/>
      <c r="Q927">
        <v>134974</v>
      </c>
      <c r="R927">
        <v>1</v>
      </c>
      <c r="S927" t="s">
        <v>40</v>
      </c>
      <c r="T927">
        <v>261</v>
      </c>
      <c r="W927"/>
      <c r="Y927" t="s">
        <v>377</v>
      </c>
      <c r="Z927" t="s">
        <v>378</v>
      </c>
      <c r="AA927" t="s">
        <v>379</v>
      </c>
      <c r="AB927" t="s">
        <v>980</v>
      </c>
      <c r="AC927" t="s">
        <v>41</v>
      </c>
      <c r="AD927" t="s">
        <v>41</v>
      </c>
      <c r="AE927" t="s">
        <v>41</v>
      </c>
      <c r="AF927" t="s">
        <v>41</v>
      </c>
      <c r="AK927"/>
    </row>
    <row r="928" spans="1:38" x14ac:dyDescent="0.25">
      <c r="A928" t="s">
        <v>39</v>
      </c>
      <c r="B928">
        <v>45992.59302083333</v>
      </c>
      <c r="C928">
        <v>92568</v>
      </c>
      <c r="D928" t="s">
        <v>560</v>
      </c>
      <c r="E928">
        <v>4497444</v>
      </c>
      <c r="F928">
        <v>2310135</v>
      </c>
      <c r="G928" t="s">
        <v>1052</v>
      </c>
      <c r="H928" t="s">
        <v>1247</v>
      </c>
      <c r="I928">
        <v>64.3</v>
      </c>
      <c r="J928" t="b">
        <v>1</v>
      </c>
      <c r="K928">
        <v>0.15876543209876542</v>
      </c>
      <c r="L928">
        <v>2310136</v>
      </c>
      <c r="M928" t="s">
        <v>1053</v>
      </c>
      <c r="N928">
        <v>405</v>
      </c>
      <c r="O928">
        <v>410</v>
      </c>
      <c r="P928"/>
      <c r="Q928">
        <v>134974</v>
      </c>
      <c r="R928">
        <v>1</v>
      </c>
      <c r="S928" t="s">
        <v>40</v>
      </c>
      <c r="T928">
        <v>261</v>
      </c>
      <c r="W928"/>
      <c r="Y928" t="s">
        <v>377</v>
      </c>
      <c r="Z928" t="s">
        <v>378</v>
      </c>
      <c r="AA928" t="s">
        <v>379</v>
      </c>
      <c r="AB928" t="s">
        <v>1280</v>
      </c>
      <c r="AC928" t="s">
        <v>41</v>
      </c>
      <c r="AD928" t="s">
        <v>41</v>
      </c>
      <c r="AE928" t="s">
        <v>41</v>
      </c>
      <c r="AF928" t="s">
        <v>41</v>
      </c>
      <c r="AK928"/>
    </row>
    <row r="929" spans="1:38" x14ac:dyDescent="0.25">
      <c r="A929" t="s">
        <v>42</v>
      </c>
      <c r="B929">
        <v>45992.730370370373</v>
      </c>
      <c r="C929">
        <v>92068</v>
      </c>
      <c r="D929" t="s">
        <v>560</v>
      </c>
      <c r="E929">
        <v>4505156</v>
      </c>
      <c r="F929">
        <v>2105503</v>
      </c>
      <c r="G929" t="s">
        <v>1258</v>
      </c>
      <c r="H929" t="s">
        <v>1128</v>
      </c>
      <c r="I929">
        <v>5</v>
      </c>
      <c r="J929" t="b">
        <v>1</v>
      </c>
      <c r="K929">
        <v>1.6339869281045753E-2</v>
      </c>
      <c r="L929">
        <v>2106759</v>
      </c>
      <c r="M929" t="s">
        <v>1259</v>
      </c>
      <c r="N929">
        <v>306</v>
      </c>
      <c r="O929">
        <v>208</v>
      </c>
      <c r="P929"/>
      <c r="Q929">
        <v>134975</v>
      </c>
      <c r="R929">
        <v>2</v>
      </c>
      <c r="S929" t="s">
        <v>40</v>
      </c>
      <c r="T929">
        <v>261</v>
      </c>
      <c r="W929"/>
      <c r="Y929" t="s">
        <v>377</v>
      </c>
      <c r="Z929" t="s">
        <v>378</v>
      </c>
      <c r="AA929" t="s">
        <v>379</v>
      </c>
      <c r="AB929" t="s">
        <v>1191</v>
      </c>
      <c r="AC929" t="s">
        <v>379</v>
      </c>
      <c r="AD929" t="s">
        <v>1130</v>
      </c>
      <c r="AE929" t="s">
        <v>41</v>
      </c>
      <c r="AF929" t="s">
        <v>41</v>
      </c>
      <c r="AK929"/>
    </row>
    <row r="930" spans="1:38" x14ac:dyDescent="0.25">
      <c r="A930" t="s">
        <v>48</v>
      </c>
      <c r="B930">
        <v>45992.842060185183</v>
      </c>
      <c r="C930">
        <v>92571</v>
      </c>
      <c r="D930" t="s">
        <v>745</v>
      </c>
      <c r="E930">
        <v>4489072</v>
      </c>
      <c r="F930">
        <v>2104747</v>
      </c>
      <c r="G930" t="s">
        <v>1281</v>
      </c>
      <c r="H930" t="s">
        <v>1201</v>
      </c>
      <c r="I930">
        <v>48</v>
      </c>
      <c r="J930" t="b">
        <v>1</v>
      </c>
      <c r="K930">
        <v>0.16551724137931034</v>
      </c>
      <c r="L930">
        <v>2106071</v>
      </c>
      <c r="M930" t="s">
        <v>1282</v>
      </c>
      <c r="N930">
        <v>290</v>
      </c>
      <c r="O930">
        <v>275</v>
      </c>
      <c r="P930"/>
      <c r="Q930">
        <v>134976</v>
      </c>
      <c r="R930">
        <v>1</v>
      </c>
      <c r="S930" t="s">
        <v>40</v>
      </c>
      <c r="T930">
        <v>261</v>
      </c>
      <c r="W930"/>
      <c r="Y930" t="s">
        <v>377</v>
      </c>
      <c r="Z930" t="s">
        <v>378</v>
      </c>
      <c r="AA930" t="s">
        <v>379</v>
      </c>
      <c r="AB930" t="s">
        <v>475</v>
      </c>
      <c r="AC930" t="s">
        <v>41</v>
      </c>
      <c r="AD930" t="s">
        <v>41</v>
      </c>
      <c r="AE930" t="s">
        <v>41</v>
      </c>
      <c r="AF930" t="s">
        <v>41</v>
      </c>
      <c r="AK930"/>
    </row>
    <row r="931" spans="1:38" x14ac:dyDescent="0.25">
      <c r="A931" t="s">
        <v>37</v>
      </c>
      <c r="B931">
        <v>45992.881273148145</v>
      </c>
      <c r="C931">
        <v>90733</v>
      </c>
      <c r="D931" t="s">
        <v>745</v>
      </c>
      <c r="E931">
        <v>4505030</v>
      </c>
      <c r="F931">
        <v>2304174</v>
      </c>
      <c r="G931" t="s">
        <v>1235</v>
      </c>
      <c r="H931" t="s">
        <v>1283</v>
      </c>
      <c r="I931">
        <v>7.5</v>
      </c>
      <c r="J931" t="b">
        <v>0</v>
      </c>
      <c r="K931">
        <v>0.46875</v>
      </c>
      <c r="L931">
        <v>2304175</v>
      </c>
      <c r="M931" t="s">
        <v>1236</v>
      </c>
      <c r="N931">
        <v>16</v>
      </c>
      <c r="O931">
        <v>16</v>
      </c>
      <c r="P931"/>
      <c r="Q931">
        <v>134906</v>
      </c>
      <c r="R931">
        <v>1</v>
      </c>
      <c r="S931" t="s">
        <v>40</v>
      </c>
      <c r="T931">
        <v>261</v>
      </c>
      <c r="U931">
        <v>147664</v>
      </c>
      <c r="V931">
        <v>24</v>
      </c>
      <c r="W931" t="s">
        <v>40</v>
      </c>
      <c r="X931">
        <v>261</v>
      </c>
      <c r="Y931" t="s">
        <v>377</v>
      </c>
      <c r="Z931" t="s">
        <v>378</v>
      </c>
      <c r="AA931" t="s">
        <v>379</v>
      </c>
      <c r="AB931" t="s">
        <v>1264</v>
      </c>
      <c r="AC931" t="s">
        <v>41</v>
      </c>
      <c r="AD931" t="s">
        <v>41</v>
      </c>
      <c r="AE931" t="s">
        <v>41</v>
      </c>
      <c r="AF931" t="s">
        <v>41</v>
      </c>
      <c r="AK931"/>
    </row>
    <row r="932" spans="1:38" x14ac:dyDescent="0.25">
      <c r="A932" t="s">
        <v>44</v>
      </c>
      <c r="B932">
        <v>45992.989814814813</v>
      </c>
      <c r="C932">
        <v>91993</v>
      </c>
      <c r="D932" t="s">
        <v>745</v>
      </c>
      <c r="E932">
        <v>4493119</v>
      </c>
      <c r="F932">
        <v>129839</v>
      </c>
      <c r="G932" t="s">
        <v>1266</v>
      </c>
      <c r="H932" t="s">
        <v>1284</v>
      </c>
      <c r="I932">
        <v>10</v>
      </c>
      <c r="J932" t="b">
        <v>1</v>
      </c>
      <c r="K932">
        <v>1.25</v>
      </c>
      <c r="L932">
        <v>129840</v>
      </c>
      <c r="M932" t="s">
        <v>1267</v>
      </c>
      <c r="N932">
        <v>8</v>
      </c>
      <c r="O932">
        <v>8</v>
      </c>
      <c r="P932"/>
      <c r="Q932">
        <v>134905</v>
      </c>
      <c r="R932">
        <v>1</v>
      </c>
      <c r="S932" t="s">
        <v>40</v>
      </c>
      <c r="T932">
        <v>261</v>
      </c>
      <c r="U932">
        <v>147664</v>
      </c>
      <c r="V932">
        <v>48</v>
      </c>
      <c r="W932" t="s">
        <v>40</v>
      </c>
      <c r="X932">
        <v>261</v>
      </c>
      <c r="Y932" t="s">
        <v>377</v>
      </c>
      <c r="Z932" t="s">
        <v>378</v>
      </c>
      <c r="AA932" t="s">
        <v>384</v>
      </c>
      <c r="AB932" t="s">
        <v>384</v>
      </c>
      <c r="AC932" t="s">
        <v>41</v>
      </c>
      <c r="AD932" t="s">
        <v>41</v>
      </c>
      <c r="AE932" t="s">
        <v>41</v>
      </c>
      <c r="AF932" t="s">
        <v>41</v>
      </c>
      <c r="AI932">
        <v>134906</v>
      </c>
      <c r="AJ932">
        <v>1</v>
      </c>
      <c r="AK932" t="s">
        <v>40</v>
      </c>
      <c r="AL932">
        <v>261</v>
      </c>
    </row>
    <row r="933" spans="1:38" x14ac:dyDescent="0.25">
      <c r="A933" t="s">
        <v>37</v>
      </c>
      <c r="B933">
        <v>45992.999432870369</v>
      </c>
      <c r="C933">
        <v>90733</v>
      </c>
      <c r="D933" t="s">
        <v>745</v>
      </c>
      <c r="E933">
        <v>4505030</v>
      </c>
      <c r="F933">
        <v>2304174</v>
      </c>
      <c r="G933" t="s">
        <v>1235</v>
      </c>
      <c r="H933" t="s">
        <v>1241</v>
      </c>
      <c r="I933">
        <v>7.5</v>
      </c>
      <c r="J933" t="b">
        <v>1</v>
      </c>
      <c r="K933">
        <v>0.46875</v>
      </c>
      <c r="L933">
        <v>2304175</v>
      </c>
      <c r="M933" t="s">
        <v>1236</v>
      </c>
      <c r="N933">
        <v>16</v>
      </c>
      <c r="O933">
        <v>16</v>
      </c>
      <c r="P933"/>
      <c r="Q933">
        <v>134906</v>
      </c>
      <c r="R933">
        <v>1</v>
      </c>
      <c r="S933" t="s">
        <v>40</v>
      </c>
      <c r="T933">
        <v>261</v>
      </c>
      <c r="U933">
        <v>147664</v>
      </c>
      <c r="V933">
        <v>24</v>
      </c>
      <c r="W933" t="s">
        <v>40</v>
      </c>
      <c r="X933">
        <v>261</v>
      </c>
      <c r="Y933" t="s">
        <v>377</v>
      </c>
      <c r="Z933" t="s">
        <v>378</v>
      </c>
      <c r="AA933" t="s">
        <v>379</v>
      </c>
      <c r="AB933" t="s">
        <v>1264</v>
      </c>
      <c r="AC933" t="s">
        <v>41</v>
      </c>
      <c r="AD933" t="s">
        <v>41</v>
      </c>
      <c r="AE933" t="s">
        <v>41</v>
      </c>
      <c r="AF933" t="s">
        <v>41</v>
      </c>
      <c r="AK933"/>
    </row>
    <row r="934" spans="1:38" x14ac:dyDescent="0.25">
      <c r="A934" t="s">
        <v>39</v>
      </c>
      <c r="B934">
        <v>45993.035949074074</v>
      </c>
      <c r="C934">
        <v>89149</v>
      </c>
      <c r="D934" t="s">
        <v>745</v>
      </c>
      <c r="E934">
        <v>4504651</v>
      </c>
      <c r="F934">
        <v>105472</v>
      </c>
      <c r="G934" t="s">
        <v>1055</v>
      </c>
      <c r="H934" t="s">
        <v>1272</v>
      </c>
      <c r="I934">
        <v>10</v>
      </c>
      <c r="J934" t="b">
        <v>0</v>
      </c>
      <c r="K934">
        <v>0.83333333333333337</v>
      </c>
      <c r="L934">
        <v>2106246</v>
      </c>
      <c r="M934" t="s">
        <v>1056</v>
      </c>
      <c r="N934">
        <v>12</v>
      </c>
      <c r="O934">
        <v>12</v>
      </c>
      <c r="P934"/>
      <c r="Q934">
        <v>134971</v>
      </c>
      <c r="R934">
        <v>2</v>
      </c>
      <c r="S934" t="s">
        <v>40</v>
      </c>
      <c r="T934">
        <v>261</v>
      </c>
      <c r="U934">
        <v>147664</v>
      </c>
      <c r="V934">
        <v>48</v>
      </c>
      <c r="W934" t="s">
        <v>40</v>
      </c>
      <c r="X934">
        <v>261</v>
      </c>
      <c r="Y934" t="s">
        <v>377</v>
      </c>
      <c r="Z934" t="s">
        <v>378</v>
      </c>
      <c r="AA934" t="s">
        <v>379</v>
      </c>
      <c r="AB934" t="s">
        <v>400</v>
      </c>
      <c r="AC934" t="s">
        <v>379</v>
      </c>
      <c r="AD934" t="s">
        <v>384</v>
      </c>
      <c r="AE934" t="s">
        <v>41</v>
      </c>
      <c r="AF934" t="s">
        <v>41</v>
      </c>
      <c r="AK934"/>
    </row>
    <row r="935" spans="1:38" x14ac:dyDescent="0.25">
      <c r="A935" t="s">
        <v>38</v>
      </c>
      <c r="B935">
        <v>45993.118923611109</v>
      </c>
      <c r="C935">
        <v>91204</v>
      </c>
      <c r="D935" t="s">
        <v>745</v>
      </c>
      <c r="E935">
        <v>4501452</v>
      </c>
      <c r="F935">
        <v>120138</v>
      </c>
      <c r="G935" t="s">
        <v>911</v>
      </c>
      <c r="H935" t="s">
        <v>1285</v>
      </c>
      <c r="I935">
        <v>14</v>
      </c>
      <c r="J935" t="b">
        <v>1</v>
      </c>
      <c r="K935">
        <v>1.75</v>
      </c>
      <c r="L935">
        <v>120139</v>
      </c>
      <c r="M935" t="s">
        <v>1092</v>
      </c>
      <c r="N935">
        <v>8</v>
      </c>
      <c r="O935">
        <v>8</v>
      </c>
      <c r="P935"/>
      <c r="Q935">
        <v>134906</v>
      </c>
      <c r="R935">
        <v>1</v>
      </c>
      <c r="S935" t="s">
        <v>40</v>
      </c>
      <c r="T935">
        <v>261</v>
      </c>
      <c r="U935">
        <v>147664</v>
      </c>
      <c r="V935">
        <v>48</v>
      </c>
      <c r="W935" t="s">
        <v>40</v>
      </c>
      <c r="X935">
        <v>261</v>
      </c>
      <c r="Y935" t="s">
        <v>377</v>
      </c>
      <c r="Z935" t="s">
        <v>378</v>
      </c>
      <c r="AA935" t="s">
        <v>384</v>
      </c>
      <c r="AB935" t="s">
        <v>384</v>
      </c>
      <c r="AC935" t="s">
        <v>41</v>
      </c>
      <c r="AD935" t="s">
        <v>41</v>
      </c>
      <c r="AE935" t="s">
        <v>41</v>
      </c>
      <c r="AF935" t="s">
        <v>41</v>
      </c>
      <c r="AI935">
        <v>155687</v>
      </c>
      <c r="AJ935">
        <v>1</v>
      </c>
      <c r="AK935" t="s">
        <v>40</v>
      </c>
      <c r="AL935">
        <v>261</v>
      </c>
    </row>
    <row r="936" spans="1:38" x14ac:dyDescent="0.25">
      <c r="A936" t="s">
        <v>37</v>
      </c>
      <c r="B936">
        <v>45993.510844907411</v>
      </c>
      <c r="C936">
        <v>90735</v>
      </c>
      <c r="D936" t="s">
        <v>393</v>
      </c>
      <c r="E936">
        <v>4505031</v>
      </c>
      <c r="F936">
        <v>2304174</v>
      </c>
      <c r="G936" t="s">
        <v>1235</v>
      </c>
      <c r="H936" t="s">
        <v>1224</v>
      </c>
      <c r="I936">
        <v>7.5</v>
      </c>
      <c r="J936" t="b">
        <v>1</v>
      </c>
      <c r="K936">
        <v>1.25</v>
      </c>
      <c r="L936">
        <v>2304175</v>
      </c>
      <c r="M936" t="s">
        <v>1236</v>
      </c>
      <c r="N936">
        <v>6</v>
      </c>
      <c r="O936">
        <v>6</v>
      </c>
      <c r="P936"/>
      <c r="Q936">
        <v>134906</v>
      </c>
      <c r="R936">
        <v>1</v>
      </c>
      <c r="S936" t="s">
        <v>40</v>
      </c>
      <c r="T936">
        <v>261</v>
      </c>
      <c r="U936">
        <v>147664</v>
      </c>
      <c r="V936">
        <v>24</v>
      </c>
      <c r="W936" t="s">
        <v>40</v>
      </c>
      <c r="X936">
        <v>261</v>
      </c>
      <c r="Y936" t="s">
        <v>377</v>
      </c>
      <c r="Z936" t="s">
        <v>378</v>
      </c>
      <c r="AA936" t="s">
        <v>379</v>
      </c>
      <c r="AB936" t="s">
        <v>703</v>
      </c>
      <c r="AC936" t="s">
        <v>41</v>
      </c>
      <c r="AD936" t="s">
        <v>41</v>
      </c>
      <c r="AE936" t="s">
        <v>41</v>
      </c>
      <c r="AF936" t="s">
        <v>41</v>
      </c>
      <c r="AK936"/>
    </row>
    <row r="937" spans="1:38" x14ac:dyDescent="0.25">
      <c r="A937" t="s">
        <v>37</v>
      </c>
      <c r="B937">
        <v>45993.512523148151</v>
      </c>
      <c r="C937">
        <v>90735</v>
      </c>
      <c r="D937" t="s">
        <v>393</v>
      </c>
      <c r="E937">
        <v>4505032</v>
      </c>
      <c r="F937">
        <v>2304174</v>
      </c>
      <c r="G937" t="s">
        <v>1235</v>
      </c>
      <c r="H937" t="s">
        <v>1224</v>
      </c>
      <c r="I937">
        <v>7.5</v>
      </c>
      <c r="J937" t="b">
        <v>1</v>
      </c>
      <c r="K937">
        <v>0.625</v>
      </c>
      <c r="L937">
        <v>2304175</v>
      </c>
      <c r="M937" t="s">
        <v>1236</v>
      </c>
      <c r="N937">
        <v>12</v>
      </c>
      <c r="O937">
        <v>12</v>
      </c>
      <c r="P937"/>
      <c r="Q937">
        <v>134906</v>
      </c>
      <c r="R937">
        <v>1</v>
      </c>
      <c r="S937" t="s">
        <v>40</v>
      </c>
      <c r="T937">
        <v>261</v>
      </c>
      <c r="U937">
        <v>147664</v>
      </c>
      <c r="V937">
        <v>24</v>
      </c>
      <c r="W937" t="s">
        <v>40</v>
      </c>
      <c r="X937">
        <v>261</v>
      </c>
      <c r="Y937" t="s">
        <v>377</v>
      </c>
      <c r="Z937" t="s">
        <v>378</v>
      </c>
      <c r="AA937" t="s">
        <v>379</v>
      </c>
      <c r="AB937" t="s">
        <v>409</v>
      </c>
      <c r="AC937" t="s">
        <v>41</v>
      </c>
      <c r="AD937" t="s">
        <v>41</v>
      </c>
      <c r="AE937" t="s">
        <v>41</v>
      </c>
      <c r="AF937" t="s">
        <v>41</v>
      </c>
      <c r="AK937"/>
    </row>
    <row r="938" spans="1:38" x14ac:dyDescent="0.25">
      <c r="A938" t="s">
        <v>43</v>
      </c>
      <c r="B938">
        <v>45993.640393518515</v>
      </c>
      <c r="C938">
        <v>91994</v>
      </c>
      <c r="D938" t="s">
        <v>393</v>
      </c>
      <c r="E938">
        <v>4495201</v>
      </c>
      <c r="F938">
        <v>129839</v>
      </c>
      <c r="G938" t="s">
        <v>1266</v>
      </c>
      <c r="H938" t="s">
        <v>1286</v>
      </c>
      <c r="I938">
        <v>10</v>
      </c>
      <c r="J938" t="b">
        <v>1</v>
      </c>
      <c r="K938">
        <v>1.25</v>
      </c>
      <c r="L938">
        <v>129840</v>
      </c>
      <c r="M938" t="s">
        <v>1267</v>
      </c>
      <c r="N938">
        <v>8</v>
      </c>
      <c r="O938">
        <v>8</v>
      </c>
      <c r="P938"/>
      <c r="Q938">
        <v>134905</v>
      </c>
      <c r="R938">
        <v>1</v>
      </c>
      <c r="S938" t="s">
        <v>40</v>
      </c>
      <c r="T938">
        <v>261</v>
      </c>
      <c r="U938">
        <v>147664</v>
      </c>
      <c r="V938">
        <v>48</v>
      </c>
      <c r="W938" t="s">
        <v>40</v>
      </c>
      <c r="X938">
        <v>261</v>
      </c>
      <c r="Y938" t="s">
        <v>377</v>
      </c>
      <c r="Z938" t="s">
        <v>378</v>
      </c>
      <c r="AA938" t="s">
        <v>384</v>
      </c>
      <c r="AB938" t="s">
        <v>384</v>
      </c>
      <c r="AC938" t="s">
        <v>41</v>
      </c>
      <c r="AD938" t="s">
        <v>41</v>
      </c>
      <c r="AE938" t="s">
        <v>41</v>
      </c>
      <c r="AF938" t="s">
        <v>41</v>
      </c>
      <c r="AI938">
        <v>134905</v>
      </c>
      <c r="AJ938">
        <v>1</v>
      </c>
      <c r="AK938" t="s">
        <v>40</v>
      </c>
      <c r="AL938">
        <v>261</v>
      </c>
    </row>
    <row r="939" spans="1:38" x14ac:dyDescent="0.25">
      <c r="A939" t="s">
        <v>42</v>
      </c>
      <c r="B939">
        <v>45993.698807870373</v>
      </c>
      <c r="C939">
        <v>92067</v>
      </c>
      <c r="D939" t="s">
        <v>393</v>
      </c>
      <c r="E939">
        <v>4504215</v>
      </c>
      <c r="F939">
        <v>2105127</v>
      </c>
      <c r="G939" t="s">
        <v>946</v>
      </c>
      <c r="H939" t="s">
        <v>1210</v>
      </c>
      <c r="I939">
        <v>10</v>
      </c>
      <c r="J939" t="b">
        <v>1</v>
      </c>
      <c r="K939">
        <v>4.2372881355932202E-2</v>
      </c>
      <c r="L939">
        <v>2116857</v>
      </c>
      <c r="M939" t="s">
        <v>947</v>
      </c>
      <c r="N939">
        <v>236</v>
      </c>
      <c r="O939">
        <v>236</v>
      </c>
      <c r="P939"/>
      <c r="Q939">
        <v>134976</v>
      </c>
      <c r="R939">
        <v>1</v>
      </c>
      <c r="S939" t="s">
        <v>40</v>
      </c>
      <c r="T939">
        <v>261</v>
      </c>
      <c r="V939">
        <v>0</v>
      </c>
      <c r="W939"/>
      <c r="Y939" t="s">
        <v>377</v>
      </c>
      <c r="Z939" t="s">
        <v>378</v>
      </c>
      <c r="AA939" t="s">
        <v>384</v>
      </c>
      <c r="AB939" t="s">
        <v>772</v>
      </c>
      <c r="AC939" t="s">
        <v>41</v>
      </c>
      <c r="AD939" t="s">
        <v>41</v>
      </c>
      <c r="AE939" t="s">
        <v>41</v>
      </c>
      <c r="AF939" t="s">
        <v>41</v>
      </c>
      <c r="AI939">
        <v>134976</v>
      </c>
      <c r="AJ939">
        <v>1</v>
      </c>
      <c r="AK939" t="s">
        <v>40</v>
      </c>
      <c r="AL939">
        <v>261</v>
      </c>
    </row>
    <row r="940" spans="1:38" x14ac:dyDescent="0.25">
      <c r="A940" t="s">
        <v>39</v>
      </c>
      <c r="B940">
        <v>45993.974502314813</v>
      </c>
      <c r="C940">
        <v>89151</v>
      </c>
      <c r="D940" t="s">
        <v>843</v>
      </c>
      <c r="E940">
        <v>4504652</v>
      </c>
      <c r="F940">
        <v>105472</v>
      </c>
      <c r="G940" t="s">
        <v>1055</v>
      </c>
      <c r="H940" t="s">
        <v>1275</v>
      </c>
      <c r="I940">
        <v>10</v>
      </c>
      <c r="J940" t="b">
        <v>1</v>
      </c>
      <c r="K940">
        <v>0.83333333333333337</v>
      </c>
      <c r="L940">
        <v>2106246</v>
      </c>
      <c r="M940" t="s">
        <v>1056</v>
      </c>
      <c r="N940">
        <v>12</v>
      </c>
      <c r="O940">
        <v>12</v>
      </c>
      <c r="P940"/>
      <c r="Q940">
        <v>134971</v>
      </c>
      <c r="R940">
        <v>2</v>
      </c>
      <c r="S940" t="s">
        <v>40</v>
      </c>
      <c r="T940">
        <v>261</v>
      </c>
      <c r="U940">
        <v>147664</v>
      </c>
      <c r="V940">
        <v>48</v>
      </c>
      <c r="W940" t="s">
        <v>40</v>
      </c>
      <c r="X940">
        <v>261</v>
      </c>
      <c r="Y940" t="s">
        <v>377</v>
      </c>
      <c r="Z940" t="s">
        <v>378</v>
      </c>
      <c r="AA940" t="s">
        <v>379</v>
      </c>
      <c r="AB940" t="s">
        <v>384</v>
      </c>
      <c r="AC940" t="s">
        <v>379</v>
      </c>
      <c r="AD940" t="s">
        <v>400</v>
      </c>
      <c r="AE940" t="s">
        <v>41</v>
      </c>
      <c r="AF940" t="s">
        <v>41</v>
      </c>
      <c r="AK940"/>
    </row>
    <row r="941" spans="1:38" x14ac:dyDescent="0.25">
      <c r="A941" t="s">
        <v>37</v>
      </c>
      <c r="B941">
        <v>45994.138020833336</v>
      </c>
      <c r="C941">
        <v>92069</v>
      </c>
      <c r="D941" t="s">
        <v>843</v>
      </c>
      <c r="E941">
        <v>4504215</v>
      </c>
      <c r="F941">
        <v>2105127</v>
      </c>
      <c r="G941" t="s">
        <v>946</v>
      </c>
      <c r="H941" t="s">
        <v>1210</v>
      </c>
      <c r="I941">
        <v>10</v>
      </c>
      <c r="J941" t="b">
        <v>1</v>
      </c>
      <c r="K941">
        <v>5.8479532163742687E-2</v>
      </c>
      <c r="L941">
        <v>2116857</v>
      </c>
      <c r="M941" t="s">
        <v>947</v>
      </c>
      <c r="N941">
        <v>171</v>
      </c>
      <c r="O941">
        <v>171</v>
      </c>
      <c r="P941"/>
      <c r="Q941">
        <v>134976</v>
      </c>
      <c r="R941">
        <v>1</v>
      </c>
      <c r="S941" t="s">
        <v>40</v>
      </c>
      <c r="T941">
        <v>261</v>
      </c>
      <c r="W941"/>
      <c r="Y941" t="s">
        <v>377</v>
      </c>
      <c r="Z941" t="s">
        <v>378</v>
      </c>
      <c r="AA941" t="s">
        <v>379</v>
      </c>
      <c r="AB941" t="s">
        <v>1155</v>
      </c>
      <c r="AC941" t="s">
        <v>41</v>
      </c>
      <c r="AD941" t="s">
        <v>41</v>
      </c>
      <c r="AE941" t="s">
        <v>41</v>
      </c>
      <c r="AF941" t="s">
        <v>41</v>
      </c>
      <c r="AK941"/>
    </row>
    <row r="942" spans="1:38" x14ac:dyDescent="0.25">
      <c r="A942" t="s">
        <v>42</v>
      </c>
      <c r="B942">
        <v>45994.164780092593</v>
      </c>
      <c r="C942">
        <v>90736</v>
      </c>
      <c r="D942" t="s">
        <v>843</v>
      </c>
      <c r="E942">
        <v>4505034</v>
      </c>
      <c r="F942">
        <v>2304174</v>
      </c>
      <c r="G942" t="s">
        <v>1235</v>
      </c>
      <c r="H942" t="s">
        <v>1246</v>
      </c>
      <c r="I942">
        <v>7.5</v>
      </c>
      <c r="J942" t="b">
        <v>1</v>
      </c>
      <c r="K942">
        <v>0.625</v>
      </c>
      <c r="L942">
        <v>2304175</v>
      </c>
      <c r="M942" t="s">
        <v>1236</v>
      </c>
      <c r="N942">
        <v>12</v>
      </c>
      <c r="O942">
        <v>16</v>
      </c>
      <c r="P942"/>
      <c r="Q942">
        <v>134905</v>
      </c>
      <c r="R942">
        <v>1</v>
      </c>
      <c r="S942" t="s">
        <v>40</v>
      </c>
      <c r="T942">
        <v>261</v>
      </c>
      <c r="U942">
        <v>147664</v>
      </c>
      <c r="V942">
        <v>24</v>
      </c>
      <c r="W942" t="s">
        <v>40</v>
      </c>
      <c r="X942">
        <v>261</v>
      </c>
      <c r="Y942" t="s">
        <v>377</v>
      </c>
      <c r="Z942" t="s">
        <v>378</v>
      </c>
      <c r="AA942" t="s">
        <v>379</v>
      </c>
      <c r="AB942" t="s">
        <v>409</v>
      </c>
      <c r="AC942" t="s">
        <v>41</v>
      </c>
      <c r="AD942" t="s">
        <v>41</v>
      </c>
      <c r="AE942" t="s">
        <v>41</v>
      </c>
      <c r="AF942" t="s">
        <v>41</v>
      </c>
      <c r="AK942"/>
    </row>
    <row r="943" spans="1:38" x14ac:dyDescent="0.25">
      <c r="A943" t="s">
        <v>42</v>
      </c>
      <c r="B943">
        <v>45994.165821759256</v>
      </c>
      <c r="C943">
        <v>90736</v>
      </c>
      <c r="D943" t="s">
        <v>843</v>
      </c>
      <c r="E943">
        <v>4505033</v>
      </c>
      <c r="F943">
        <v>2304174</v>
      </c>
      <c r="G943" t="s">
        <v>1235</v>
      </c>
      <c r="H943" t="s">
        <v>1246</v>
      </c>
      <c r="I943">
        <v>7.5</v>
      </c>
      <c r="J943" t="b">
        <v>1</v>
      </c>
      <c r="K943">
        <v>1.875</v>
      </c>
      <c r="L943">
        <v>2304175</v>
      </c>
      <c r="M943" t="s">
        <v>1236</v>
      </c>
      <c r="N943">
        <v>4</v>
      </c>
      <c r="O943">
        <v>4</v>
      </c>
      <c r="P943"/>
      <c r="Q943">
        <v>134905</v>
      </c>
      <c r="R943">
        <v>1</v>
      </c>
      <c r="S943" t="s">
        <v>40</v>
      </c>
      <c r="T943">
        <v>261</v>
      </c>
      <c r="U943">
        <v>147664</v>
      </c>
      <c r="V943">
        <v>24</v>
      </c>
      <c r="W943" t="s">
        <v>40</v>
      </c>
      <c r="X943">
        <v>261</v>
      </c>
      <c r="Y943" t="s">
        <v>377</v>
      </c>
      <c r="Z943" t="s">
        <v>378</v>
      </c>
      <c r="AA943" t="s">
        <v>379</v>
      </c>
      <c r="AB943" t="s">
        <v>384</v>
      </c>
      <c r="AC943" t="s">
        <v>41</v>
      </c>
      <c r="AD943" t="s">
        <v>41</v>
      </c>
      <c r="AE943" t="s">
        <v>41</v>
      </c>
      <c r="AF943" t="s">
        <v>41</v>
      </c>
      <c r="AK943"/>
    </row>
    <row r="944" spans="1:38" x14ac:dyDescent="0.25">
      <c r="A944" t="s">
        <v>38</v>
      </c>
      <c r="B944">
        <v>45994.222546296296</v>
      </c>
      <c r="C944">
        <v>91996</v>
      </c>
      <c r="D944" t="s">
        <v>843</v>
      </c>
      <c r="E944">
        <v>4495200</v>
      </c>
      <c r="F944">
        <v>129839</v>
      </c>
      <c r="G944" t="s">
        <v>1266</v>
      </c>
      <c r="H944" t="s">
        <v>1287</v>
      </c>
      <c r="I944">
        <v>10</v>
      </c>
      <c r="J944" t="b">
        <v>1</v>
      </c>
      <c r="K944">
        <v>1.25</v>
      </c>
      <c r="L944">
        <v>129840</v>
      </c>
      <c r="M944" t="s">
        <v>1267</v>
      </c>
      <c r="N944">
        <v>8</v>
      </c>
      <c r="O944">
        <v>8</v>
      </c>
      <c r="P944"/>
      <c r="Q944">
        <v>134906</v>
      </c>
      <c r="R944">
        <v>1</v>
      </c>
      <c r="S944" t="s">
        <v>40</v>
      </c>
      <c r="T944">
        <v>261</v>
      </c>
      <c r="U944">
        <v>147664</v>
      </c>
      <c r="V944">
        <v>48</v>
      </c>
      <c r="W944" t="s">
        <v>40</v>
      </c>
      <c r="X944">
        <v>261</v>
      </c>
      <c r="Y944" t="s">
        <v>377</v>
      </c>
      <c r="Z944" t="s">
        <v>378</v>
      </c>
      <c r="AA944" t="s">
        <v>384</v>
      </c>
      <c r="AB944" t="s">
        <v>384</v>
      </c>
      <c r="AC944" t="s">
        <v>41</v>
      </c>
      <c r="AD944" t="s">
        <v>41</v>
      </c>
      <c r="AE944" t="s">
        <v>41</v>
      </c>
      <c r="AF944" t="s">
        <v>41</v>
      </c>
      <c r="AI944">
        <v>134905</v>
      </c>
      <c r="AJ944">
        <v>1</v>
      </c>
      <c r="AK944" t="s">
        <v>40</v>
      </c>
      <c r="AL944">
        <v>261</v>
      </c>
    </row>
    <row r="945" spans="1:38" x14ac:dyDescent="0.25">
      <c r="A945" t="s">
        <v>47</v>
      </c>
      <c r="B945">
        <v>45994.609131944446</v>
      </c>
      <c r="C945">
        <v>92573</v>
      </c>
      <c r="D945" t="s">
        <v>373</v>
      </c>
      <c r="E945">
        <v>4497445</v>
      </c>
      <c r="F945">
        <v>2310135</v>
      </c>
      <c r="G945" t="s">
        <v>1052</v>
      </c>
      <c r="H945" t="s">
        <v>1288</v>
      </c>
      <c r="I945">
        <v>64.3</v>
      </c>
      <c r="J945" t="b">
        <v>1</v>
      </c>
      <c r="K945">
        <v>0.1583743842364532</v>
      </c>
      <c r="L945">
        <v>2310136</v>
      </c>
      <c r="M945" t="s">
        <v>1053</v>
      </c>
      <c r="N945">
        <v>406</v>
      </c>
      <c r="O945">
        <v>406</v>
      </c>
      <c r="P945"/>
      <c r="Q945">
        <v>134974</v>
      </c>
      <c r="R945">
        <v>1</v>
      </c>
      <c r="S945" t="s">
        <v>40</v>
      </c>
      <c r="T945">
        <v>261</v>
      </c>
      <c r="W945"/>
      <c r="Y945" t="s">
        <v>377</v>
      </c>
      <c r="Z945" t="s">
        <v>378</v>
      </c>
      <c r="AA945" t="s">
        <v>379</v>
      </c>
      <c r="AB945" t="s">
        <v>805</v>
      </c>
      <c r="AC945" t="s">
        <v>41</v>
      </c>
      <c r="AD945" t="s">
        <v>41</v>
      </c>
      <c r="AE945" t="s">
        <v>41</v>
      </c>
      <c r="AF945" t="s">
        <v>41</v>
      </c>
      <c r="AK945"/>
    </row>
    <row r="946" spans="1:38" x14ac:dyDescent="0.25">
      <c r="A946" t="s">
        <v>44</v>
      </c>
      <c r="B946">
        <v>45994.64135416667</v>
      </c>
      <c r="C946">
        <v>90448</v>
      </c>
      <c r="D946" t="s">
        <v>373</v>
      </c>
      <c r="E946">
        <v>4503245</v>
      </c>
      <c r="F946">
        <v>155446</v>
      </c>
      <c r="G946" t="s">
        <v>785</v>
      </c>
      <c r="H946" t="s">
        <v>1289</v>
      </c>
      <c r="I946">
        <v>7</v>
      </c>
      <c r="J946" t="b">
        <v>1</v>
      </c>
      <c r="K946">
        <v>2.3333333333333335</v>
      </c>
      <c r="L946">
        <v>155444</v>
      </c>
      <c r="M946" t="s">
        <v>786</v>
      </c>
      <c r="N946">
        <v>3</v>
      </c>
      <c r="O946">
        <v>3</v>
      </c>
      <c r="P946"/>
      <c r="Q946">
        <v>155687</v>
      </c>
      <c r="R946">
        <v>1</v>
      </c>
      <c r="S946" t="s">
        <v>40</v>
      </c>
      <c r="T946">
        <v>261</v>
      </c>
      <c r="U946">
        <v>147664</v>
      </c>
      <c r="V946">
        <v>24</v>
      </c>
      <c r="W946" t="s">
        <v>40</v>
      </c>
      <c r="X946">
        <v>261</v>
      </c>
      <c r="Y946" t="s">
        <v>377</v>
      </c>
      <c r="Z946" t="s">
        <v>378</v>
      </c>
      <c r="AA946" t="s">
        <v>379</v>
      </c>
      <c r="AB946" t="s">
        <v>622</v>
      </c>
      <c r="AC946" t="s">
        <v>41</v>
      </c>
      <c r="AD946" t="s">
        <v>41</v>
      </c>
      <c r="AE946" t="s">
        <v>41</v>
      </c>
      <c r="AF946" t="s">
        <v>41</v>
      </c>
      <c r="AK946"/>
    </row>
    <row r="947" spans="1:38" x14ac:dyDescent="0.25">
      <c r="A947" t="s">
        <v>44</v>
      </c>
      <c r="B947">
        <v>45994.641909722224</v>
      </c>
      <c r="C947">
        <v>90448</v>
      </c>
      <c r="D947" t="s">
        <v>373</v>
      </c>
      <c r="E947">
        <v>4503246</v>
      </c>
      <c r="F947">
        <v>155446</v>
      </c>
      <c r="G947" t="s">
        <v>785</v>
      </c>
      <c r="H947" t="s">
        <v>1289</v>
      </c>
      <c r="I947">
        <v>7</v>
      </c>
      <c r="J947" t="b">
        <v>1</v>
      </c>
      <c r="K947">
        <v>2.3333333333333335</v>
      </c>
      <c r="L947">
        <v>155444</v>
      </c>
      <c r="M947" t="s">
        <v>786</v>
      </c>
      <c r="N947">
        <v>3</v>
      </c>
      <c r="O947">
        <v>3</v>
      </c>
      <c r="P947"/>
      <c r="Q947">
        <v>155687</v>
      </c>
      <c r="R947">
        <v>1</v>
      </c>
      <c r="S947" t="s">
        <v>40</v>
      </c>
      <c r="T947">
        <v>261</v>
      </c>
      <c r="U947">
        <v>147664</v>
      </c>
      <c r="V947">
        <v>24</v>
      </c>
      <c r="W947" t="s">
        <v>40</v>
      </c>
      <c r="X947">
        <v>261</v>
      </c>
      <c r="Y947" t="s">
        <v>377</v>
      </c>
      <c r="Z947" t="s">
        <v>378</v>
      </c>
      <c r="AA947" t="s">
        <v>379</v>
      </c>
      <c r="AB947" t="s">
        <v>622</v>
      </c>
      <c r="AC947" t="s">
        <v>41</v>
      </c>
      <c r="AD947" t="s">
        <v>41</v>
      </c>
      <c r="AE947" t="s">
        <v>41</v>
      </c>
      <c r="AF947" t="s">
        <v>41</v>
      </c>
      <c r="AK947"/>
    </row>
    <row r="948" spans="1:38" x14ac:dyDescent="0.25">
      <c r="A948" t="s">
        <v>37</v>
      </c>
      <c r="B948">
        <v>45994.726574074077</v>
      </c>
      <c r="C948">
        <v>92070</v>
      </c>
      <c r="D948" t="s">
        <v>889</v>
      </c>
      <c r="E948">
        <v>4504197</v>
      </c>
      <c r="F948">
        <v>2105127</v>
      </c>
      <c r="G948" t="s">
        <v>946</v>
      </c>
      <c r="H948" t="s">
        <v>1201</v>
      </c>
      <c r="I948">
        <v>10</v>
      </c>
      <c r="J948" t="b">
        <v>1</v>
      </c>
      <c r="K948">
        <v>3.8167938931297711E-2</v>
      </c>
      <c r="L948">
        <v>2116857</v>
      </c>
      <c r="M948" t="s">
        <v>947</v>
      </c>
      <c r="N948">
        <v>262</v>
      </c>
      <c r="O948">
        <v>243</v>
      </c>
      <c r="P948"/>
      <c r="Q948">
        <v>134976</v>
      </c>
      <c r="R948">
        <v>1</v>
      </c>
      <c r="S948" t="s">
        <v>40</v>
      </c>
      <c r="T948">
        <v>261</v>
      </c>
      <c r="V948">
        <v>0</v>
      </c>
      <c r="W948"/>
      <c r="Y948" t="s">
        <v>377</v>
      </c>
      <c r="Z948" t="s">
        <v>378</v>
      </c>
      <c r="AA948" t="s">
        <v>379</v>
      </c>
      <c r="AB948" t="s">
        <v>486</v>
      </c>
      <c r="AC948" t="s">
        <v>379</v>
      </c>
      <c r="AD948" t="s">
        <v>1290</v>
      </c>
      <c r="AE948" t="s">
        <v>41</v>
      </c>
      <c r="AF948" t="s">
        <v>41</v>
      </c>
      <c r="AI948">
        <v>134976</v>
      </c>
      <c r="AJ948">
        <v>1</v>
      </c>
      <c r="AK948" t="s">
        <v>40</v>
      </c>
      <c r="AL948">
        <v>261</v>
      </c>
    </row>
    <row r="949" spans="1:38" x14ac:dyDescent="0.25">
      <c r="A949" t="s">
        <v>42</v>
      </c>
      <c r="B949">
        <v>45994.895324074074</v>
      </c>
      <c r="C949">
        <v>90737</v>
      </c>
      <c r="D949" t="s">
        <v>590</v>
      </c>
      <c r="E949">
        <v>4505035</v>
      </c>
      <c r="F949">
        <v>2304174</v>
      </c>
      <c r="G949" t="s">
        <v>1235</v>
      </c>
      <c r="H949" t="s">
        <v>1247</v>
      </c>
      <c r="I949">
        <v>7.5</v>
      </c>
      <c r="J949" t="b">
        <v>1</v>
      </c>
      <c r="K949">
        <v>1.875</v>
      </c>
      <c r="L949">
        <v>2304175</v>
      </c>
      <c r="M949" t="s">
        <v>1236</v>
      </c>
      <c r="N949">
        <v>4</v>
      </c>
      <c r="O949">
        <v>4</v>
      </c>
      <c r="P949"/>
      <c r="Q949">
        <v>134905</v>
      </c>
      <c r="R949">
        <v>1</v>
      </c>
      <c r="S949" t="s">
        <v>40</v>
      </c>
      <c r="T949">
        <v>261</v>
      </c>
      <c r="U949">
        <v>147664</v>
      </c>
      <c r="V949">
        <v>24</v>
      </c>
      <c r="W949" t="s">
        <v>40</v>
      </c>
      <c r="X949">
        <v>261</v>
      </c>
      <c r="Y949" t="s">
        <v>377</v>
      </c>
      <c r="Z949" t="s">
        <v>378</v>
      </c>
      <c r="AA949" t="s">
        <v>379</v>
      </c>
      <c r="AB949" t="s">
        <v>384</v>
      </c>
      <c r="AC949" t="s">
        <v>41</v>
      </c>
      <c r="AD949" t="s">
        <v>41</v>
      </c>
      <c r="AE949" t="s">
        <v>41</v>
      </c>
      <c r="AF949" t="s">
        <v>41</v>
      </c>
      <c r="AK949"/>
    </row>
    <row r="950" spans="1:38" x14ac:dyDescent="0.25">
      <c r="A950" t="s">
        <v>42</v>
      </c>
      <c r="B950">
        <v>45994.896307870367</v>
      </c>
      <c r="C950">
        <v>90737</v>
      </c>
      <c r="D950" t="s">
        <v>590</v>
      </c>
      <c r="E950">
        <v>4505036</v>
      </c>
      <c r="F950">
        <v>2304174</v>
      </c>
      <c r="G950" t="s">
        <v>1235</v>
      </c>
      <c r="H950" t="s">
        <v>1247</v>
      </c>
      <c r="I950">
        <v>7.5</v>
      </c>
      <c r="J950" t="b">
        <v>1</v>
      </c>
      <c r="K950">
        <v>0.625</v>
      </c>
      <c r="L950">
        <v>2304175</v>
      </c>
      <c r="M950" t="s">
        <v>1236</v>
      </c>
      <c r="N950">
        <v>12</v>
      </c>
      <c r="O950">
        <v>12</v>
      </c>
      <c r="P950"/>
      <c r="Q950">
        <v>134905</v>
      </c>
      <c r="R950">
        <v>1</v>
      </c>
      <c r="S950" t="s">
        <v>40</v>
      </c>
      <c r="T950">
        <v>261</v>
      </c>
      <c r="U950">
        <v>147664</v>
      </c>
      <c r="V950">
        <v>24</v>
      </c>
      <c r="W950" t="s">
        <v>40</v>
      </c>
      <c r="X950">
        <v>261</v>
      </c>
      <c r="Y950" t="s">
        <v>377</v>
      </c>
      <c r="Z950" t="s">
        <v>378</v>
      </c>
      <c r="AA950" t="s">
        <v>379</v>
      </c>
      <c r="AB950" t="s">
        <v>409</v>
      </c>
      <c r="AC950" t="s">
        <v>41</v>
      </c>
      <c r="AD950" t="s">
        <v>41</v>
      </c>
      <c r="AE950" t="s">
        <v>41</v>
      </c>
      <c r="AF950" t="s">
        <v>41</v>
      </c>
      <c r="AK950"/>
    </row>
    <row r="951" spans="1:38" x14ac:dyDescent="0.25">
      <c r="A951" t="s">
        <v>43</v>
      </c>
      <c r="B951">
        <v>45994.899837962963</v>
      </c>
      <c r="C951">
        <v>91997</v>
      </c>
      <c r="D951" t="s">
        <v>590</v>
      </c>
      <c r="E951">
        <v>4487637</v>
      </c>
      <c r="F951">
        <v>129839</v>
      </c>
      <c r="G951" t="s">
        <v>1266</v>
      </c>
      <c r="H951" t="s">
        <v>1239</v>
      </c>
      <c r="I951">
        <v>12</v>
      </c>
      <c r="J951" t="b">
        <v>1</v>
      </c>
      <c r="K951">
        <v>1.5</v>
      </c>
      <c r="L951">
        <v>129840</v>
      </c>
      <c r="M951" t="s">
        <v>1267</v>
      </c>
      <c r="N951">
        <v>8</v>
      </c>
      <c r="O951">
        <v>8</v>
      </c>
      <c r="P951" t="s">
        <v>1291</v>
      </c>
      <c r="Q951">
        <v>134905</v>
      </c>
      <c r="R951">
        <v>2</v>
      </c>
      <c r="S951" t="s">
        <v>40</v>
      </c>
      <c r="T951">
        <v>261</v>
      </c>
      <c r="U951">
        <v>147664</v>
      </c>
      <c r="V951">
        <v>48</v>
      </c>
      <c r="W951" t="s">
        <v>40</v>
      </c>
      <c r="X951">
        <v>261</v>
      </c>
      <c r="Y951" t="s">
        <v>377</v>
      </c>
      <c r="Z951" t="s">
        <v>378</v>
      </c>
      <c r="AA951" t="s">
        <v>384</v>
      </c>
      <c r="AB951" t="s">
        <v>384</v>
      </c>
      <c r="AC951" t="s">
        <v>41</v>
      </c>
      <c r="AD951" t="s">
        <v>41</v>
      </c>
      <c r="AE951" t="s">
        <v>41</v>
      </c>
      <c r="AF951" t="s">
        <v>41</v>
      </c>
      <c r="AK951"/>
    </row>
    <row r="952" spans="1:38" x14ac:dyDescent="0.25">
      <c r="A952" t="s">
        <v>38</v>
      </c>
      <c r="B952">
        <v>45995.214363425926</v>
      </c>
      <c r="C952">
        <v>89152</v>
      </c>
      <c r="D952" t="s">
        <v>590</v>
      </c>
      <c r="E952">
        <v>4505372</v>
      </c>
      <c r="F952">
        <v>2104856</v>
      </c>
      <c r="G952" t="s">
        <v>1115</v>
      </c>
      <c r="H952" t="s">
        <v>1292</v>
      </c>
      <c r="I952">
        <v>10</v>
      </c>
      <c r="J952" t="b">
        <v>1</v>
      </c>
      <c r="K952">
        <v>2.5</v>
      </c>
      <c r="L952">
        <v>2106174</v>
      </c>
      <c r="M952" t="s">
        <v>1116</v>
      </c>
      <c r="N952">
        <v>4</v>
      </c>
      <c r="O952">
        <v>4</v>
      </c>
      <c r="P952"/>
      <c r="Q952">
        <v>134905</v>
      </c>
      <c r="R952">
        <v>1</v>
      </c>
      <c r="S952" t="s">
        <v>40</v>
      </c>
      <c r="T952">
        <v>261</v>
      </c>
      <c r="U952">
        <v>147664</v>
      </c>
      <c r="V952">
        <v>24</v>
      </c>
      <c r="W952" t="s">
        <v>40</v>
      </c>
      <c r="X952">
        <v>261</v>
      </c>
      <c r="Y952" t="s">
        <v>377</v>
      </c>
      <c r="Z952" t="s">
        <v>378</v>
      </c>
      <c r="AA952" t="s">
        <v>379</v>
      </c>
      <c r="AB952" t="s">
        <v>384</v>
      </c>
      <c r="AC952" t="s">
        <v>41</v>
      </c>
      <c r="AD952" t="s">
        <v>41</v>
      </c>
      <c r="AE952" t="s">
        <v>41</v>
      </c>
      <c r="AF952" t="s">
        <v>41</v>
      </c>
      <c r="AK952"/>
    </row>
    <row r="953" spans="1:38" x14ac:dyDescent="0.25">
      <c r="A953" t="s">
        <v>38</v>
      </c>
      <c r="B953">
        <v>45995.215798611112</v>
      </c>
      <c r="C953">
        <v>89152</v>
      </c>
      <c r="D953" t="s">
        <v>590</v>
      </c>
      <c r="E953">
        <v>4505371</v>
      </c>
      <c r="F953">
        <v>2104856</v>
      </c>
      <c r="G953" t="s">
        <v>1115</v>
      </c>
      <c r="H953" t="s">
        <v>1292</v>
      </c>
      <c r="I953">
        <v>10</v>
      </c>
      <c r="J953" t="b">
        <v>1</v>
      </c>
      <c r="K953">
        <v>1.25</v>
      </c>
      <c r="L953">
        <v>2106174</v>
      </c>
      <c r="M953" t="s">
        <v>1116</v>
      </c>
      <c r="N953">
        <v>8</v>
      </c>
      <c r="O953">
        <v>8</v>
      </c>
      <c r="P953"/>
      <c r="Q953">
        <v>134905</v>
      </c>
      <c r="R953">
        <v>1</v>
      </c>
      <c r="S953" t="s">
        <v>40</v>
      </c>
      <c r="T953">
        <v>261</v>
      </c>
      <c r="U953">
        <v>147664</v>
      </c>
      <c r="V953">
        <v>24</v>
      </c>
      <c r="W953" t="s">
        <v>40</v>
      </c>
      <c r="X953">
        <v>261</v>
      </c>
      <c r="Y953" t="s">
        <v>377</v>
      </c>
      <c r="Z953" t="s">
        <v>378</v>
      </c>
      <c r="AA953" t="s">
        <v>379</v>
      </c>
      <c r="AB953" t="s">
        <v>400</v>
      </c>
      <c r="AC953" t="s">
        <v>41</v>
      </c>
      <c r="AD953" t="s">
        <v>41</v>
      </c>
      <c r="AE953" t="s">
        <v>41</v>
      </c>
      <c r="AF953" t="s">
        <v>41</v>
      </c>
      <c r="AK953"/>
    </row>
    <row r="954" spans="1:38" x14ac:dyDescent="0.25">
      <c r="A954" t="s">
        <v>47</v>
      </c>
      <c r="B954">
        <v>45995.34951388889</v>
      </c>
      <c r="C954">
        <v>92071</v>
      </c>
      <c r="D954" t="s">
        <v>889</v>
      </c>
      <c r="E954">
        <v>4504197</v>
      </c>
      <c r="F954">
        <v>2105127</v>
      </c>
      <c r="G954" t="s">
        <v>946</v>
      </c>
      <c r="H954" t="s">
        <v>1201</v>
      </c>
      <c r="I954">
        <v>10</v>
      </c>
      <c r="J954" t="b">
        <v>1</v>
      </c>
      <c r="K954">
        <v>5.9880239520958084E-2</v>
      </c>
      <c r="L954">
        <v>2116857</v>
      </c>
      <c r="M954" t="s">
        <v>947</v>
      </c>
      <c r="N954">
        <v>167</v>
      </c>
      <c r="O954">
        <v>162</v>
      </c>
      <c r="P954"/>
      <c r="Q954">
        <v>134976</v>
      </c>
      <c r="R954">
        <v>1</v>
      </c>
      <c r="S954" t="s">
        <v>40</v>
      </c>
      <c r="T954">
        <v>261</v>
      </c>
      <c r="V954">
        <v>0</v>
      </c>
      <c r="W954"/>
      <c r="Y954" t="s">
        <v>377</v>
      </c>
      <c r="Z954" t="s">
        <v>378</v>
      </c>
      <c r="AA954" t="s">
        <v>379</v>
      </c>
      <c r="AB954" t="s">
        <v>576</v>
      </c>
      <c r="AC954" t="s">
        <v>379</v>
      </c>
      <c r="AD954" t="s">
        <v>983</v>
      </c>
      <c r="AE954" t="s">
        <v>41</v>
      </c>
      <c r="AF954" t="s">
        <v>41</v>
      </c>
      <c r="AI954">
        <v>134976</v>
      </c>
      <c r="AJ954">
        <v>1</v>
      </c>
      <c r="AK954" t="s">
        <v>40</v>
      </c>
      <c r="AL954">
        <v>261</v>
      </c>
    </row>
    <row r="955" spans="1:38" x14ac:dyDescent="0.25">
      <c r="A955" t="s">
        <v>42</v>
      </c>
      <c r="B955">
        <v>45995.402222222219</v>
      </c>
      <c r="C955">
        <v>91998</v>
      </c>
      <c r="D955" t="s">
        <v>373</v>
      </c>
      <c r="E955">
        <v>4487638</v>
      </c>
      <c r="F955">
        <v>129839</v>
      </c>
      <c r="G955" t="s">
        <v>1266</v>
      </c>
      <c r="H955" t="s">
        <v>1159</v>
      </c>
      <c r="I955">
        <v>10</v>
      </c>
      <c r="J955" t="b">
        <v>1</v>
      </c>
      <c r="K955">
        <v>1.25</v>
      </c>
      <c r="L955">
        <v>129840</v>
      </c>
      <c r="M955" t="s">
        <v>1267</v>
      </c>
      <c r="N955">
        <v>8</v>
      </c>
      <c r="O955">
        <v>8</v>
      </c>
      <c r="P955"/>
      <c r="Q955">
        <v>134905</v>
      </c>
      <c r="R955">
        <v>1</v>
      </c>
      <c r="S955" t="s">
        <v>40</v>
      </c>
      <c r="T955">
        <v>261</v>
      </c>
      <c r="U955">
        <v>147664</v>
      </c>
      <c r="V955">
        <v>48</v>
      </c>
      <c r="W955" t="s">
        <v>40</v>
      </c>
      <c r="X955">
        <v>261</v>
      </c>
      <c r="Y955" t="s">
        <v>377</v>
      </c>
      <c r="Z955" t="s">
        <v>378</v>
      </c>
      <c r="AA955" t="s">
        <v>384</v>
      </c>
      <c r="AB955" t="s">
        <v>384</v>
      </c>
      <c r="AC955" t="s">
        <v>41</v>
      </c>
      <c r="AD955" t="s">
        <v>41</v>
      </c>
      <c r="AE955" t="s">
        <v>41</v>
      </c>
      <c r="AF955" t="s">
        <v>41</v>
      </c>
      <c r="AI955">
        <v>134905</v>
      </c>
      <c r="AJ955">
        <v>1</v>
      </c>
      <c r="AK955" t="s">
        <v>40</v>
      </c>
      <c r="AL955">
        <v>261</v>
      </c>
    </row>
    <row r="956" spans="1:38" x14ac:dyDescent="0.25">
      <c r="A956" t="s">
        <v>37</v>
      </c>
      <c r="B956">
        <v>45995.438564814816</v>
      </c>
      <c r="C956">
        <v>90738</v>
      </c>
      <c r="D956" t="s">
        <v>373</v>
      </c>
      <c r="E956">
        <v>4505037</v>
      </c>
      <c r="F956">
        <v>2304174</v>
      </c>
      <c r="G956" t="s">
        <v>1235</v>
      </c>
      <c r="H956" t="s">
        <v>1288</v>
      </c>
      <c r="I956">
        <v>3.75</v>
      </c>
      <c r="J956" t="b">
        <v>1</v>
      </c>
      <c r="K956">
        <v>0.9375</v>
      </c>
      <c r="L956">
        <v>2304175</v>
      </c>
      <c r="M956" t="s">
        <v>1236</v>
      </c>
      <c r="N956">
        <v>4</v>
      </c>
      <c r="O956">
        <v>4</v>
      </c>
      <c r="P956"/>
      <c r="Q956">
        <v>134906</v>
      </c>
      <c r="R956">
        <v>1</v>
      </c>
      <c r="S956" t="s">
        <v>40</v>
      </c>
      <c r="T956">
        <v>261</v>
      </c>
      <c r="U956">
        <v>147664</v>
      </c>
      <c r="V956">
        <v>24</v>
      </c>
      <c r="W956" t="s">
        <v>40</v>
      </c>
      <c r="X956">
        <v>261</v>
      </c>
      <c r="Y956" t="s">
        <v>377</v>
      </c>
      <c r="Z956" t="s">
        <v>378</v>
      </c>
      <c r="AA956" t="s">
        <v>379</v>
      </c>
      <c r="AB956" t="s">
        <v>384</v>
      </c>
      <c r="AC956" t="s">
        <v>41</v>
      </c>
      <c r="AD956" t="s">
        <v>41</v>
      </c>
      <c r="AE956" t="s">
        <v>41</v>
      </c>
      <c r="AF956" t="s">
        <v>41</v>
      </c>
      <c r="AK956"/>
    </row>
    <row r="957" spans="1:38" x14ac:dyDescent="0.25">
      <c r="A957" t="s">
        <v>37</v>
      </c>
      <c r="B957">
        <v>45995.454618055555</v>
      </c>
      <c r="C957">
        <v>90738</v>
      </c>
      <c r="D957" t="s">
        <v>373</v>
      </c>
      <c r="E957">
        <v>4505038</v>
      </c>
      <c r="F957">
        <v>2304174</v>
      </c>
      <c r="G957" t="s">
        <v>1235</v>
      </c>
      <c r="H957" t="s">
        <v>1288</v>
      </c>
      <c r="I957">
        <v>3.75</v>
      </c>
      <c r="J957" t="b">
        <v>1</v>
      </c>
      <c r="K957">
        <v>0.3125</v>
      </c>
      <c r="L957">
        <v>2304175</v>
      </c>
      <c r="M957" t="s">
        <v>1236</v>
      </c>
      <c r="N957">
        <v>12</v>
      </c>
      <c r="O957">
        <v>12</v>
      </c>
      <c r="P957"/>
      <c r="Q957">
        <v>134906</v>
      </c>
      <c r="R957">
        <v>1</v>
      </c>
      <c r="S957" t="s">
        <v>40</v>
      </c>
      <c r="T957">
        <v>261</v>
      </c>
      <c r="U957">
        <v>147664</v>
      </c>
      <c r="V957">
        <v>24</v>
      </c>
      <c r="W957" t="s">
        <v>40</v>
      </c>
      <c r="X957">
        <v>261</v>
      </c>
      <c r="Y957" t="s">
        <v>377</v>
      </c>
      <c r="Z957" t="s">
        <v>378</v>
      </c>
      <c r="AA957" t="s">
        <v>379</v>
      </c>
      <c r="AB957" t="s">
        <v>409</v>
      </c>
      <c r="AC957" t="s">
        <v>41</v>
      </c>
      <c r="AD957" t="s">
        <v>41</v>
      </c>
      <c r="AE957" t="s">
        <v>41</v>
      </c>
      <c r="AF957" t="s">
        <v>41</v>
      </c>
      <c r="AK957"/>
    </row>
    <row r="958" spans="1:38" x14ac:dyDescent="0.25">
      <c r="A958" t="s">
        <v>38</v>
      </c>
      <c r="B958">
        <v>45995.558969907404</v>
      </c>
      <c r="C958">
        <v>92073</v>
      </c>
      <c r="D958" t="s">
        <v>373</v>
      </c>
      <c r="E958">
        <v>4504686</v>
      </c>
      <c r="F958">
        <v>2115601</v>
      </c>
      <c r="G958" t="s">
        <v>1293</v>
      </c>
      <c r="H958" t="s">
        <v>1128</v>
      </c>
      <c r="I958">
        <v>1.5</v>
      </c>
      <c r="J958" t="b">
        <v>1</v>
      </c>
      <c r="K958">
        <v>4.4117647058823529E-3</v>
      </c>
      <c r="L958">
        <v>2106344</v>
      </c>
      <c r="M958" t="s">
        <v>1294</v>
      </c>
      <c r="N958">
        <v>340</v>
      </c>
      <c r="O958">
        <v>331</v>
      </c>
      <c r="P958"/>
      <c r="Q958">
        <v>134976</v>
      </c>
      <c r="R958">
        <v>1</v>
      </c>
      <c r="S958" t="s">
        <v>40</v>
      </c>
      <c r="T958">
        <v>261</v>
      </c>
      <c r="W958"/>
      <c r="Y958" t="s">
        <v>377</v>
      </c>
      <c r="Z958" t="s">
        <v>378</v>
      </c>
      <c r="AA958" t="s">
        <v>379</v>
      </c>
      <c r="AB958" t="s">
        <v>1295</v>
      </c>
      <c r="AC958" t="s">
        <v>379</v>
      </c>
      <c r="AD958" t="s">
        <v>585</v>
      </c>
      <c r="AE958" t="s">
        <v>41</v>
      </c>
      <c r="AF958" t="s">
        <v>41</v>
      </c>
      <c r="AK958"/>
    </row>
    <row r="959" spans="1:38" x14ac:dyDescent="0.25">
      <c r="A959" t="s">
        <v>45</v>
      </c>
      <c r="B959">
        <v>45995.74690972222</v>
      </c>
      <c r="C959">
        <v>92574</v>
      </c>
      <c r="D959" t="s">
        <v>373</v>
      </c>
      <c r="E959">
        <v>4497846</v>
      </c>
      <c r="F959">
        <v>2310135</v>
      </c>
      <c r="G959" t="s">
        <v>1052</v>
      </c>
      <c r="H959" t="s">
        <v>1285</v>
      </c>
      <c r="I959">
        <v>64.3</v>
      </c>
      <c r="J959" t="b">
        <v>1</v>
      </c>
      <c r="K959">
        <v>0.15759803921568627</v>
      </c>
      <c r="L959">
        <v>2310136</v>
      </c>
      <c r="M959" t="s">
        <v>1053</v>
      </c>
      <c r="N959">
        <v>408</v>
      </c>
      <c r="O959">
        <v>408</v>
      </c>
      <c r="P959"/>
      <c r="Q959">
        <v>134974</v>
      </c>
      <c r="R959">
        <v>1</v>
      </c>
      <c r="S959" t="s">
        <v>40</v>
      </c>
      <c r="T959">
        <v>261</v>
      </c>
      <c r="W959"/>
      <c r="Y959" t="s">
        <v>377</v>
      </c>
      <c r="Z959" t="s">
        <v>378</v>
      </c>
      <c r="AA959" t="s">
        <v>379</v>
      </c>
      <c r="AB959" t="s">
        <v>1296</v>
      </c>
      <c r="AC959" t="s">
        <v>41</v>
      </c>
      <c r="AD959" t="s">
        <v>41</v>
      </c>
      <c r="AE959" t="s">
        <v>41</v>
      </c>
      <c r="AF959" t="s">
        <v>41</v>
      </c>
      <c r="AK959"/>
    </row>
    <row r="960" spans="1:38" x14ac:dyDescent="0.25">
      <c r="A960" t="s">
        <v>43</v>
      </c>
      <c r="B960">
        <v>45996.067847222221</v>
      </c>
      <c r="C960">
        <v>91999</v>
      </c>
      <c r="D960" t="s">
        <v>590</v>
      </c>
      <c r="E960">
        <v>4495199</v>
      </c>
      <c r="F960">
        <v>129839</v>
      </c>
      <c r="G960" t="s">
        <v>1266</v>
      </c>
      <c r="H960" t="s">
        <v>1297</v>
      </c>
      <c r="I960">
        <v>14</v>
      </c>
      <c r="J960" t="b">
        <v>1</v>
      </c>
      <c r="K960">
        <v>2.8</v>
      </c>
      <c r="L960">
        <v>129840</v>
      </c>
      <c r="M960" t="s">
        <v>1267</v>
      </c>
      <c r="N960">
        <v>5</v>
      </c>
      <c r="O960">
        <v>5</v>
      </c>
      <c r="P960"/>
      <c r="Q960">
        <v>134905</v>
      </c>
      <c r="R960">
        <v>1</v>
      </c>
      <c r="S960" t="s">
        <v>40</v>
      </c>
      <c r="T960">
        <v>261</v>
      </c>
      <c r="U960">
        <v>147664</v>
      </c>
      <c r="V960">
        <v>24</v>
      </c>
      <c r="W960" t="s">
        <v>40</v>
      </c>
      <c r="X960">
        <v>261</v>
      </c>
      <c r="Y960" t="s">
        <v>377</v>
      </c>
      <c r="Z960" t="s">
        <v>378</v>
      </c>
      <c r="AA960" t="s">
        <v>379</v>
      </c>
      <c r="AB960" t="s">
        <v>559</v>
      </c>
      <c r="AC960" t="s">
        <v>41</v>
      </c>
      <c r="AD960" t="s">
        <v>41</v>
      </c>
      <c r="AE960" t="s">
        <v>41</v>
      </c>
      <c r="AF960" t="s">
        <v>41</v>
      </c>
      <c r="AK960"/>
    </row>
    <row r="961" spans="1:38" x14ac:dyDescent="0.25">
      <c r="A961" t="s">
        <v>37</v>
      </c>
      <c r="B961">
        <v>45996.068877314814</v>
      </c>
      <c r="C961">
        <v>90739</v>
      </c>
      <c r="D961" t="s">
        <v>590</v>
      </c>
      <c r="E961">
        <v>4505039</v>
      </c>
      <c r="F961">
        <v>2304174</v>
      </c>
      <c r="G961" t="s">
        <v>1235</v>
      </c>
      <c r="H961" t="s">
        <v>1285</v>
      </c>
      <c r="I961">
        <v>7.5</v>
      </c>
      <c r="J961" t="b">
        <v>1</v>
      </c>
      <c r="K961">
        <v>1.875</v>
      </c>
      <c r="L961">
        <v>2304175</v>
      </c>
      <c r="M961" t="s">
        <v>1236</v>
      </c>
      <c r="N961">
        <v>4</v>
      </c>
      <c r="O961">
        <v>4</v>
      </c>
      <c r="P961"/>
      <c r="Q961">
        <v>134905</v>
      </c>
      <c r="R961">
        <v>1</v>
      </c>
      <c r="S961" t="s">
        <v>40</v>
      </c>
      <c r="T961">
        <v>261</v>
      </c>
      <c r="U961">
        <v>147664</v>
      </c>
      <c r="V961">
        <v>24</v>
      </c>
      <c r="W961" t="s">
        <v>40</v>
      </c>
      <c r="X961">
        <v>261</v>
      </c>
      <c r="Y961" t="s">
        <v>377</v>
      </c>
      <c r="Z961" t="s">
        <v>378</v>
      </c>
      <c r="AA961" t="s">
        <v>379</v>
      </c>
      <c r="AB961" t="s">
        <v>384</v>
      </c>
      <c r="AC961" t="s">
        <v>41</v>
      </c>
      <c r="AD961" t="s">
        <v>41</v>
      </c>
      <c r="AE961" t="s">
        <v>41</v>
      </c>
      <c r="AF961" t="s">
        <v>41</v>
      </c>
      <c r="AK961"/>
    </row>
    <row r="962" spans="1:38" x14ac:dyDescent="0.25">
      <c r="A962" t="s">
        <v>37</v>
      </c>
      <c r="B962">
        <v>45996.069745370369</v>
      </c>
      <c r="C962">
        <v>90739</v>
      </c>
      <c r="D962" t="s">
        <v>590</v>
      </c>
      <c r="E962">
        <v>4505040</v>
      </c>
      <c r="F962">
        <v>2304174</v>
      </c>
      <c r="G962" t="s">
        <v>1235</v>
      </c>
      <c r="H962" t="s">
        <v>1285</v>
      </c>
      <c r="I962">
        <v>7.5</v>
      </c>
      <c r="J962" t="b">
        <v>1</v>
      </c>
      <c r="K962">
        <v>0.625</v>
      </c>
      <c r="L962">
        <v>2304175</v>
      </c>
      <c r="M962" t="s">
        <v>1236</v>
      </c>
      <c r="N962">
        <v>12</v>
      </c>
      <c r="O962">
        <v>12</v>
      </c>
      <c r="P962"/>
      <c r="Q962">
        <v>134905</v>
      </c>
      <c r="R962">
        <v>1</v>
      </c>
      <c r="S962" t="s">
        <v>40</v>
      </c>
      <c r="T962">
        <v>261</v>
      </c>
      <c r="U962">
        <v>147664</v>
      </c>
      <c r="V962">
        <v>24</v>
      </c>
      <c r="W962" t="s">
        <v>40</v>
      </c>
      <c r="X962">
        <v>261</v>
      </c>
      <c r="Y962" t="s">
        <v>377</v>
      </c>
      <c r="Z962" t="s">
        <v>378</v>
      </c>
      <c r="AA962" t="s">
        <v>379</v>
      </c>
      <c r="AB962" t="s">
        <v>409</v>
      </c>
      <c r="AC962" t="s">
        <v>41</v>
      </c>
      <c r="AD962" t="s">
        <v>41</v>
      </c>
      <c r="AE962" t="s">
        <v>41</v>
      </c>
      <c r="AF962" t="s">
        <v>41</v>
      </c>
      <c r="AK962"/>
    </row>
    <row r="963" spans="1:38" x14ac:dyDescent="0.25">
      <c r="A963" t="s">
        <v>38</v>
      </c>
      <c r="B963">
        <v>45996.253113425926</v>
      </c>
      <c r="C963">
        <v>89153</v>
      </c>
      <c r="D963" t="s">
        <v>560</v>
      </c>
      <c r="E963">
        <v>4505372</v>
      </c>
      <c r="F963">
        <v>2104856</v>
      </c>
      <c r="G963" t="s">
        <v>1115</v>
      </c>
      <c r="H963" t="s">
        <v>1298</v>
      </c>
      <c r="I963">
        <v>5</v>
      </c>
      <c r="J963" t="b">
        <v>1</v>
      </c>
      <c r="K963">
        <v>1.25</v>
      </c>
      <c r="L963">
        <v>2106174</v>
      </c>
      <c r="M963" t="s">
        <v>1116</v>
      </c>
      <c r="N963">
        <v>4</v>
      </c>
      <c r="O963">
        <v>4</v>
      </c>
      <c r="P963"/>
      <c r="Q963">
        <v>134906</v>
      </c>
      <c r="R963">
        <v>1</v>
      </c>
      <c r="S963" t="s">
        <v>40</v>
      </c>
      <c r="T963">
        <v>261</v>
      </c>
      <c r="U963">
        <v>147664</v>
      </c>
      <c r="V963">
        <v>24</v>
      </c>
      <c r="W963" t="s">
        <v>40</v>
      </c>
      <c r="X963">
        <v>261</v>
      </c>
      <c r="Y963" t="s">
        <v>377</v>
      </c>
      <c r="Z963" t="s">
        <v>378</v>
      </c>
      <c r="AA963" t="s">
        <v>379</v>
      </c>
      <c r="AB963" t="s">
        <v>384</v>
      </c>
      <c r="AC963" t="s">
        <v>41</v>
      </c>
      <c r="AD963" t="s">
        <v>41</v>
      </c>
      <c r="AE963" t="s">
        <v>41</v>
      </c>
      <c r="AF963" t="s">
        <v>41</v>
      </c>
      <c r="AK963"/>
    </row>
    <row r="964" spans="1:38" x14ac:dyDescent="0.25">
      <c r="A964" t="s">
        <v>38</v>
      </c>
      <c r="B964">
        <v>45996.254027777781</v>
      </c>
      <c r="C964">
        <v>89153</v>
      </c>
      <c r="D964" t="s">
        <v>560</v>
      </c>
      <c r="E964">
        <v>4505373</v>
      </c>
      <c r="F964">
        <v>2104856</v>
      </c>
      <c r="G964" t="s">
        <v>1115</v>
      </c>
      <c r="H964" t="s">
        <v>1298</v>
      </c>
      <c r="I964">
        <v>5</v>
      </c>
      <c r="J964" t="b">
        <v>1</v>
      </c>
      <c r="K964">
        <v>0.625</v>
      </c>
      <c r="L964">
        <v>2106174</v>
      </c>
      <c r="M964" t="s">
        <v>1116</v>
      </c>
      <c r="N964">
        <v>8</v>
      </c>
      <c r="O964">
        <v>8</v>
      </c>
      <c r="P964"/>
      <c r="Q964">
        <v>134906</v>
      </c>
      <c r="R964">
        <v>1</v>
      </c>
      <c r="S964" t="s">
        <v>40</v>
      </c>
      <c r="T964">
        <v>261</v>
      </c>
      <c r="U964">
        <v>147664</v>
      </c>
      <c r="V964">
        <v>24</v>
      </c>
      <c r="W964" t="s">
        <v>40</v>
      </c>
      <c r="X964">
        <v>261</v>
      </c>
      <c r="Y964" t="s">
        <v>377</v>
      </c>
      <c r="Z964" t="s">
        <v>378</v>
      </c>
      <c r="AA964" t="s">
        <v>379</v>
      </c>
      <c r="AB964" t="s">
        <v>400</v>
      </c>
      <c r="AC964" t="s">
        <v>41</v>
      </c>
      <c r="AD964" t="s">
        <v>41</v>
      </c>
      <c r="AE964" t="s">
        <v>41</v>
      </c>
      <c r="AF964" t="s">
        <v>41</v>
      </c>
      <c r="AK964"/>
    </row>
    <row r="965" spans="1:38" x14ac:dyDescent="0.25">
      <c r="A965" t="s">
        <v>43</v>
      </c>
      <c r="B965">
        <v>45996.571331018517</v>
      </c>
      <c r="C965">
        <v>92076</v>
      </c>
      <c r="D965" t="s">
        <v>560</v>
      </c>
      <c r="E965">
        <v>4505444</v>
      </c>
      <c r="F965">
        <v>2310302</v>
      </c>
      <c r="G965" t="s">
        <v>1299</v>
      </c>
      <c r="H965" t="s">
        <v>1300</v>
      </c>
      <c r="I965">
        <v>10</v>
      </c>
      <c r="J965" t="b">
        <v>1</v>
      </c>
      <c r="K965">
        <v>4.9261083743842367E-2</v>
      </c>
      <c r="L965">
        <v>2309181</v>
      </c>
      <c r="M965" t="s">
        <v>872</v>
      </c>
      <c r="N965">
        <v>203</v>
      </c>
      <c r="O965">
        <v>195</v>
      </c>
      <c r="P965"/>
      <c r="Q965">
        <v>134908</v>
      </c>
      <c r="R965">
        <v>1</v>
      </c>
      <c r="S965" t="s">
        <v>40</v>
      </c>
      <c r="T965">
        <v>261</v>
      </c>
      <c r="U965">
        <v>147664</v>
      </c>
      <c r="V965">
        <v>24</v>
      </c>
      <c r="W965" t="s">
        <v>40</v>
      </c>
      <c r="X965">
        <v>261</v>
      </c>
      <c r="Y965" t="s">
        <v>377</v>
      </c>
      <c r="Z965" t="s">
        <v>378</v>
      </c>
      <c r="AA965" t="s">
        <v>379</v>
      </c>
      <c r="AB965" t="s">
        <v>1118</v>
      </c>
      <c r="AC965" t="s">
        <v>41</v>
      </c>
      <c r="AD965" t="s">
        <v>41</v>
      </c>
      <c r="AE965" t="s">
        <v>41</v>
      </c>
      <c r="AF965" t="s">
        <v>41</v>
      </c>
      <c r="AK965"/>
    </row>
    <row r="966" spans="1:38" x14ac:dyDescent="0.25">
      <c r="A966" t="s">
        <v>43</v>
      </c>
      <c r="B966">
        <v>45996.589201388888</v>
      </c>
      <c r="C966">
        <v>92078</v>
      </c>
      <c r="D966" t="s">
        <v>560</v>
      </c>
      <c r="E966">
        <v>4504682</v>
      </c>
      <c r="F966">
        <v>2310271</v>
      </c>
      <c r="G966" t="s">
        <v>1301</v>
      </c>
      <c r="H966" t="s">
        <v>1128</v>
      </c>
      <c r="I966">
        <v>10</v>
      </c>
      <c r="J966" t="b">
        <v>1</v>
      </c>
      <c r="K966">
        <v>0.1</v>
      </c>
      <c r="L966">
        <v>2310272</v>
      </c>
      <c r="M966" t="s">
        <v>1302</v>
      </c>
      <c r="N966">
        <v>100</v>
      </c>
      <c r="O966">
        <v>96</v>
      </c>
      <c r="P966"/>
      <c r="Q966">
        <v>134971</v>
      </c>
      <c r="R966">
        <v>1</v>
      </c>
      <c r="S966" t="s">
        <v>40</v>
      </c>
      <c r="T966">
        <v>261</v>
      </c>
      <c r="U966">
        <v>147664</v>
      </c>
      <c r="V966">
        <v>24</v>
      </c>
      <c r="W966" t="s">
        <v>40</v>
      </c>
      <c r="X966">
        <v>261</v>
      </c>
      <c r="Y966" t="s">
        <v>377</v>
      </c>
      <c r="Z966" t="s">
        <v>378</v>
      </c>
      <c r="AA966" t="s">
        <v>379</v>
      </c>
      <c r="AB966" t="s">
        <v>773</v>
      </c>
      <c r="AC966" t="s">
        <v>41</v>
      </c>
      <c r="AD966" t="s">
        <v>41</v>
      </c>
      <c r="AE966" t="s">
        <v>41</v>
      </c>
      <c r="AF966" t="s">
        <v>41</v>
      </c>
      <c r="AK966"/>
    </row>
    <row r="967" spans="1:38" x14ac:dyDescent="0.25">
      <c r="A967" t="s">
        <v>44</v>
      </c>
      <c r="B967">
        <v>45996.59746527778</v>
      </c>
      <c r="C967">
        <v>90450</v>
      </c>
      <c r="D967" t="s">
        <v>560</v>
      </c>
      <c r="E967">
        <v>4504803</v>
      </c>
      <c r="F967">
        <v>155446</v>
      </c>
      <c r="G967" t="s">
        <v>785</v>
      </c>
      <c r="H967" t="s">
        <v>1303</v>
      </c>
      <c r="I967">
        <v>14</v>
      </c>
      <c r="J967" t="b">
        <v>1</v>
      </c>
      <c r="K967">
        <v>4.666666666666667</v>
      </c>
      <c r="L967">
        <v>155444</v>
      </c>
      <c r="M967" t="s">
        <v>786</v>
      </c>
      <c r="N967">
        <v>3</v>
      </c>
      <c r="O967">
        <v>3</v>
      </c>
      <c r="P967"/>
      <c r="Q967">
        <v>155687</v>
      </c>
      <c r="R967">
        <v>1</v>
      </c>
      <c r="S967" t="s">
        <v>40</v>
      </c>
      <c r="T967">
        <v>261</v>
      </c>
      <c r="U967">
        <v>147664</v>
      </c>
      <c r="V967">
        <v>24</v>
      </c>
      <c r="W967" t="s">
        <v>40</v>
      </c>
      <c r="X967">
        <v>261</v>
      </c>
      <c r="Y967" t="s">
        <v>377</v>
      </c>
      <c r="Z967" t="s">
        <v>378</v>
      </c>
      <c r="AA967" t="s">
        <v>379</v>
      </c>
      <c r="AB967" t="s">
        <v>622</v>
      </c>
      <c r="AC967" t="s">
        <v>41</v>
      </c>
      <c r="AD967" t="s">
        <v>41</v>
      </c>
      <c r="AE967" t="s">
        <v>41</v>
      </c>
      <c r="AF967" t="s">
        <v>41</v>
      </c>
      <c r="AK967"/>
    </row>
    <row r="968" spans="1:38" x14ac:dyDescent="0.25">
      <c r="A968" t="s">
        <v>44</v>
      </c>
      <c r="B968">
        <v>45996.598043981481</v>
      </c>
      <c r="C968">
        <v>90450</v>
      </c>
      <c r="D968" t="s">
        <v>560</v>
      </c>
      <c r="E968">
        <v>4504804</v>
      </c>
      <c r="F968">
        <v>155446</v>
      </c>
      <c r="G968" t="s">
        <v>785</v>
      </c>
      <c r="H968" t="s">
        <v>1303</v>
      </c>
      <c r="I968">
        <v>7</v>
      </c>
      <c r="J968" t="b">
        <v>1</v>
      </c>
      <c r="K968">
        <v>2.3333333333333335</v>
      </c>
      <c r="L968">
        <v>155444</v>
      </c>
      <c r="M968" t="s">
        <v>786</v>
      </c>
      <c r="N968">
        <v>3</v>
      </c>
      <c r="O968">
        <v>3</v>
      </c>
      <c r="P968"/>
      <c r="Q968">
        <v>155687</v>
      </c>
      <c r="R968">
        <v>1</v>
      </c>
      <c r="S968" t="s">
        <v>40</v>
      </c>
      <c r="T968">
        <v>261</v>
      </c>
      <c r="U968">
        <v>147664</v>
      </c>
      <c r="V968">
        <v>24</v>
      </c>
      <c r="W968" t="s">
        <v>40</v>
      </c>
      <c r="X968">
        <v>261</v>
      </c>
      <c r="Y968" t="s">
        <v>377</v>
      </c>
      <c r="Z968" t="s">
        <v>378</v>
      </c>
      <c r="AA968" t="s">
        <v>379</v>
      </c>
      <c r="AB968" t="s">
        <v>622</v>
      </c>
      <c r="AC968" t="s">
        <v>41</v>
      </c>
      <c r="AD968" t="s">
        <v>41</v>
      </c>
      <c r="AE968" t="s">
        <v>41</v>
      </c>
      <c r="AF968" t="s">
        <v>41</v>
      </c>
      <c r="AK968"/>
    </row>
    <row r="969" spans="1:38" x14ac:dyDescent="0.25">
      <c r="A969" t="s">
        <v>37</v>
      </c>
      <c r="B969">
        <v>45996.693773148145</v>
      </c>
      <c r="C969">
        <v>90740</v>
      </c>
      <c r="D969" t="s">
        <v>560</v>
      </c>
      <c r="E969">
        <v>4505041</v>
      </c>
      <c r="F969">
        <v>2304174</v>
      </c>
      <c r="G969" t="s">
        <v>1235</v>
      </c>
      <c r="H969" t="s">
        <v>1304</v>
      </c>
      <c r="I969">
        <v>3.75</v>
      </c>
      <c r="J969" t="b">
        <v>1</v>
      </c>
      <c r="K969">
        <v>0.9375</v>
      </c>
      <c r="L969">
        <v>2304175</v>
      </c>
      <c r="M969" t="s">
        <v>1236</v>
      </c>
      <c r="N969">
        <v>4</v>
      </c>
      <c r="O969">
        <v>4</v>
      </c>
      <c r="P969"/>
      <c r="Q969">
        <v>134906</v>
      </c>
      <c r="R969">
        <v>1</v>
      </c>
      <c r="S969" t="s">
        <v>40</v>
      </c>
      <c r="T969">
        <v>261</v>
      </c>
      <c r="U969">
        <v>147664</v>
      </c>
      <c r="V969">
        <v>24</v>
      </c>
      <c r="W969" t="s">
        <v>40</v>
      </c>
      <c r="X969">
        <v>261</v>
      </c>
      <c r="Y969" t="s">
        <v>377</v>
      </c>
      <c r="Z969" t="s">
        <v>378</v>
      </c>
      <c r="AA969" t="s">
        <v>379</v>
      </c>
      <c r="AB969" t="s">
        <v>384</v>
      </c>
      <c r="AC969" t="s">
        <v>41</v>
      </c>
      <c r="AD969" t="s">
        <v>41</v>
      </c>
      <c r="AE969" t="s">
        <v>41</v>
      </c>
      <c r="AF969" t="s">
        <v>41</v>
      </c>
      <c r="AK969"/>
    </row>
    <row r="970" spans="1:38" x14ac:dyDescent="0.25">
      <c r="A970" t="s">
        <v>37</v>
      </c>
      <c r="B970">
        <v>45996.694398148145</v>
      </c>
      <c r="C970">
        <v>90740</v>
      </c>
      <c r="D970" t="s">
        <v>560</v>
      </c>
      <c r="E970">
        <v>4505042</v>
      </c>
      <c r="F970">
        <v>2304174</v>
      </c>
      <c r="G970" t="s">
        <v>1235</v>
      </c>
      <c r="H970" t="s">
        <v>1304</v>
      </c>
      <c r="I970">
        <v>3.75</v>
      </c>
      <c r="J970" t="b">
        <v>1</v>
      </c>
      <c r="K970">
        <v>0.3125</v>
      </c>
      <c r="L970">
        <v>2304175</v>
      </c>
      <c r="M970" t="s">
        <v>1236</v>
      </c>
      <c r="N970">
        <v>12</v>
      </c>
      <c r="O970">
        <v>12</v>
      </c>
      <c r="P970"/>
      <c r="Q970">
        <v>134906</v>
      </c>
      <c r="R970">
        <v>1</v>
      </c>
      <c r="S970" t="s">
        <v>40</v>
      </c>
      <c r="T970">
        <v>261</v>
      </c>
      <c r="U970">
        <v>147664</v>
      </c>
      <c r="V970">
        <v>24</v>
      </c>
      <c r="W970" t="s">
        <v>40</v>
      </c>
      <c r="X970">
        <v>261</v>
      </c>
      <c r="Y970" t="s">
        <v>377</v>
      </c>
      <c r="Z970" t="s">
        <v>378</v>
      </c>
      <c r="AA970" t="s">
        <v>379</v>
      </c>
      <c r="AB970" t="s">
        <v>409</v>
      </c>
      <c r="AC970" t="s">
        <v>41</v>
      </c>
      <c r="AD970" t="s">
        <v>41</v>
      </c>
      <c r="AE970" t="s">
        <v>41</v>
      </c>
      <c r="AF970" t="s">
        <v>41</v>
      </c>
      <c r="AK970"/>
    </row>
    <row r="971" spans="1:38" x14ac:dyDescent="0.25">
      <c r="A971" t="s">
        <v>39</v>
      </c>
      <c r="B971">
        <v>45996.91741898148</v>
      </c>
      <c r="C971">
        <v>92575</v>
      </c>
      <c r="D971" t="s">
        <v>563</v>
      </c>
      <c r="E971">
        <v>4504713</v>
      </c>
      <c r="F971">
        <v>2310136</v>
      </c>
      <c r="G971" t="s">
        <v>1053</v>
      </c>
      <c r="H971" t="s">
        <v>1304</v>
      </c>
      <c r="I971">
        <v>64.3</v>
      </c>
      <c r="J971" t="b">
        <v>1</v>
      </c>
      <c r="K971">
        <v>0.15759803921568627</v>
      </c>
      <c r="L971">
        <v>2310136</v>
      </c>
      <c r="M971" t="s">
        <v>1053</v>
      </c>
      <c r="N971">
        <v>408</v>
      </c>
      <c r="O971">
        <v>408</v>
      </c>
      <c r="P971"/>
      <c r="Q971">
        <v>134974</v>
      </c>
      <c r="R971">
        <v>1</v>
      </c>
      <c r="S971" t="s">
        <v>40</v>
      </c>
      <c r="T971">
        <v>261</v>
      </c>
      <c r="W971"/>
      <c r="Y971" t="s">
        <v>377</v>
      </c>
      <c r="Z971" t="s">
        <v>378</v>
      </c>
      <c r="AA971" t="s">
        <v>379</v>
      </c>
      <c r="AB971" t="s">
        <v>1296</v>
      </c>
      <c r="AC971" t="s">
        <v>41</v>
      </c>
      <c r="AD971" t="s">
        <v>41</v>
      </c>
      <c r="AE971" t="s">
        <v>41</v>
      </c>
      <c r="AF971" t="s">
        <v>41</v>
      </c>
      <c r="AK971"/>
    </row>
    <row r="972" spans="1:38" x14ac:dyDescent="0.25">
      <c r="A972" t="s">
        <v>43</v>
      </c>
      <c r="B972">
        <v>45996.987210648149</v>
      </c>
      <c r="C972">
        <v>92077</v>
      </c>
      <c r="D972" t="s">
        <v>563</v>
      </c>
      <c r="E972">
        <v>4505728</v>
      </c>
      <c r="F972">
        <v>2115601</v>
      </c>
      <c r="G972" t="s">
        <v>1293</v>
      </c>
      <c r="H972" t="s">
        <v>1300</v>
      </c>
      <c r="I972">
        <v>1.5</v>
      </c>
      <c r="J972" t="b">
        <v>1</v>
      </c>
      <c r="K972">
        <v>5.8139534883720929E-3</v>
      </c>
      <c r="L972">
        <v>2106344</v>
      </c>
      <c r="M972" t="s">
        <v>1294</v>
      </c>
      <c r="N972">
        <v>258</v>
      </c>
      <c r="O972">
        <v>258</v>
      </c>
      <c r="P972"/>
      <c r="Q972">
        <v>134976</v>
      </c>
      <c r="R972">
        <v>1</v>
      </c>
      <c r="S972" t="s">
        <v>40</v>
      </c>
      <c r="T972">
        <v>261</v>
      </c>
      <c r="V972">
        <v>0</v>
      </c>
      <c r="W972"/>
      <c r="Y972" t="s">
        <v>377</v>
      </c>
      <c r="Z972" t="s">
        <v>378</v>
      </c>
      <c r="AA972" t="s">
        <v>379</v>
      </c>
      <c r="AB972" t="s">
        <v>654</v>
      </c>
      <c r="AC972" t="s">
        <v>379</v>
      </c>
      <c r="AD972" t="s">
        <v>575</v>
      </c>
      <c r="AE972" t="s">
        <v>41</v>
      </c>
      <c r="AF972" t="s">
        <v>41</v>
      </c>
      <c r="AI972">
        <v>134974</v>
      </c>
      <c r="AJ972">
        <v>1</v>
      </c>
      <c r="AK972" t="s">
        <v>40</v>
      </c>
      <c r="AL972">
        <v>261</v>
      </c>
    </row>
    <row r="973" spans="1:38" x14ac:dyDescent="0.25">
      <c r="A973" t="s">
        <v>38</v>
      </c>
      <c r="B973">
        <v>45997.001469907409</v>
      </c>
      <c r="C973">
        <v>92000</v>
      </c>
      <c r="D973" t="s">
        <v>563</v>
      </c>
      <c r="E973">
        <v>4498493</v>
      </c>
      <c r="F973">
        <v>131173</v>
      </c>
      <c r="G973" t="s">
        <v>856</v>
      </c>
      <c r="H973" t="s">
        <v>926</v>
      </c>
      <c r="I973">
        <v>10</v>
      </c>
      <c r="J973" t="b">
        <v>1</v>
      </c>
      <c r="K973">
        <v>1.25</v>
      </c>
      <c r="L973">
        <v>131174</v>
      </c>
      <c r="M973" t="s">
        <v>857</v>
      </c>
      <c r="N973">
        <v>8</v>
      </c>
      <c r="O973">
        <v>8</v>
      </c>
      <c r="P973"/>
      <c r="Q973">
        <v>134971</v>
      </c>
      <c r="R973">
        <v>2</v>
      </c>
      <c r="S973" t="s">
        <v>40</v>
      </c>
      <c r="T973">
        <v>261</v>
      </c>
      <c r="U973">
        <v>147664</v>
      </c>
      <c r="V973">
        <v>48</v>
      </c>
      <c r="W973" t="s">
        <v>40</v>
      </c>
      <c r="X973">
        <v>261</v>
      </c>
      <c r="Y973" t="s">
        <v>377</v>
      </c>
      <c r="Z973" t="s">
        <v>378</v>
      </c>
      <c r="AA973" t="s">
        <v>384</v>
      </c>
      <c r="AB973" t="s">
        <v>384</v>
      </c>
      <c r="AC973" t="s">
        <v>41</v>
      </c>
      <c r="AD973" t="s">
        <v>41</v>
      </c>
      <c r="AE973" t="s">
        <v>41</v>
      </c>
      <c r="AF973" t="s">
        <v>41</v>
      </c>
      <c r="AK973"/>
    </row>
    <row r="974" spans="1:38" x14ac:dyDescent="0.25">
      <c r="A974" t="s">
        <v>37</v>
      </c>
      <c r="B974">
        <v>45997.395891203705</v>
      </c>
      <c r="C974">
        <v>89155</v>
      </c>
      <c r="D974" t="s">
        <v>401</v>
      </c>
      <c r="E974">
        <v>4505379</v>
      </c>
      <c r="F974">
        <v>2104855</v>
      </c>
      <c r="G974" t="s">
        <v>885</v>
      </c>
      <c r="H974" t="s">
        <v>1305</v>
      </c>
      <c r="I974">
        <v>5</v>
      </c>
      <c r="J974" t="b">
        <v>1</v>
      </c>
      <c r="K974">
        <v>0.625</v>
      </c>
      <c r="L974">
        <v>2106173</v>
      </c>
      <c r="M974" t="s">
        <v>886</v>
      </c>
      <c r="N974">
        <v>8</v>
      </c>
      <c r="O974">
        <v>12</v>
      </c>
      <c r="P974"/>
      <c r="Q974">
        <v>134906</v>
      </c>
      <c r="R974">
        <v>1</v>
      </c>
      <c r="S974" t="s">
        <v>40</v>
      </c>
      <c r="T974">
        <v>261</v>
      </c>
      <c r="U974">
        <v>147664</v>
      </c>
      <c r="V974">
        <v>24</v>
      </c>
      <c r="W974" t="s">
        <v>40</v>
      </c>
      <c r="X974">
        <v>261</v>
      </c>
      <c r="Y974" t="s">
        <v>377</v>
      </c>
      <c r="Z974" t="s">
        <v>378</v>
      </c>
      <c r="AA974" t="s">
        <v>379</v>
      </c>
      <c r="AB974" t="s">
        <v>400</v>
      </c>
      <c r="AC974" t="s">
        <v>41</v>
      </c>
      <c r="AD974" t="s">
        <v>41</v>
      </c>
      <c r="AE974" t="s">
        <v>41</v>
      </c>
      <c r="AF974" t="s">
        <v>41</v>
      </c>
      <c r="AK974"/>
    </row>
    <row r="975" spans="1:38" x14ac:dyDescent="0.25">
      <c r="A975" t="s">
        <v>37</v>
      </c>
      <c r="B975">
        <v>45997.398136574076</v>
      </c>
      <c r="C975">
        <v>89155</v>
      </c>
      <c r="D975" t="s">
        <v>401</v>
      </c>
      <c r="E975">
        <v>4505378</v>
      </c>
      <c r="F975">
        <v>2104855</v>
      </c>
      <c r="G975" t="s">
        <v>885</v>
      </c>
      <c r="H975" t="s">
        <v>1305</v>
      </c>
      <c r="I975">
        <v>5</v>
      </c>
      <c r="J975" t="b">
        <v>1</v>
      </c>
      <c r="K975">
        <v>1.25</v>
      </c>
      <c r="L975">
        <v>2106173</v>
      </c>
      <c r="M975" t="s">
        <v>886</v>
      </c>
      <c r="N975">
        <v>4</v>
      </c>
      <c r="O975">
        <v>4</v>
      </c>
      <c r="P975"/>
      <c r="Q975">
        <v>134906</v>
      </c>
      <c r="R975">
        <v>1</v>
      </c>
      <c r="S975" t="s">
        <v>40</v>
      </c>
      <c r="T975">
        <v>261</v>
      </c>
      <c r="U975">
        <v>147664</v>
      </c>
      <c r="V975">
        <v>24</v>
      </c>
      <c r="W975" t="s">
        <v>40</v>
      </c>
      <c r="X975">
        <v>261</v>
      </c>
      <c r="Y975" t="s">
        <v>377</v>
      </c>
      <c r="Z975" t="s">
        <v>378</v>
      </c>
      <c r="AA975" t="s">
        <v>379</v>
      </c>
      <c r="AB975" t="s">
        <v>384</v>
      </c>
      <c r="AC975" t="s">
        <v>41</v>
      </c>
      <c r="AD975" t="s">
        <v>41</v>
      </c>
      <c r="AE975" t="s">
        <v>41</v>
      </c>
      <c r="AF975" t="s">
        <v>41</v>
      </c>
      <c r="AK975"/>
    </row>
    <row r="976" spans="1:38" x14ac:dyDescent="0.25">
      <c r="A976" t="s">
        <v>38</v>
      </c>
      <c r="B976">
        <v>45997.660671296297</v>
      </c>
      <c r="C976">
        <v>90741</v>
      </c>
      <c r="D976" t="s">
        <v>401</v>
      </c>
      <c r="E976">
        <v>4498438</v>
      </c>
      <c r="F976">
        <v>2310371</v>
      </c>
      <c r="G976" t="s">
        <v>1306</v>
      </c>
      <c r="H976" t="s">
        <v>1128</v>
      </c>
      <c r="I976">
        <v>7.5</v>
      </c>
      <c r="J976" t="b">
        <v>1</v>
      </c>
      <c r="K976">
        <v>0.75</v>
      </c>
      <c r="L976">
        <v>2310372</v>
      </c>
      <c r="M976" t="s">
        <v>1307</v>
      </c>
      <c r="N976">
        <v>10</v>
      </c>
      <c r="O976">
        <v>10</v>
      </c>
      <c r="P976"/>
      <c r="Q976">
        <v>134906</v>
      </c>
      <c r="R976">
        <v>1</v>
      </c>
      <c r="S976" t="s">
        <v>40</v>
      </c>
      <c r="T976">
        <v>261</v>
      </c>
      <c r="U976">
        <v>147664</v>
      </c>
      <c r="V976">
        <v>24</v>
      </c>
      <c r="W976" t="s">
        <v>40</v>
      </c>
      <c r="X976">
        <v>261</v>
      </c>
      <c r="Y976" t="s">
        <v>672</v>
      </c>
      <c r="Z976" t="s">
        <v>378</v>
      </c>
      <c r="AA976" t="s">
        <v>379</v>
      </c>
      <c r="AB976" t="s">
        <v>877</v>
      </c>
      <c r="AC976" t="s">
        <v>41</v>
      </c>
      <c r="AD976" t="s">
        <v>41</v>
      </c>
      <c r="AE976" t="s">
        <v>41</v>
      </c>
      <c r="AF976" t="s">
        <v>41</v>
      </c>
      <c r="AK976"/>
    </row>
    <row r="977" spans="1:37" x14ac:dyDescent="0.25">
      <c r="A977" t="s">
        <v>43</v>
      </c>
      <c r="B977">
        <v>45997.681944444441</v>
      </c>
      <c r="C977">
        <v>92001</v>
      </c>
      <c r="D977" t="s">
        <v>401</v>
      </c>
      <c r="E977">
        <v>4498494</v>
      </c>
      <c r="F977">
        <v>131173</v>
      </c>
      <c r="G977" t="s">
        <v>856</v>
      </c>
      <c r="H977" t="s">
        <v>1004</v>
      </c>
      <c r="I977">
        <v>10</v>
      </c>
      <c r="J977" t="b">
        <v>1</v>
      </c>
      <c r="K977">
        <v>1.25</v>
      </c>
      <c r="L977">
        <v>131174</v>
      </c>
      <c r="M977" t="s">
        <v>857</v>
      </c>
      <c r="N977">
        <v>8</v>
      </c>
      <c r="O977">
        <v>8</v>
      </c>
      <c r="P977"/>
      <c r="Q977">
        <v>134971</v>
      </c>
      <c r="R977">
        <v>1</v>
      </c>
      <c r="S977" t="s">
        <v>40</v>
      </c>
      <c r="T977">
        <v>261</v>
      </c>
      <c r="U977">
        <v>147664</v>
      </c>
      <c r="V977">
        <v>24</v>
      </c>
      <c r="W977" t="s">
        <v>40</v>
      </c>
      <c r="X977">
        <v>261</v>
      </c>
      <c r="Y977" t="s">
        <v>377</v>
      </c>
      <c r="Z977" t="s">
        <v>378</v>
      </c>
      <c r="AA977" t="s">
        <v>384</v>
      </c>
      <c r="AB977" t="s">
        <v>384</v>
      </c>
      <c r="AC977" t="s">
        <v>41</v>
      </c>
      <c r="AD977" t="s">
        <v>41</v>
      </c>
      <c r="AE977" t="s">
        <v>41</v>
      </c>
      <c r="AF977" t="s">
        <v>41</v>
      </c>
      <c r="AK977"/>
    </row>
    <row r="978" spans="1:37" x14ac:dyDescent="0.25">
      <c r="A978" t="s">
        <v>48</v>
      </c>
      <c r="B978">
        <v>45997.843842592592</v>
      </c>
      <c r="C978">
        <v>92576</v>
      </c>
      <c r="D978" t="s">
        <v>590</v>
      </c>
      <c r="E978">
        <v>4504720</v>
      </c>
      <c r="F978">
        <v>2310135</v>
      </c>
      <c r="G978" t="s">
        <v>1052</v>
      </c>
      <c r="H978" t="s">
        <v>1308</v>
      </c>
      <c r="I978">
        <v>64.3</v>
      </c>
      <c r="J978" t="b">
        <v>1</v>
      </c>
      <c r="K978">
        <v>0.15915841584158416</v>
      </c>
      <c r="L978">
        <v>2310136</v>
      </c>
      <c r="M978" t="s">
        <v>1053</v>
      </c>
      <c r="N978">
        <v>404</v>
      </c>
      <c r="O978">
        <v>400</v>
      </c>
      <c r="P978"/>
      <c r="Q978">
        <v>134974</v>
      </c>
      <c r="R978">
        <v>1</v>
      </c>
      <c r="S978" t="s">
        <v>40</v>
      </c>
      <c r="T978">
        <v>261</v>
      </c>
      <c r="W978"/>
      <c r="Y978" t="s">
        <v>377</v>
      </c>
      <c r="Z978" t="s">
        <v>378</v>
      </c>
      <c r="AA978" t="s">
        <v>379</v>
      </c>
      <c r="AB978" t="s">
        <v>1309</v>
      </c>
      <c r="AC978" t="s">
        <v>41</v>
      </c>
      <c r="AD978" t="s">
        <v>41</v>
      </c>
      <c r="AE978" t="s">
        <v>41</v>
      </c>
      <c r="AF978" t="s">
        <v>41</v>
      </c>
      <c r="AK978"/>
    </row>
    <row r="979" spans="1:37" x14ac:dyDescent="0.25">
      <c r="A979" t="s">
        <v>37</v>
      </c>
      <c r="B979">
        <v>45998.075196759259</v>
      </c>
      <c r="C979">
        <v>90742</v>
      </c>
      <c r="D979" t="s">
        <v>590</v>
      </c>
      <c r="E979">
        <v>4505834</v>
      </c>
      <c r="F979">
        <v>2104843</v>
      </c>
      <c r="G979" t="s">
        <v>1310</v>
      </c>
      <c r="H979" t="s">
        <v>1311</v>
      </c>
      <c r="I979">
        <v>7.5</v>
      </c>
      <c r="J979" t="b">
        <v>1</v>
      </c>
      <c r="K979">
        <v>1.875</v>
      </c>
      <c r="L979">
        <v>2106162</v>
      </c>
      <c r="M979" t="s">
        <v>1312</v>
      </c>
      <c r="N979">
        <v>4</v>
      </c>
      <c r="O979">
        <v>4</v>
      </c>
      <c r="P979"/>
      <c r="Q979">
        <v>134906</v>
      </c>
      <c r="R979">
        <v>1</v>
      </c>
      <c r="S979" t="s">
        <v>40</v>
      </c>
      <c r="T979">
        <v>261</v>
      </c>
      <c r="U979">
        <v>147664</v>
      </c>
      <c r="V979">
        <v>24</v>
      </c>
      <c r="W979" t="s">
        <v>40</v>
      </c>
      <c r="X979">
        <v>261</v>
      </c>
      <c r="Y979" t="s">
        <v>377</v>
      </c>
      <c r="Z979" t="s">
        <v>378</v>
      </c>
      <c r="AA979" t="s">
        <v>379</v>
      </c>
      <c r="AB979" t="s">
        <v>384</v>
      </c>
      <c r="AC979" t="s">
        <v>41</v>
      </c>
      <c r="AD979" t="s">
        <v>41</v>
      </c>
      <c r="AE979" t="s">
        <v>41</v>
      </c>
      <c r="AF979" t="s">
        <v>41</v>
      </c>
      <c r="AK979"/>
    </row>
    <row r="980" spans="1:37" x14ac:dyDescent="0.25">
      <c r="A980" t="s">
        <v>37</v>
      </c>
      <c r="B980">
        <v>45998.076238425929</v>
      </c>
      <c r="C980">
        <v>90742</v>
      </c>
      <c r="D980" t="s">
        <v>590</v>
      </c>
      <c r="E980">
        <v>4505881</v>
      </c>
      <c r="F980">
        <v>2104843</v>
      </c>
      <c r="G980" t="s">
        <v>1310</v>
      </c>
      <c r="H980" t="s">
        <v>1311</v>
      </c>
      <c r="I980">
        <v>7.5</v>
      </c>
      <c r="J980" t="b">
        <v>1</v>
      </c>
      <c r="K980">
        <v>0.46875</v>
      </c>
      <c r="L980">
        <v>2106162</v>
      </c>
      <c r="M980" t="s">
        <v>1312</v>
      </c>
      <c r="N980">
        <v>16</v>
      </c>
      <c r="O980">
        <v>16</v>
      </c>
      <c r="P980"/>
      <c r="Q980">
        <v>134905</v>
      </c>
      <c r="R980">
        <v>1</v>
      </c>
      <c r="S980" t="s">
        <v>40</v>
      </c>
      <c r="T980">
        <v>261</v>
      </c>
      <c r="U980">
        <v>147664</v>
      </c>
      <c r="V980">
        <v>24</v>
      </c>
      <c r="W980" t="s">
        <v>40</v>
      </c>
      <c r="X980">
        <v>261</v>
      </c>
      <c r="Y980" t="s">
        <v>377</v>
      </c>
      <c r="Z980" t="s">
        <v>378</v>
      </c>
      <c r="AA980" t="s">
        <v>379</v>
      </c>
      <c r="AB980" t="s">
        <v>1264</v>
      </c>
      <c r="AC980" t="s">
        <v>41</v>
      </c>
      <c r="AD980" t="s">
        <v>41</v>
      </c>
      <c r="AE980" t="s">
        <v>41</v>
      </c>
      <c r="AF980" t="s">
        <v>41</v>
      </c>
      <c r="AK980"/>
    </row>
    <row r="981" spans="1:37" x14ac:dyDescent="0.25">
      <c r="A981" t="s">
        <v>43</v>
      </c>
      <c r="B981">
        <v>45998.412129629629</v>
      </c>
      <c r="C981">
        <v>89156</v>
      </c>
      <c r="D981" t="s">
        <v>459</v>
      </c>
      <c r="E981">
        <v>4505401</v>
      </c>
      <c r="F981">
        <v>2104855</v>
      </c>
      <c r="G981" t="s">
        <v>885</v>
      </c>
      <c r="H981" t="s">
        <v>1313</v>
      </c>
      <c r="I981">
        <v>10</v>
      </c>
      <c r="J981" t="b">
        <v>1</v>
      </c>
      <c r="K981">
        <v>1.25</v>
      </c>
      <c r="L981">
        <v>2106173</v>
      </c>
      <c r="M981" t="s">
        <v>886</v>
      </c>
      <c r="N981">
        <v>8</v>
      </c>
      <c r="O981">
        <v>12</v>
      </c>
      <c r="P981"/>
      <c r="Q981">
        <v>2301936</v>
      </c>
      <c r="R981">
        <v>1</v>
      </c>
      <c r="S981" t="s">
        <v>40</v>
      </c>
      <c r="T981">
        <v>261</v>
      </c>
      <c r="U981">
        <v>147664</v>
      </c>
      <c r="V981">
        <v>24</v>
      </c>
      <c r="W981" t="s">
        <v>40</v>
      </c>
      <c r="X981">
        <v>261</v>
      </c>
      <c r="Y981" t="s">
        <v>377</v>
      </c>
      <c r="Z981" t="s">
        <v>378</v>
      </c>
      <c r="AA981" t="s">
        <v>379</v>
      </c>
      <c r="AB981" t="s">
        <v>400</v>
      </c>
      <c r="AC981" t="s">
        <v>41</v>
      </c>
      <c r="AD981" t="s">
        <v>41</v>
      </c>
      <c r="AE981" t="s">
        <v>41</v>
      </c>
      <c r="AF981" t="s">
        <v>41</v>
      </c>
      <c r="AK981"/>
    </row>
    <row r="982" spans="1:37" x14ac:dyDescent="0.25">
      <c r="A982" t="s">
        <v>43</v>
      </c>
      <c r="B982">
        <v>45998.413842592592</v>
      </c>
      <c r="C982">
        <v>89156</v>
      </c>
      <c r="D982" t="s">
        <v>459</v>
      </c>
      <c r="E982">
        <v>4505380</v>
      </c>
      <c r="F982">
        <v>2104855</v>
      </c>
      <c r="G982" t="s">
        <v>885</v>
      </c>
      <c r="H982" t="s">
        <v>1313</v>
      </c>
      <c r="I982">
        <v>10</v>
      </c>
      <c r="J982" t="b">
        <v>1</v>
      </c>
      <c r="K982">
        <v>2.5</v>
      </c>
      <c r="L982">
        <v>2106173</v>
      </c>
      <c r="M982" t="s">
        <v>886</v>
      </c>
      <c r="N982">
        <v>4</v>
      </c>
      <c r="O982">
        <v>4</v>
      </c>
      <c r="P982"/>
      <c r="Q982">
        <v>2301936</v>
      </c>
      <c r="R982">
        <v>1</v>
      </c>
      <c r="S982" t="s">
        <v>40</v>
      </c>
      <c r="T982">
        <v>261</v>
      </c>
      <c r="U982">
        <v>147664</v>
      </c>
      <c r="V982">
        <v>24</v>
      </c>
      <c r="W982" t="s">
        <v>40</v>
      </c>
      <c r="X982">
        <v>261</v>
      </c>
      <c r="Y982" t="s">
        <v>377</v>
      </c>
      <c r="Z982" t="s">
        <v>378</v>
      </c>
      <c r="AA982" t="s">
        <v>379</v>
      </c>
      <c r="AB982" t="s">
        <v>384</v>
      </c>
      <c r="AC982" t="s">
        <v>41</v>
      </c>
      <c r="AD982" t="s">
        <v>41</v>
      </c>
      <c r="AE982" t="s">
        <v>41</v>
      </c>
      <c r="AF982" t="s">
        <v>41</v>
      </c>
      <c r="AK982"/>
    </row>
    <row r="983" spans="1:37" x14ac:dyDescent="0.25">
      <c r="A983" t="s">
        <v>37</v>
      </c>
      <c r="B983">
        <v>45998.592256944445</v>
      </c>
      <c r="C983">
        <v>89157</v>
      </c>
      <c r="D983" t="s">
        <v>459</v>
      </c>
      <c r="E983">
        <v>4505403</v>
      </c>
      <c r="F983">
        <v>2104855</v>
      </c>
      <c r="G983" t="s">
        <v>885</v>
      </c>
      <c r="H983" t="s">
        <v>1314</v>
      </c>
      <c r="I983">
        <v>10</v>
      </c>
      <c r="J983" t="b">
        <v>1</v>
      </c>
      <c r="K983">
        <v>1.25</v>
      </c>
      <c r="L983">
        <v>2106173</v>
      </c>
      <c r="M983" t="s">
        <v>886</v>
      </c>
      <c r="N983">
        <v>8</v>
      </c>
      <c r="O983">
        <v>12</v>
      </c>
      <c r="P983"/>
      <c r="Q983">
        <v>2301936</v>
      </c>
      <c r="R983">
        <v>1</v>
      </c>
      <c r="S983" t="s">
        <v>40</v>
      </c>
      <c r="T983">
        <v>261</v>
      </c>
      <c r="U983">
        <v>147664</v>
      </c>
      <c r="V983">
        <v>24</v>
      </c>
      <c r="W983" t="s">
        <v>40</v>
      </c>
      <c r="X983">
        <v>261</v>
      </c>
      <c r="Y983" t="s">
        <v>377</v>
      </c>
      <c r="Z983" t="s">
        <v>378</v>
      </c>
      <c r="AA983" t="s">
        <v>379</v>
      </c>
      <c r="AB983" t="s">
        <v>400</v>
      </c>
      <c r="AC983" t="s">
        <v>41</v>
      </c>
      <c r="AD983" t="s">
        <v>41</v>
      </c>
      <c r="AE983" t="s">
        <v>41</v>
      </c>
      <c r="AF983" t="s">
        <v>41</v>
      </c>
      <c r="AK983"/>
    </row>
    <row r="984" spans="1:37" x14ac:dyDescent="0.25">
      <c r="A984" t="s">
        <v>37</v>
      </c>
      <c r="B984">
        <v>45998.594178240739</v>
      </c>
      <c r="C984">
        <v>89157</v>
      </c>
      <c r="D984" t="s">
        <v>459</v>
      </c>
      <c r="E984">
        <v>4505402</v>
      </c>
      <c r="F984">
        <v>2104855</v>
      </c>
      <c r="G984" t="s">
        <v>885</v>
      </c>
      <c r="H984" t="s">
        <v>1314</v>
      </c>
      <c r="I984">
        <v>10</v>
      </c>
      <c r="J984" t="b">
        <v>1</v>
      </c>
      <c r="K984">
        <v>2.5</v>
      </c>
      <c r="L984">
        <v>2106173</v>
      </c>
      <c r="M984" t="s">
        <v>886</v>
      </c>
      <c r="N984">
        <v>4</v>
      </c>
      <c r="O984">
        <v>4</v>
      </c>
      <c r="P984"/>
      <c r="Q984">
        <v>134905</v>
      </c>
      <c r="R984">
        <v>1</v>
      </c>
      <c r="S984" t="s">
        <v>40</v>
      </c>
      <c r="T984">
        <v>261</v>
      </c>
      <c r="U984">
        <v>147664</v>
      </c>
      <c r="V984">
        <v>24</v>
      </c>
      <c r="W984" t="s">
        <v>40</v>
      </c>
      <c r="X984">
        <v>261</v>
      </c>
      <c r="Y984" t="s">
        <v>377</v>
      </c>
      <c r="Z984" t="s">
        <v>378</v>
      </c>
      <c r="AA984" t="s">
        <v>379</v>
      </c>
      <c r="AB984" t="s">
        <v>384</v>
      </c>
      <c r="AC984" t="s">
        <v>41</v>
      </c>
      <c r="AD984" t="s">
        <v>41</v>
      </c>
      <c r="AE984" t="s">
        <v>41</v>
      </c>
      <c r="AF984" t="s">
        <v>41</v>
      </c>
      <c r="AK984"/>
    </row>
    <row r="985" spans="1:37" x14ac:dyDescent="0.25">
      <c r="A985" t="s">
        <v>38</v>
      </c>
      <c r="B985">
        <v>45998.675567129627</v>
      </c>
      <c r="C985">
        <v>90449</v>
      </c>
      <c r="D985" t="s">
        <v>745</v>
      </c>
      <c r="E985">
        <v>4501452</v>
      </c>
      <c r="F985">
        <v>120138</v>
      </c>
      <c r="G985" t="s">
        <v>911</v>
      </c>
      <c r="H985" t="s">
        <v>1285</v>
      </c>
      <c r="I985">
        <v>14</v>
      </c>
      <c r="J985" t="b">
        <v>1</v>
      </c>
      <c r="K985">
        <v>1.75</v>
      </c>
      <c r="L985">
        <v>120139</v>
      </c>
      <c r="M985" t="s">
        <v>1092</v>
      </c>
      <c r="N985">
        <v>8</v>
      </c>
      <c r="O985">
        <v>8</v>
      </c>
      <c r="P985"/>
      <c r="Q985">
        <v>2301936</v>
      </c>
      <c r="R985">
        <v>2</v>
      </c>
      <c r="S985" t="s">
        <v>40</v>
      </c>
      <c r="T985">
        <v>261</v>
      </c>
      <c r="U985">
        <v>147664</v>
      </c>
      <c r="V985">
        <v>48</v>
      </c>
      <c r="W985" t="s">
        <v>40</v>
      </c>
      <c r="X985">
        <v>261</v>
      </c>
      <c r="Y985" t="s">
        <v>377</v>
      </c>
      <c r="Z985" t="s">
        <v>378</v>
      </c>
      <c r="AA985" t="s">
        <v>384</v>
      </c>
      <c r="AB985" t="s">
        <v>384</v>
      </c>
      <c r="AC985" t="s">
        <v>41</v>
      </c>
      <c r="AD985" t="s">
        <v>41</v>
      </c>
      <c r="AE985" t="s">
        <v>41</v>
      </c>
      <c r="AF985" t="s">
        <v>41</v>
      </c>
      <c r="AK985"/>
    </row>
    <row r="986" spans="1:37" x14ac:dyDescent="0.25">
      <c r="A986" t="s">
        <v>47</v>
      </c>
      <c r="B986">
        <v>45998.688645833332</v>
      </c>
      <c r="C986">
        <v>92081</v>
      </c>
      <c r="D986" t="s">
        <v>459</v>
      </c>
      <c r="E986">
        <v>4504788</v>
      </c>
      <c r="F986">
        <v>2310713</v>
      </c>
      <c r="G986" t="s">
        <v>1315</v>
      </c>
      <c r="H986" t="s">
        <v>1156</v>
      </c>
      <c r="I986">
        <v>10</v>
      </c>
      <c r="J986" t="b">
        <v>1</v>
      </c>
      <c r="K986">
        <v>9.7560975609756101E-2</v>
      </c>
      <c r="L986">
        <v>2310714</v>
      </c>
      <c r="M986" t="s">
        <v>1316</v>
      </c>
      <c r="N986">
        <v>102.5</v>
      </c>
      <c r="O986">
        <v>102</v>
      </c>
      <c r="P986"/>
      <c r="Q986">
        <v>134974</v>
      </c>
      <c r="R986">
        <v>1</v>
      </c>
      <c r="S986" t="s">
        <v>40</v>
      </c>
      <c r="T986">
        <v>261</v>
      </c>
      <c r="W986"/>
      <c r="Y986" t="s">
        <v>377</v>
      </c>
      <c r="Z986" t="s">
        <v>378</v>
      </c>
      <c r="AA986" t="s">
        <v>379</v>
      </c>
      <c r="AB986" t="s">
        <v>1317</v>
      </c>
      <c r="AC986" t="s">
        <v>41</v>
      </c>
      <c r="AD986" t="s">
        <v>41</v>
      </c>
      <c r="AE986" t="s">
        <v>41</v>
      </c>
      <c r="AF986" t="s">
        <v>41</v>
      </c>
      <c r="AK986"/>
    </row>
    <row r="987" spans="1:37" x14ac:dyDescent="0.25">
      <c r="A987" t="s">
        <v>44</v>
      </c>
      <c r="B987">
        <v>45998.766875000001</v>
      </c>
      <c r="C987">
        <v>90451</v>
      </c>
      <c r="D987" t="s">
        <v>745</v>
      </c>
      <c r="E987">
        <v>4500431</v>
      </c>
      <c r="F987">
        <v>2304758</v>
      </c>
      <c r="G987" t="s">
        <v>402</v>
      </c>
      <c r="H987" t="s">
        <v>1318</v>
      </c>
      <c r="I987">
        <v>14</v>
      </c>
      <c r="J987" t="b">
        <v>1</v>
      </c>
      <c r="K987">
        <v>1.75</v>
      </c>
      <c r="L987">
        <v>2304759</v>
      </c>
      <c r="M987" t="s">
        <v>404</v>
      </c>
      <c r="N987">
        <v>8</v>
      </c>
      <c r="O987">
        <v>8</v>
      </c>
      <c r="P987"/>
      <c r="Q987">
        <v>155687</v>
      </c>
      <c r="R987">
        <v>2</v>
      </c>
      <c r="S987" t="s">
        <v>40</v>
      </c>
      <c r="T987">
        <v>261</v>
      </c>
      <c r="U987">
        <v>147664</v>
      </c>
      <c r="V987">
        <v>48</v>
      </c>
      <c r="W987" t="s">
        <v>40</v>
      </c>
      <c r="X987">
        <v>261</v>
      </c>
      <c r="Y987" t="s">
        <v>377</v>
      </c>
      <c r="Z987" t="s">
        <v>378</v>
      </c>
      <c r="AA987" t="s">
        <v>384</v>
      </c>
      <c r="AB987" t="s">
        <v>384</v>
      </c>
      <c r="AC987" t="s">
        <v>41</v>
      </c>
      <c r="AD987" t="s">
        <v>41</v>
      </c>
      <c r="AE987" t="s">
        <v>41</v>
      </c>
      <c r="AF987" t="s">
        <v>41</v>
      </c>
      <c r="AK987"/>
    </row>
    <row r="988" spans="1:37" x14ac:dyDescent="0.25">
      <c r="A988" t="s">
        <v>42</v>
      </c>
      <c r="B988">
        <v>45998.826874999999</v>
      </c>
      <c r="C988">
        <v>92079</v>
      </c>
      <c r="D988" t="s">
        <v>745</v>
      </c>
      <c r="E988">
        <v>4504787</v>
      </c>
      <c r="F988">
        <v>2310713</v>
      </c>
      <c r="G988" t="s">
        <v>1315</v>
      </c>
      <c r="H988" t="s">
        <v>1128</v>
      </c>
      <c r="I988">
        <v>10</v>
      </c>
      <c r="J988" t="b">
        <v>1</v>
      </c>
      <c r="K988">
        <v>2.4213075060532687E-2</v>
      </c>
      <c r="L988">
        <v>2310714</v>
      </c>
      <c r="M988" t="s">
        <v>1316</v>
      </c>
      <c r="N988">
        <v>413</v>
      </c>
      <c r="O988">
        <v>413</v>
      </c>
      <c r="P988"/>
      <c r="Q988">
        <v>134908</v>
      </c>
      <c r="R988">
        <v>1</v>
      </c>
      <c r="S988" t="s">
        <v>40</v>
      </c>
      <c r="T988">
        <v>261</v>
      </c>
      <c r="U988">
        <v>147664</v>
      </c>
      <c r="V988">
        <v>24</v>
      </c>
      <c r="W988" t="s">
        <v>40</v>
      </c>
      <c r="X988">
        <v>261</v>
      </c>
      <c r="Y988" t="s">
        <v>377</v>
      </c>
      <c r="Z988" t="s">
        <v>378</v>
      </c>
      <c r="AA988" t="s">
        <v>379</v>
      </c>
      <c r="AB988" t="s">
        <v>1061</v>
      </c>
      <c r="AC988" t="s">
        <v>41</v>
      </c>
      <c r="AD988" t="s">
        <v>41</v>
      </c>
      <c r="AE988" t="s">
        <v>41</v>
      </c>
      <c r="AF988" t="s">
        <v>41</v>
      </c>
      <c r="AK988"/>
    </row>
    <row r="989" spans="1:37" x14ac:dyDescent="0.25">
      <c r="A989" t="s">
        <v>37</v>
      </c>
      <c r="B989">
        <v>45998.868622685186</v>
      </c>
      <c r="C989">
        <v>92084</v>
      </c>
      <c r="D989" t="s">
        <v>745</v>
      </c>
      <c r="E989">
        <v>4505727</v>
      </c>
      <c r="F989">
        <v>2105484</v>
      </c>
      <c r="G989" t="s">
        <v>1319</v>
      </c>
      <c r="H989" t="s">
        <v>1311</v>
      </c>
      <c r="I989">
        <v>3</v>
      </c>
      <c r="J989" t="b">
        <v>1</v>
      </c>
      <c r="K989">
        <v>2.0833333333333332E-2</v>
      </c>
      <c r="L989">
        <v>2106740</v>
      </c>
      <c r="M989" t="s">
        <v>1320</v>
      </c>
      <c r="N989">
        <v>144</v>
      </c>
      <c r="O989">
        <v>144</v>
      </c>
      <c r="P989"/>
      <c r="Q989">
        <v>0</v>
      </c>
      <c r="R989">
        <v>0</v>
      </c>
      <c r="S989" t="s">
        <v>40</v>
      </c>
      <c r="T989">
        <v>261</v>
      </c>
      <c r="W989"/>
      <c r="Y989" t="s">
        <v>377</v>
      </c>
      <c r="Z989" t="s">
        <v>378</v>
      </c>
      <c r="AA989" t="s">
        <v>379</v>
      </c>
      <c r="AB989" t="s">
        <v>552</v>
      </c>
      <c r="AC989" t="s">
        <v>41</v>
      </c>
      <c r="AD989" t="s">
        <v>41</v>
      </c>
      <c r="AE989" t="s">
        <v>41</v>
      </c>
      <c r="AF989" t="s">
        <v>41</v>
      </c>
      <c r="AK989"/>
    </row>
    <row r="990" spans="1:37" x14ac:dyDescent="0.25">
      <c r="A990" t="s">
        <v>45</v>
      </c>
      <c r="B990">
        <v>45998.871319444443</v>
      </c>
      <c r="C990">
        <v>92577</v>
      </c>
      <c r="D990" t="s">
        <v>745</v>
      </c>
      <c r="E990">
        <v>4504921</v>
      </c>
      <c r="F990">
        <v>2310135</v>
      </c>
      <c r="G990" t="s">
        <v>1052</v>
      </c>
      <c r="H990" t="s">
        <v>1289</v>
      </c>
      <c r="I990">
        <v>64.3</v>
      </c>
      <c r="J990" t="b">
        <v>1</v>
      </c>
      <c r="K990">
        <v>0.15955334987593051</v>
      </c>
      <c r="L990">
        <v>2310136</v>
      </c>
      <c r="M990" t="s">
        <v>1053</v>
      </c>
      <c r="N990">
        <v>403</v>
      </c>
      <c r="O990">
        <v>403</v>
      </c>
      <c r="P990"/>
      <c r="Q990">
        <v>134974</v>
      </c>
      <c r="R990">
        <v>1</v>
      </c>
      <c r="S990" t="s">
        <v>40</v>
      </c>
      <c r="T990">
        <v>261</v>
      </c>
      <c r="W990"/>
      <c r="Y990" t="s">
        <v>377</v>
      </c>
      <c r="Z990" t="s">
        <v>378</v>
      </c>
      <c r="AA990" t="s">
        <v>379</v>
      </c>
      <c r="AB990" t="s">
        <v>952</v>
      </c>
      <c r="AC990" t="s">
        <v>41</v>
      </c>
      <c r="AD990" t="s">
        <v>41</v>
      </c>
      <c r="AE990" t="s">
        <v>41</v>
      </c>
      <c r="AF990" t="s">
        <v>41</v>
      </c>
      <c r="AK990"/>
    </row>
    <row r="991" spans="1:37" x14ac:dyDescent="0.25">
      <c r="A991" t="s">
        <v>48</v>
      </c>
      <c r="B991">
        <v>45998.914849537039</v>
      </c>
      <c r="C991">
        <v>92002</v>
      </c>
      <c r="D991" t="s">
        <v>745</v>
      </c>
      <c r="E991">
        <v>4505671</v>
      </c>
      <c r="F991">
        <v>2104879</v>
      </c>
      <c r="G991" t="s">
        <v>556</v>
      </c>
      <c r="H991" t="s">
        <v>1321</v>
      </c>
      <c r="I991">
        <v>10</v>
      </c>
      <c r="J991" t="b">
        <v>1</v>
      </c>
      <c r="K991">
        <v>1.1111111111111112</v>
      </c>
      <c r="L991">
        <v>2106199</v>
      </c>
      <c r="M991" t="s">
        <v>558</v>
      </c>
      <c r="N991">
        <v>9</v>
      </c>
      <c r="O991">
        <v>9</v>
      </c>
      <c r="P991"/>
      <c r="Q991">
        <v>134971</v>
      </c>
      <c r="R991">
        <v>2</v>
      </c>
      <c r="S991" t="s">
        <v>40</v>
      </c>
      <c r="T991">
        <v>261</v>
      </c>
      <c r="U991">
        <v>147664</v>
      </c>
      <c r="V991">
        <v>48</v>
      </c>
      <c r="W991" t="s">
        <v>40</v>
      </c>
      <c r="X991">
        <v>261</v>
      </c>
      <c r="Y991" t="s">
        <v>377</v>
      </c>
      <c r="Z991" t="s">
        <v>378</v>
      </c>
      <c r="AA991" t="s">
        <v>379</v>
      </c>
      <c r="AB991" t="s">
        <v>559</v>
      </c>
      <c r="AC991" t="s">
        <v>41</v>
      </c>
      <c r="AD991" t="s">
        <v>41</v>
      </c>
      <c r="AE991" t="s">
        <v>41</v>
      </c>
      <c r="AF991" t="s">
        <v>41</v>
      </c>
      <c r="AK991"/>
    </row>
    <row r="992" spans="1:37" x14ac:dyDescent="0.25">
      <c r="A992" t="s">
        <v>39</v>
      </c>
      <c r="B992">
        <v>45999.343229166669</v>
      </c>
      <c r="C992">
        <v>92575</v>
      </c>
      <c r="D992" t="s">
        <v>457</v>
      </c>
      <c r="E992">
        <v>4504719</v>
      </c>
      <c r="F992">
        <v>2310135</v>
      </c>
      <c r="G992" t="s">
        <v>1052</v>
      </c>
      <c r="H992" t="s">
        <v>1304</v>
      </c>
      <c r="I992">
        <v>64.3</v>
      </c>
      <c r="J992" t="b">
        <v>0</v>
      </c>
      <c r="K992">
        <v>0.15759803921568627</v>
      </c>
      <c r="L992">
        <v>2310316</v>
      </c>
      <c r="M992" t="s">
        <v>996</v>
      </c>
      <c r="N992">
        <v>408</v>
      </c>
      <c r="O992">
        <v>408</v>
      </c>
      <c r="P992"/>
      <c r="Q992">
        <v>134974</v>
      </c>
      <c r="R992">
        <v>1</v>
      </c>
      <c r="S992" t="s">
        <v>40</v>
      </c>
      <c r="T992">
        <v>261</v>
      </c>
      <c r="W992"/>
      <c r="Y992" t="s">
        <v>377</v>
      </c>
      <c r="Z992" t="s">
        <v>378</v>
      </c>
      <c r="AA992" t="s">
        <v>379</v>
      </c>
      <c r="AB992" t="s">
        <v>1296</v>
      </c>
      <c r="AC992" t="s">
        <v>41</v>
      </c>
      <c r="AD992" t="s">
        <v>41</v>
      </c>
      <c r="AE992" t="s">
        <v>41</v>
      </c>
      <c r="AF992" t="s">
        <v>41</v>
      </c>
      <c r="AK992"/>
    </row>
    <row r="993" spans="1:38" x14ac:dyDescent="0.25">
      <c r="A993" t="s">
        <v>39</v>
      </c>
      <c r="B993">
        <v>45999.344976851855</v>
      </c>
      <c r="C993">
        <v>92575</v>
      </c>
      <c r="D993" t="s">
        <v>457</v>
      </c>
      <c r="E993">
        <v>4504719</v>
      </c>
      <c r="F993">
        <v>2310135</v>
      </c>
      <c r="G993" t="s">
        <v>1052</v>
      </c>
      <c r="H993" t="s">
        <v>1304</v>
      </c>
      <c r="I993">
        <v>64.3</v>
      </c>
      <c r="J993" t="b">
        <v>1</v>
      </c>
      <c r="K993">
        <v>0.15759803921568627</v>
      </c>
      <c r="L993">
        <v>2310136</v>
      </c>
      <c r="M993" t="s">
        <v>1053</v>
      </c>
      <c r="N993">
        <v>408</v>
      </c>
      <c r="O993">
        <v>408</v>
      </c>
      <c r="P993"/>
      <c r="Q993">
        <v>134974</v>
      </c>
      <c r="R993">
        <v>1</v>
      </c>
      <c r="S993" t="s">
        <v>40</v>
      </c>
      <c r="T993">
        <v>261</v>
      </c>
      <c r="W993"/>
      <c r="Y993" t="s">
        <v>377</v>
      </c>
      <c r="Z993" t="s">
        <v>378</v>
      </c>
      <c r="AA993" t="s">
        <v>379</v>
      </c>
      <c r="AB993" t="s">
        <v>1296</v>
      </c>
      <c r="AC993" t="s">
        <v>41</v>
      </c>
      <c r="AD993" t="s">
        <v>41</v>
      </c>
      <c r="AE993" t="s">
        <v>41</v>
      </c>
      <c r="AF993" t="s">
        <v>41</v>
      </c>
      <c r="AK993"/>
    </row>
    <row r="994" spans="1:38" x14ac:dyDescent="0.25">
      <c r="A994" t="s">
        <v>43</v>
      </c>
      <c r="B994">
        <v>45999.555706018517</v>
      </c>
      <c r="C994">
        <v>89159</v>
      </c>
      <c r="D994" t="s">
        <v>373</v>
      </c>
      <c r="E994">
        <v>4505404</v>
      </c>
      <c r="F994">
        <v>2104855</v>
      </c>
      <c r="G994" t="s">
        <v>885</v>
      </c>
      <c r="H994" t="s">
        <v>1322</v>
      </c>
      <c r="I994">
        <v>5</v>
      </c>
      <c r="J994" t="b">
        <v>1</v>
      </c>
      <c r="K994">
        <v>1.25</v>
      </c>
      <c r="L994">
        <v>2106173</v>
      </c>
      <c r="M994" t="s">
        <v>886</v>
      </c>
      <c r="N994">
        <v>4</v>
      </c>
      <c r="O994">
        <v>4</v>
      </c>
      <c r="P994"/>
      <c r="Q994">
        <v>134971</v>
      </c>
      <c r="R994">
        <v>1</v>
      </c>
      <c r="S994" t="s">
        <v>40</v>
      </c>
      <c r="T994">
        <v>261</v>
      </c>
      <c r="U994">
        <v>147664</v>
      </c>
      <c r="V994">
        <v>24</v>
      </c>
      <c r="W994" t="s">
        <v>40</v>
      </c>
      <c r="X994">
        <v>261</v>
      </c>
      <c r="Y994" t="s">
        <v>377</v>
      </c>
      <c r="Z994" t="s">
        <v>378</v>
      </c>
      <c r="AA994" t="s">
        <v>379</v>
      </c>
      <c r="AB994" t="s">
        <v>384</v>
      </c>
      <c r="AC994" t="s">
        <v>41</v>
      </c>
      <c r="AD994" t="s">
        <v>41</v>
      </c>
      <c r="AE994" t="s">
        <v>41</v>
      </c>
      <c r="AF994" t="s">
        <v>41</v>
      </c>
      <c r="AK994"/>
    </row>
    <row r="995" spans="1:38" x14ac:dyDescent="0.25">
      <c r="A995" t="s">
        <v>43</v>
      </c>
      <c r="B995">
        <v>45999.556550925925</v>
      </c>
      <c r="C995">
        <v>89159</v>
      </c>
      <c r="D995" t="s">
        <v>373</v>
      </c>
      <c r="E995">
        <v>4505405</v>
      </c>
      <c r="F995">
        <v>2104855</v>
      </c>
      <c r="G995" t="s">
        <v>885</v>
      </c>
      <c r="H995" t="s">
        <v>1322</v>
      </c>
      <c r="I995">
        <v>5</v>
      </c>
      <c r="J995" t="b">
        <v>1</v>
      </c>
      <c r="K995">
        <v>0.625</v>
      </c>
      <c r="L995">
        <v>2106173</v>
      </c>
      <c r="M995" t="s">
        <v>886</v>
      </c>
      <c r="N995">
        <v>8</v>
      </c>
      <c r="O995">
        <v>8</v>
      </c>
      <c r="P995"/>
      <c r="Q995">
        <v>134907</v>
      </c>
      <c r="R995">
        <v>1</v>
      </c>
      <c r="S995" t="s">
        <v>40</v>
      </c>
      <c r="T995">
        <v>261</v>
      </c>
      <c r="U995">
        <v>147664</v>
      </c>
      <c r="V995">
        <v>24</v>
      </c>
      <c r="W995" t="s">
        <v>40</v>
      </c>
      <c r="X995">
        <v>261</v>
      </c>
      <c r="Y995" t="s">
        <v>377</v>
      </c>
      <c r="Z995" t="s">
        <v>378</v>
      </c>
      <c r="AA995" t="s">
        <v>379</v>
      </c>
      <c r="AB995" t="s">
        <v>400</v>
      </c>
      <c r="AC995" t="s">
        <v>41</v>
      </c>
      <c r="AD995" t="s">
        <v>41</v>
      </c>
      <c r="AE995" t="s">
        <v>41</v>
      </c>
      <c r="AF995" t="s">
        <v>41</v>
      </c>
      <c r="AK995"/>
    </row>
    <row r="996" spans="1:38" x14ac:dyDescent="0.25">
      <c r="A996" t="s">
        <v>39</v>
      </c>
      <c r="B996">
        <v>45999.738935185182</v>
      </c>
      <c r="C996">
        <v>92578</v>
      </c>
      <c r="D996" t="s">
        <v>373</v>
      </c>
      <c r="E996">
        <v>4505739</v>
      </c>
      <c r="F996">
        <v>2310135</v>
      </c>
      <c r="H996" t="s">
        <v>1323</v>
      </c>
      <c r="I996">
        <v>64.3</v>
      </c>
      <c r="J996" t="b">
        <v>0</v>
      </c>
      <c r="K996">
        <v>0.14747706422018347</v>
      </c>
      <c r="L996">
        <v>2310136</v>
      </c>
      <c r="M996" t="s">
        <v>1053</v>
      </c>
      <c r="N996">
        <v>436</v>
      </c>
      <c r="O996">
        <v>408</v>
      </c>
      <c r="P996"/>
      <c r="Q996">
        <v>134974</v>
      </c>
      <c r="R996">
        <v>1</v>
      </c>
      <c r="S996" t="s">
        <v>40</v>
      </c>
      <c r="T996">
        <v>261</v>
      </c>
      <c r="W996"/>
      <c r="Y996" t="s">
        <v>377</v>
      </c>
      <c r="Z996" t="s">
        <v>378</v>
      </c>
      <c r="AA996" t="s">
        <v>379</v>
      </c>
      <c r="AB996" t="s">
        <v>1324</v>
      </c>
      <c r="AC996" t="s">
        <v>41</v>
      </c>
      <c r="AD996" t="s">
        <v>41</v>
      </c>
      <c r="AE996" t="s">
        <v>41</v>
      </c>
      <c r="AF996" t="s">
        <v>41</v>
      </c>
      <c r="AK996"/>
    </row>
    <row r="997" spans="1:38" x14ac:dyDescent="0.25">
      <c r="A997" t="s">
        <v>37</v>
      </c>
      <c r="B997">
        <v>45999.854224537034</v>
      </c>
      <c r="C997">
        <v>92003</v>
      </c>
      <c r="D997" t="s">
        <v>531</v>
      </c>
      <c r="E997">
        <v>4505673</v>
      </c>
      <c r="F997">
        <v>2104879</v>
      </c>
      <c r="G997" t="s">
        <v>556</v>
      </c>
      <c r="H997" t="s">
        <v>1325</v>
      </c>
      <c r="I997">
        <v>5</v>
      </c>
      <c r="J997" t="b">
        <v>1</v>
      </c>
      <c r="K997">
        <v>1</v>
      </c>
      <c r="L997">
        <v>2106199</v>
      </c>
      <c r="M997" t="s">
        <v>558</v>
      </c>
      <c r="N997">
        <v>5</v>
      </c>
      <c r="O997">
        <v>5</v>
      </c>
      <c r="P997"/>
      <c r="Q997">
        <v>134971</v>
      </c>
      <c r="R997">
        <v>1</v>
      </c>
      <c r="S997" t="s">
        <v>40</v>
      </c>
      <c r="T997">
        <v>261</v>
      </c>
      <c r="U997">
        <v>147664</v>
      </c>
      <c r="V997">
        <v>24</v>
      </c>
      <c r="W997" t="s">
        <v>40</v>
      </c>
      <c r="X997">
        <v>261</v>
      </c>
      <c r="Y997" t="s">
        <v>377</v>
      </c>
      <c r="Z997" t="s">
        <v>378</v>
      </c>
      <c r="AA997" t="s">
        <v>379</v>
      </c>
      <c r="AB997" t="s">
        <v>559</v>
      </c>
      <c r="AC997" t="s">
        <v>41</v>
      </c>
      <c r="AD997" t="s">
        <v>41</v>
      </c>
      <c r="AE997" t="s">
        <v>41</v>
      </c>
      <c r="AF997" t="s">
        <v>41</v>
      </c>
      <c r="AK997"/>
    </row>
    <row r="998" spans="1:38" x14ac:dyDescent="0.25">
      <c r="A998" t="s">
        <v>37</v>
      </c>
      <c r="B998">
        <v>45999.855821759258</v>
      </c>
      <c r="C998">
        <v>92003</v>
      </c>
      <c r="D998" t="s">
        <v>531</v>
      </c>
      <c r="E998">
        <v>4505672</v>
      </c>
      <c r="F998">
        <v>2104879</v>
      </c>
      <c r="G998" t="s">
        <v>556</v>
      </c>
      <c r="H998" t="s">
        <v>1325</v>
      </c>
      <c r="I998">
        <v>5</v>
      </c>
      <c r="J998" t="b">
        <v>1</v>
      </c>
      <c r="K998">
        <v>1.25</v>
      </c>
      <c r="L998">
        <v>2106199</v>
      </c>
      <c r="M998" t="s">
        <v>558</v>
      </c>
      <c r="N998">
        <v>4</v>
      </c>
      <c r="O998">
        <v>4</v>
      </c>
      <c r="P998"/>
      <c r="Q998">
        <v>134971</v>
      </c>
      <c r="R998">
        <v>1</v>
      </c>
      <c r="S998" t="s">
        <v>40</v>
      </c>
      <c r="T998">
        <v>261</v>
      </c>
      <c r="U998">
        <v>147664</v>
      </c>
      <c r="V998">
        <v>24</v>
      </c>
      <c r="W998" t="s">
        <v>40</v>
      </c>
      <c r="X998">
        <v>261</v>
      </c>
      <c r="Y998" t="s">
        <v>377</v>
      </c>
      <c r="Z998" t="s">
        <v>378</v>
      </c>
      <c r="AA998" t="s">
        <v>379</v>
      </c>
      <c r="AB998" t="s">
        <v>384</v>
      </c>
      <c r="AC998" t="s">
        <v>41</v>
      </c>
      <c r="AD998" t="s">
        <v>41</v>
      </c>
      <c r="AE998" t="s">
        <v>41</v>
      </c>
      <c r="AF998" t="s">
        <v>41</v>
      </c>
      <c r="AK998"/>
    </row>
    <row r="999" spans="1:38" x14ac:dyDescent="0.25">
      <c r="A999" t="s">
        <v>45</v>
      </c>
      <c r="B999">
        <v>46000.29315972222</v>
      </c>
      <c r="C999">
        <v>92082</v>
      </c>
      <c r="D999" t="s">
        <v>373</v>
      </c>
      <c r="E999">
        <v>4505447</v>
      </c>
      <c r="F999">
        <v>2310716</v>
      </c>
      <c r="G999" t="s">
        <v>1326</v>
      </c>
      <c r="H999" t="s">
        <v>1311</v>
      </c>
      <c r="I999">
        <v>20</v>
      </c>
      <c r="J999" t="b">
        <v>1</v>
      </c>
      <c r="K999">
        <v>9.0909090909090912E-2</v>
      </c>
      <c r="L999">
        <v>2310717</v>
      </c>
      <c r="M999" t="s">
        <v>1327</v>
      </c>
      <c r="N999">
        <v>220</v>
      </c>
      <c r="O999">
        <v>220</v>
      </c>
      <c r="P999"/>
      <c r="Q999">
        <v>134908</v>
      </c>
      <c r="R999">
        <v>1</v>
      </c>
      <c r="S999" t="s">
        <v>40</v>
      </c>
      <c r="T999">
        <v>261</v>
      </c>
      <c r="U999">
        <v>147664</v>
      </c>
      <c r="V999">
        <v>24</v>
      </c>
      <c r="W999" t="s">
        <v>40</v>
      </c>
      <c r="X999">
        <v>261</v>
      </c>
      <c r="Y999" t="s">
        <v>377</v>
      </c>
      <c r="Z999" t="s">
        <v>378</v>
      </c>
      <c r="AA999" t="s">
        <v>379</v>
      </c>
      <c r="AB999" t="s">
        <v>932</v>
      </c>
      <c r="AC999" t="s">
        <v>41</v>
      </c>
      <c r="AD999" t="s">
        <v>41</v>
      </c>
      <c r="AE999" t="s">
        <v>41</v>
      </c>
      <c r="AF999" t="s">
        <v>41</v>
      </c>
      <c r="AK999"/>
    </row>
    <row r="1000" spans="1:38" x14ac:dyDescent="0.25">
      <c r="A1000" t="s">
        <v>39</v>
      </c>
      <c r="B1000">
        <v>46000.298993055556</v>
      </c>
      <c r="C1000">
        <v>92578</v>
      </c>
      <c r="D1000" t="s">
        <v>373</v>
      </c>
      <c r="E1000">
        <v>4505739</v>
      </c>
      <c r="F1000">
        <v>2310135</v>
      </c>
      <c r="G1000" t="s">
        <v>1052</v>
      </c>
      <c r="H1000" t="s">
        <v>1323</v>
      </c>
      <c r="I1000">
        <v>64.3</v>
      </c>
      <c r="J1000" t="b">
        <v>1</v>
      </c>
      <c r="K1000">
        <v>0.14747706422018347</v>
      </c>
      <c r="L1000">
        <v>2310136</v>
      </c>
      <c r="M1000" t="s">
        <v>1053</v>
      </c>
      <c r="N1000">
        <v>436</v>
      </c>
      <c r="O1000">
        <v>408</v>
      </c>
      <c r="P1000"/>
      <c r="Q1000">
        <v>134974</v>
      </c>
      <c r="R1000">
        <v>1</v>
      </c>
      <c r="S1000" t="s">
        <v>40</v>
      </c>
      <c r="T1000">
        <v>261</v>
      </c>
      <c r="W1000"/>
      <c r="Y1000" t="s">
        <v>377</v>
      </c>
      <c r="Z1000" t="s">
        <v>378</v>
      </c>
      <c r="AA1000" t="s">
        <v>379</v>
      </c>
      <c r="AB1000" t="s">
        <v>1324</v>
      </c>
      <c r="AC1000" t="s">
        <v>41</v>
      </c>
      <c r="AD1000" t="s">
        <v>41</v>
      </c>
      <c r="AE1000" t="s">
        <v>41</v>
      </c>
      <c r="AF1000" t="s">
        <v>41</v>
      </c>
      <c r="AK1000"/>
    </row>
    <row r="1001" spans="1:38" x14ac:dyDescent="0.25">
      <c r="A1001" t="s">
        <v>37</v>
      </c>
      <c r="B1001">
        <v>46000.45952546296</v>
      </c>
      <c r="C1001">
        <v>92086</v>
      </c>
      <c r="D1001" t="s">
        <v>373</v>
      </c>
      <c r="E1001">
        <v>4504835</v>
      </c>
      <c r="F1001">
        <v>2138471</v>
      </c>
      <c r="G1001" t="s">
        <v>1328</v>
      </c>
      <c r="H1001" t="s">
        <v>1128</v>
      </c>
      <c r="I1001">
        <v>5</v>
      </c>
      <c r="J1001" t="b">
        <v>1</v>
      </c>
      <c r="K1001">
        <v>1.4367816091954023E-2</v>
      </c>
      <c r="L1001">
        <v>2138509</v>
      </c>
      <c r="M1001" t="s">
        <v>1329</v>
      </c>
      <c r="N1001">
        <v>348</v>
      </c>
      <c r="O1001">
        <v>307</v>
      </c>
      <c r="P1001"/>
      <c r="Q1001">
        <v>134976</v>
      </c>
      <c r="R1001">
        <v>1</v>
      </c>
      <c r="S1001" t="s">
        <v>40</v>
      </c>
      <c r="T1001">
        <v>261</v>
      </c>
      <c r="W1001"/>
      <c r="Y1001" t="s">
        <v>377</v>
      </c>
      <c r="Z1001" t="s">
        <v>378</v>
      </c>
      <c r="AA1001" t="s">
        <v>379</v>
      </c>
      <c r="AB1001" t="s">
        <v>739</v>
      </c>
      <c r="AC1001" t="s">
        <v>41</v>
      </c>
      <c r="AD1001" t="s">
        <v>41</v>
      </c>
      <c r="AE1001" t="s">
        <v>41</v>
      </c>
      <c r="AF1001" t="s">
        <v>41</v>
      </c>
      <c r="AK1001"/>
    </row>
    <row r="1002" spans="1:38" x14ac:dyDescent="0.25">
      <c r="A1002" t="s">
        <v>39</v>
      </c>
      <c r="B1002">
        <v>46000.588935185187</v>
      </c>
      <c r="C1002">
        <v>89161</v>
      </c>
      <c r="D1002" t="s">
        <v>373</v>
      </c>
      <c r="E1002">
        <v>4505837</v>
      </c>
      <c r="F1002">
        <v>110315</v>
      </c>
      <c r="G1002" t="s">
        <v>1330</v>
      </c>
      <c r="H1002" t="s">
        <v>1331</v>
      </c>
      <c r="I1002">
        <v>10</v>
      </c>
      <c r="J1002" t="b">
        <v>1</v>
      </c>
      <c r="K1002">
        <v>1.25</v>
      </c>
      <c r="L1002">
        <v>110316</v>
      </c>
      <c r="M1002" t="s">
        <v>1332</v>
      </c>
      <c r="N1002">
        <v>8</v>
      </c>
      <c r="O1002">
        <v>8</v>
      </c>
      <c r="P1002"/>
      <c r="Q1002">
        <v>134908</v>
      </c>
      <c r="R1002">
        <v>1</v>
      </c>
      <c r="S1002" t="s">
        <v>40</v>
      </c>
      <c r="T1002">
        <v>261</v>
      </c>
      <c r="U1002">
        <v>147664</v>
      </c>
      <c r="V1002">
        <v>24</v>
      </c>
      <c r="W1002" t="s">
        <v>40</v>
      </c>
      <c r="X1002">
        <v>261</v>
      </c>
      <c r="Y1002" t="s">
        <v>377</v>
      </c>
      <c r="Z1002" t="s">
        <v>378</v>
      </c>
      <c r="AA1002" t="s">
        <v>379</v>
      </c>
      <c r="AB1002" t="s">
        <v>400</v>
      </c>
      <c r="AC1002" t="s">
        <v>41</v>
      </c>
      <c r="AD1002" t="s">
        <v>41</v>
      </c>
      <c r="AE1002" t="s">
        <v>41</v>
      </c>
      <c r="AF1002" t="s">
        <v>41</v>
      </c>
      <c r="AK1002"/>
    </row>
    <row r="1003" spans="1:38" x14ac:dyDescent="0.25">
      <c r="A1003" t="s">
        <v>43</v>
      </c>
      <c r="B1003">
        <v>46000.604513888888</v>
      </c>
      <c r="C1003">
        <v>89163</v>
      </c>
      <c r="D1003" t="s">
        <v>373</v>
      </c>
      <c r="E1003">
        <v>4505889</v>
      </c>
      <c r="F1003">
        <v>142729</v>
      </c>
      <c r="G1003" t="s">
        <v>1333</v>
      </c>
      <c r="H1003" t="s">
        <v>1311</v>
      </c>
      <c r="I1003">
        <v>10</v>
      </c>
      <c r="J1003" t="b">
        <v>1</v>
      </c>
      <c r="K1003">
        <v>0.83333333333333337</v>
      </c>
      <c r="L1003">
        <v>142730</v>
      </c>
      <c r="M1003" t="s">
        <v>1334</v>
      </c>
      <c r="N1003">
        <v>12</v>
      </c>
      <c r="O1003">
        <v>12</v>
      </c>
      <c r="P1003"/>
      <c r="Q1003">
        <v>134971</v>
      </c>
      <c r="R1003">
        <v>1</v>
      </c>
      <c r="S1003" t="s">
        <v>40</v>
      </c>
      <c r="T1003">
        <v>261</v>
      </c>
      <c r="U1003">
        <v>147664</v>
      </c>
      <c r="V1003">
        <v>48</v>
      </c>
      <c r="W1003" t="s">
        <v>40</v>
      </c>
      <c r="X1003">
        <v>261</v>
      </c>
      <c r="Y1003" t="s">
        <v>377</v>
      </c>
      <c r="Z1003" t="s">
        <v>378</v>
      </c>
      <c r="AA1003" t="s">
        <v>379</v>
      </c>
      <c r="AB1003" t="s">
        <v>400</v>
      </c>
      <c r="AC1003" t="s">
        <v>379</v>
      </c>
      <c r="AD1003" t="s">
        <v>384</v>
      </c>
      <c r="AE1003" t="s">
        <v>41</v>
      </c>
      <c r="AF1003" t="s">
        <v>41</v>
      </c>
      <c r="AI1003">
        <v>134907</v>
      </c>
      <c r="AJ1003">
        <v>1</v>
      </c>
      <c r="AK1003" t="s">
        <v>40</v>
      </c>
      <c r="AL1003">
        <v>261</v>
      </c>
    </row>
    <row r="1004" spans="1:38" x14ac:dyDescent="0.25">
      <c r="A1004" t="s">
        <v>38</v>
      </c>
      <c r="B1004">
        <v>46000.752488425926</v>
      </c>
      <c r="C1004">
        <v>90455</v>
      </c>
      <c r="D1004" t="s">
        <v>745</v>
      </c>
      <c r="E1004">
        <v>4501488</v>
      </c>
      <c r="F1004">
        <v>2304758</v>
      </c>
      <c r="G1004" t="s">
        <v>402</v>
      </c>
      <c r="H1004" t="s">
        <v>1335</v>
      </c>
      <c r="I1004">
        <v>14</v>
      </c>
      <c r="J1004" t="b">
        <v>1</v>
      </c>
      <c r="K1004">
        <v>1.75</v>
      </c>
      <c r="L1004">
        <v>2304759</v>
      </c>
      <c r="M1004" t="s">
        <v>404</v>
      </c>
      <c r="N1004">
        <v>8</v>
      </c>
      <c r="O1004">
        <v>8</v>
      </c>
      <c r="P1004"/>
      <c r="Q1004">
        <v>155687</v>
      </c>
      <c r="R1004">
        <v>2</v>
      </c>
      <c r="S1004" t="s">
        <v>40</v>
      </c>
      <c r="T1004">
        <v>261</v>
      </c>
      <c r="U1004">
        <v>147664</v>
      </c>
      <c r="V1004">
        <v>48</v>
      </c>
      <c r="W1004" t="s">
        <v>40</v>
      </c>
      <c r="X1004">
        <v>261</v>
      </c>
      <c r="Y1004" t="s">
        <v>377</v>
      </c>
      <c r="Z1004" t="s">
        <v>378</v>
      </c>
      <c r="AA1004" t="s">
        <v>384</v>
      </c>
      <c r="AB1004" t="s">
        <v>384</v>
      </c>
      <c r="AC1004" t="s">
        <v>41</v>
      </c>
      <c r="AD1004" t="s">
        <v>41</v>
      </c>
      <c r="AE1004" t="s">
        <v>41</v>
      </c>
      <c r="AF1004" t="s">
        <v>41</v>
      </c>
      <c r="AK1004"/>
    </row>
    <row r="1005" spans="1:38" x14ac:dyDescent="0.25">
      <c r="A1005" t="s">
        <v>44</v>
      </c>
      <c r="B1005">
        <v>46000.882881944446</v>
      </c>
      <c r="C1005">
        <v>92004</v>
      </c>
      <c r="D1005" t="s">
        <v>745</v>
      </c>
      <c r="E1005">
        <v>4487646</v>
      </c>
      <c r="F1005">
        <v>156695</v>
      </c>
      <c r="G1005" t="s">
        <v>1336</v>
      </c>
      <c r="H1005" t="s">
        <v>1298</v>
      </c>
      <c r="I1005">
        <v>14</v>
      </c>
      <c r="J1005" t="b">
        <v>1</v>
      </c>
      <c r="K1005">
        <v>1.75</v>
      </c>
      <c r="L1005">
        <v>156696</v>
      </c>
      <c r="M1005" t="s">
        <v>1337</v>
      </c>
      <c r="N1005">
        <v>8</v>
      </c>
      <c r="O1005">
        <v>8</v>
      </c>
      <c r="P1005"/>
      <c r="Q1005">
        <v>134906</v>
      </c>
      <c r="R1005">
        <v>1</v>
      </c>
      <c r="S1005" t="s">
        <v>40</v>
      </c>
      <c r="T1005">
        <v>261</v>
      </c>
      <c r="U1005">
        <v>147664</v>
      </c>
      <c r="V1005">
        <v>48</v>
      </c>
      <c r="W1005" t="s">
        <v>40</v>
      </c>
      <c r="X1005">
        <v>261</v>
      </c>
      <c r="Y1005" t="s">
        <v>377</v>
      </c>
      <c r="Z1005" t="s">
        <v>378</v>
      </c>
      <c r="AA1005" t="s">
        <v>384</v>
      </c>
      <c r="AB1005" t="s">
        <v>384</v>
      </c>
      <c r="AC1005" t="s">
        <v>41</v>
      </c>
      <c r="AD1005" t="s">
        <v>41</v>
      </c>
      <c r="AE1005" t="s">
        <v>41</v>
      </c>
      <c r="AF1005" t="s">
        <v>41</v>
      </c>
      <c r="AI1005">
        <v>155687</v>
      </c>
      <c r="AJ1005">
        <v>1</v>
      </c>
      <c r="AK1005" t="s">
        <v>40</v>
      </c>
      <c r="AL1005">
        <v>261</v>
      </c>
    </row>
    <row r="1006" spans="1:38" x14ac:dyDescent="0.25">
      <c r="A1006" t="s">
        <v>39</v>
      </c>
      <c r="B1006">
        <v>46000.920624999999</v>
      </c>
      <c r="C1006">
        <v>90745</v>
      </c>
      <c r="D1006" t="s">
        <v>745</v>
      </c>
      <c r="E1006">
        <v>4503337</v>
      </c>
      <c r="F1006">
        <v>2300226</v>
      </c>
      <c r="G1006" t="s">
        <v>1338</v>
      </c>
      <c r="H1006" t="s">
        <v>1339</v>
      </c>
      <c r="I1006">
        <v>5</v>
      </c>
      <c r="J1006" t="b">
        <v>1</v>
      </c>
      <c r="K1006">
        <v>0.27777777777777779</v>
      </c>
      <c r="L1006">
        <v>2300227</v>
      </c>
      <c r="M1006" t="s">
        <v>1340</v>
      </c>
      <c r="N1006">
        <v>18</v>
      </c>
      <c r="O1006">
        <v>18</v>
      </c>
      <c r="P1006"/>
      <c r="Q1006">
        <v>134971</v>
      </c>
      <c r="R1006">
        <v>1</v>
      </c>
      <c r="S1006" t="s">
        <v>40</v>
      </c>
      <c r="T1006">
        <v>261</v>
      </c>
      <c r="U1006">
        <v>147664</v>
      </c>
      <c r="V1006">
        <v>24</v>
      </c>
      <c r="W1006" t="s">
        <v>40</v>
      </c>
      <c r="X1006">
        <v>261</v>
      </c>
      <c r="Y1006" t="s">
        <v>377</v>
      </c>
      <c r="Z1006" t="s">
        <v>378</v>
      </c>
      <c r="AA1006" t="s">
        <v>379</v>
      </c>
      <c r="AB1006" t="s">
        <v>1341</v>
      </c>
      <c r="AC1006" t="s">
        <v>41</v>
      </c>
      <c r="AD1006" t="s">
        <v>41</v>
      </c>
      <c r="AE1006" t="s">
        <v>41</v>
      </c>
      <c r="AF1006" t="s">
        <v>41</v>
      </c>
      <c r="AK1006"/>
    </row>
    <row r="1007" spans="1:38" x14ac:dyDescent="0.25">
      <c r="A1007" t="s">
        <v>45</v>
      </c>
      <c r="B1007">
        <v>46001.015763888892</v>
      </c>
      <c r="C1007">
        <v>92088</v>
      </c>
      <c r="D1007" t="s">
        <v>745</v>
      </c>
      <c r="E1007">
        <v>4504190</v>
      </c>
      <c r="F1007">
        <v>2116326</v>
      </c>
      <c r="G1007" t="s">
        <v>1342</v>
      </c>
      <c r="H1007" t="s">
        <v>1156</v>
      </c>
      <c r="I1007">
        <v>2.5</v>
      </c>
      <c r="J1007" t="b">
        <v>1</v>
      </c>
      <c r="K1007">
        <v>1.6233766233766232E-2</v>
      </c>
      <c r="L1007">
        <v>2117498</v>
      </c>
      <c r="M1007" t="s">
        <v>1343</v>
      </c>
      <c r="N1007">
        <v>154</v>
      </c>
      <c r="O1007">
        <v>154</v>
      </c>
      <c r="P1007"/>
      <c r="Q1007">
        <v>134976</v>
      </c>
      <c r="R1007">
        <v>1</v>
      </c>
      <c r="S1007" t="s">
        <v>40</v>
      </c>
      <c r="T1007">
        <v>261</v>
      </c>
      <c r="W1007"/>
      <c r="Y1007" t="s">
        <v>377</v>
      </c>
      <c r="Z1007" t="s">
        <v>378</v>
      </c>
      <c r="AA1007" t="s">
        <v>379</v>
      </c>
      <c r="AB1007" t="s">
        <v>1191</v>
      </c>
      <c r="AC1007" t="s">
        <v>41</v>
      </c>
      <c r="AD1007" t="s">
        <v>41</v>
      </c>
      <c r="AE1007" t="s">
        <v>41</v>
      </c>
      <c r="AF1007" t="s">
        <v>41</v>
      </c>
      <c r="AK1007"/>
    </row>
    <row r="1008" spans="1:38" x14ac:dyDescent="0.25">
      <c r="A1008" t="s">
        <v>37</v>
      </c>
      <c r="B1008">
        <v>46001.084479166668</v>
      </c>
      <c r="C1008">
        <v>90751</v>
      </c>
      <c r="D1008" t="s">
        <v>745</v>
      </c>
      <c r="E1008">
        <v>4505885</v>
      </c>
      <c r="F1008">
        <v>2123975</v>
      </c>
      <c r="G1008" t="s">
        <v>1344</v>
      </c>
      <c r="H1008" t="s">
        <v>1311</v>
      </c>
      <c r="I1008">
        <v>3.75</v>
      </c>
      <c r="J1008" t="b">
        <v>1</v>
      </c>
      <c r="K1008">
        <v>0.234375</v>
      </c>
      <c r="L1008">
        <v>2124346</v>
      </c>
      <c r="M1008" t="s">
        <v>1345</v>
      </c>
      <c r="N1008">
        <v>16</v>
      </c>
      <c r="O1008">
        <v>20</v>
      </c>
      <c r="P1008"/>
      <c r="Q1008">
        <v>134971</v>
      </c>
      <c r="R1008">
        <v>1</v>
      </c>
      <c r="S1008" t="s">
        <v>40</v>
      </c>
      <c r="T1008">
        <v>261</v>
      </c>
      <c r="U1008">
        <v>147664</v>
      </c>
      <c r="V1008">
        <v>24</v>
      </c>
      <c r="W1008" t="s">
        <v>40</v>
      </c>
      <c r="X1008">
        <v>261</v>
      </c>
      <c r="Y1008" t="s">
        <v>377</v>
      </c>
      <c r="Z1008" t="s">
        <v>378</v>
      </c>
      <c r="AA1008" t="s">
        <v>379</v>
      </c>
      <c r="AB1008" t="s">
        <v>1264</v>
      </c>
      <c r="AC1008" t="s">
        <v>41</v>
      </c>
      <c r="AD1008" t="s">
        <v>41</v>
      </c>
      <c r="AE1008" t="s">
        <v>41</v>
      </c>
      <c r="AF1008" t="s">
        <v>41</v>
      </c>
      <c r="AK1008"/>
    </row>
    <row r="1009" spans="1:37" x14ac:dyDescent="0.25">
      <c r="A1009" t="s">
        <v>37</v>
      </c>
      <c r="B1009">
        <v>46001.085555555554</v>
      </c>
      <c r="C1009">
        <v>90751</v>
      </c>
      <c r="D1009" t="s">
        <v>745</v>
      </c>
      <c r="E1009">
        <v>4505885</v>
      </c>
      <c r="F1009">
        <v>2123975</v>
      </c>
      <c r="G1009" t="s">
        <v>1344</v>
      </c>
      <c r="H1009" t="s">
        <v>1311</v>
      </c>
      <c r="I1009">
        <v>3.75</v>
      </c>
      <c r="J1009" t="b">
        <v>1</v>
      </c>
      <c r="K1009">
        <v>0.9375</v>
      </c>
      <c r="L1009">
        <v>2124346</v>
      </c>
      <c r="M1009" t="s">
        <v>1345</v>
      </c>
      <c r="N1009">
        <v>4</v>
      </c>
      <c r="O1009">
        <v>4</v>
      </c>
      <c r="P1009"/>
      <c r="Q1009">
        <v>134971</v>
      </c>
      <c r="R1009">
        <v>1</v>
      </c>
      <c r="S1009" t="s">
        <v>40</v>
      </c>
      <c r="T1009">
        <v>261</v>
      </c>
      <c r="U1009">
        <v>147664</v>
      </c>
      <c r="V1009">
        <v>24</v>
      </c>
      <c r="W1009" t="s">
        <v>40</v>
      </c>
      <c r="X1009">
        <v>261</v>
      </c>
      <c r="Y1009" t="s">
        <v>377</v>
      </c>
      <c r="Z1009" t="s">
        <v>378</v>
      </c>
      <c r="AA1009" t="s">
        <v>379</v>
      </c>
      <c r="AB1009" t="s">
        <v>384</v>
      </c>
      <c r="AC1009" t="s">
        <v>41</v>
      </c>
      <c r="AD1009" t="s">
        <v>41</v>
      </c>
      <c r="AE1009" t="s">
        <v>41</v>
      </c>
      <c r="AF1009" t="s">
        <v>41</v>
      </c>
      <c r="AK1009"/>
    </row>
    <row r="1010" spans="1:37" x14ac:dyDescent="0.25">
      <c r="A1010" t="s">
        <v>50</v>
      </c>
      <c r="B1010">
        <v>46001.774768518517</v>
      </c>
      <c r="C1010">
        <v>92586</v>
      </c>
      <c r="D1010" t="s">
        <v>563</v>
      </c>
      <c r="E1010">
        <v>4505898</v>
      </c>
      <c r="F1010">
        <v>133815</v>
      </c>
      <c r="G1010" t="s">
        <v>1346</v>
      </c>
      <c r="H1010" t="s">
        <v>1339</v>
      </c>
      <c r="I1010">
        <v>28.5</v>
      </c>
      <c r="J1010" t="b">
        <v>1</v>
      </c>
      <c r="K1010">
        <v>0.27403846153846156</v>
      </c>
      <c r="L1010">
        <v>133816</v>
      </c>
      <c r="M1010" t="s">
        <v>1347</v>
      </c>
      <c r="N1010">
        <v>104</v>
      </c>
      <c r="O1010">
        <v>104</v>
      </c>
      <c r="P1010"/>
      <c r="Q1010">
        <v>134976</v>
      </c>
      <c r="R1010">
        <v>1</v>
      </c>
      <c r="S1010" t="s">
        <v>40</v>
      </c>
      <c r="T1010">
        <v>261</v>
      </c>
      <c r="W1010"/>
      <c r="Y1010" t="s">
        <v>377</v>
      </c>
      <c r="Z1010" t="s">
        <v>378</v>
      </c>
      <c r="AA1010" t="s">
        <v>379</v>
      </c>
      <c r="AB1010" t="s">
        <v>415</v>
      </c>
      <c r="AC1010" t="s">
        <v>41</v>
      </c>
      <c r="AD1010" t="s">
        <v>41</v>
      </c>
      <c r="AE1010" t="s">
        <v>41</v>
      </c>
      <c r="AF1010" t="s">
        <v>41</v>
      </c>
      <c r="AK1010"/>
    </row>
    <row r="1011" spans="1:37" x14ac:dyDescent="0.25">
      <c r="A1011" t="s">
        <v>47</v>
      </c>
      <c r="B1011">
        <v>46001.777569444443</v>
      </c>
      <c r="C1011">
        <v>92588</v>
      </c>
      <c r="D1011" t="s">
        <v>563</v>
      </c>
      <c r="E1011">
        <v>4492531</v>
      </c>
      <c r="F1011">
        <v>2104723</v>
      </c>
      <c r="G1011" t="s">
        <v>1348</v>
      </c>
      <c r="H1011" t="s">
        <v>1292</v>
      </c>
      <c r="I1011">
        <v>28.5</v>
      </c>
      <c r="J1011" t="b">
        <v>1</v>
      </c>
      <c r="K1011">
        <v>0.21268656716417911</v>
      </c>
      <c r="L1011">
        <v>2106047</v>
      </c>
      <c r="M1011" t="s">
        <v>1349</v>
      </c>
      <c r="N1011">
        <v>134</v>
      </c>
      <c r="O1011">
        <v>134</v>
      </c>
      <c r="P1011"/>
      <c r="Q1011">
        <v>134976</v>
      </c>
      <c r="R1011">
        <v>1</v>
      </c>
      <c r="S1011" t="s">
        <v>40</v>
      </c>
      <c r="T1011">
        <v>261</v>
      </c>
      <c r="W1011"/>
      <c r="Y1011" t="s">
        <v>377</v>
      </c>
      <c r="Z1011" t="s">
        <v>378</v>
      </c>
      <c r="AA1011" t="s">
        <v>379</v>
      </c>
      <c r="AB1011" t="s">
        <v>1098</v>
      </c>
      <c r="AC1011" t="s">
        <v>41</v>
      </c>
      <c r="AD1011" t="s">
        <v>41</v>
      </c>
      <c r="AE1011" t="s">
        <v>41</v>
      </c>
      <c r="AF1011" t="s">
        <v>41</v>
      </c>
      <c r="AK1011"/>
    </row>
    <row r="1012" spans="1:37" x14ac:dyDescent="0.25">
      <c r="A1012" t="s">
        <v>43</v>
      </c>
      <c r="B1012">
        <v>46001.781759259262</v>
      </c>
      <c r="C1012">
        <v>89164</v>
      </c>
      <c r="D1012" t="s">
        <v>563</v>
      </c>
      <c r="E1012">
        <v>4505408</v>
      </c>
      <c r="F1012">
        <v>2123980</v>
      </c>
      <c r="G1012" t="s">
        <v>1169</v>
      </c>
      <c r="H1012" t="s">
        <v>1298</v>
      </c>
      <c r="I1012">
        <v>7.5</v>
      </c>
      <c r="J1012" t="b">
        <v>1</v>
      </c>
      <c r="K1012">
        <v>0.9375</v>
      </c>
      <c r="L1012">
        <v>2106169</v>
      </c>
      <c r="M1012" t="s">
        <v>1170</v>
      </c>
      <c r="N1012">
        <v>8</v>
      </c>
      <c r="O1012">
        <v>12</v>
      </c>
      <c r="P1012"/>
      <c r="Q1012">
        <v>134905</v>
      </c>
      <c r="R1012">
        <v>1</v>
      </c>
      <c r="S1012" t="s">
        <v>40</v>
      </c>
      <c r="T1012">
        <v>261</v>
      </c>
      <c r="U1012">
        <v>147664</v>
      </c>
      <c r="V1012">
        <v>24</v>
      </c>
      <c r="W1012" t="s">
        <v>40</v>
      </c>
      <c r="X1012">
        <v>261</v>
      </c>
      <c r="Y1012" t="s">
        <v>377</v>
      </c>
      <c r="Z1012" t="s">
        <v>378</v>
      </c>
      <c r="AA1012" t="s">
        <v>379</v>
      </c>
      <c r="AB1012" t="s">
        <v>400</v>
      </c>
      <c r="AC1012" t="s">
        <v>41</v>
      </c>
      <c r="AD1012" t="s">
        <v>41</v>
      </c>
      <c r="AE1012" t="s">
        <v>41</v>
      </c>
      <c r="AF1012" t="s">
        <v>41</v>
      </c>
      <c r="AK1012"/>
    </row>
    <row r="1013" spans="1:37" x14ac:dyDescent="0.25">
      <c r="A1013" t="s">
        <v>43</v>
      </c>
      <c r="B1013">
        <v>46001.78261574074</v>
      </c>
      <c r="C1013">
        <v>89164</v>
      </c>
      <c r="D1013" t="s">
        <v>563</v>
      </c>
      <c r="E1013">
        <v>4505407</v>
      </c>
      <c r="F1013">
        <v>2123980</v>
      </c>
      <c r="G1013" t="s">
        <v>1169</v>
      </c>
      <c r="H1013" t="s">
        <v>1298</v>
      </c>
      <c r="I1013">
        <v>7.5</v>
      </c>
      <c r="J1013" t="b">
        <v>1</v>
      </c>
      <c r="K1013">
        <v>1.875</v>
      </c>
      <c r="L1013">
        <v>2106169</v>
      </c>
      <c r="M1013" t="s">
        <v>1170</v>
      </c>
      <c r="N1013">
        <v>4</v>
      </c>
      <c r="O1013">
        <v>4</v>
      </c>
      <c r="P1013"/>
      <c r="Q1013">
        <v>134905</v>
      </c>
      <c r="R1013">
        <v>1</v>
      </c>
      <c r="S1013" t="s">
        <v>40</v>
      </c>
      <c r="T1013">
        <v>261</v>
      </c>
      <c r="U1013">
        <v>147664</v>
      </c>
      <c r="V1013">
        <v>24</v>
      </c>
      <c r="W1013" t="s">
        <v>40</v>
      </c>
      <c r="X1013">
        <v>261</v>
      </c>
      <c r="Y1013" t="s">
        <v>377</v>
      </c>
      <c r="Z1013" t="s">
        <v>378</v>
      </c>
      <c r="AA1013" t="s">
        <v>379</v>
      </c>
      <c r="AB1013" t="s">
        <v>384</v>
      </c>
      <c r="AC1013" t="s">
        <v>41</v>
      </c>
      <c r="AD1013" t="s">
        <v>41</v>
      </c>
      <c r="AE1013" t="s">
        <v>41</v>
      </c>
      <c r="AF1013" t="s">
        <v>41</v>
      </c>
      <c r="AK1013"/>
    </row>
    <row r="1014" spans="1:37" x14ac:dyDescent="0.25">
      <c r="A1014" t="s">
        <v>39</v>
      </c>
      <c r="B1014">
        <v>46001.785312499997</v>
      </c>
      <c r="C1014">
        <v>92005</v>
      </c>
      <c r="D1014" t="s">
        <v>563</v>
      </c>
      <c r="E1014">
        <v>4505677</v>
      </c>
      <c r="F1014">
        <v>2104882</v>
      </c>
      <c r="G1014" t="s">
        <v>1148</v>
      </c>
      <c r="H1014" t="s">
        <v>1298</v>
      </c>
      <c r="I1014">
        <v>10</v>
      </c>
      <c r="J1014" t="b">
        <v>1</v>
      </c>
      <c r="K1014">
        <v>2</v>
      </c>
      <c r="L1014">
        <v>2106202</v>
      </c>
      <c r="M1014" t="s">
        <v>1149</v>
      </c>
      <c r="N1014">
        <v>5</v>
      </c>
      <c r="O1014">
        <v>5</v>
      </c>
      <c r="P1014"/>
      <c r="Q1014">
        <v>134905</v>
      </c>
      <c r="R1014">
        <v>1</v>
      </c>
      <c r="S1014" t="s">
        <v>40</v>
      </c>
      <c r="T1014">
        <v>261</v>
      </c>
      <c r="U1014">
        <v>147664</v>
      </c>
      <c r="V1014">
        <v>24</v>
      </c>
      <c r="W1014" t="s">
        <v>40</v>
      </c>
      <c r="X1014">
        <v>261</v>
      </c>
      <c r="Y1014" t="s">
        <v>377</v>
      </c>
      <c r="Z1014" t="s">
        <v>378</v>
      </c>
      <c r="AA1014" t="s">
        <v>379</v>
      </c>
      <c r="AB1014" t="s">
        <v>559</v>
      </c>
      <c r="AC1014" t="s">
        <v>41</v>
      </c>
      <c r="AD1014" t="s">
        <v>41</v>
      </c>
      <c r="AE1014" t="s">
        <v>41</v>
      </c>
      <c r="AF1014" t="s">
        <v>41</v>
      </c>
      <c r="AK1014"/>
    </row>
    <row r="1015" spans="1:37" x14ac:dyDescent="0.25">
      <c r="A1015" t="s">
        <v>39</v>
      </c>
      <c r="B1015">
        <v>46001.786412037036</v>
      </c>
      <c r="C1015">
        <v>92005</v>
      </c>
      <c r="D1015" t="s">
        <v>563</v>
      </c>
      <c r="E1015">
        <v>4505676</v>
      </c>
      <c r="F1015">
        <v>2104882</v>
      </c>
      <c r="G1015" t="s">
        <v>1148</v>
      </c>
      <c r="H1015" t="s">
        <v>1298</v>
      </c>
      <c r="I1015">
        <v>10</v>
      </c>
      <c r="J1015" t="b">
        <v>1</v>
      </c>
      <c r="K1015">
        <v>2.5</v>
      </c>
      <c r="L1015">
        <v>2106202</v>
      </c>
      <c r="M1015" t="s">
        <v>1149</v>
      </c>
      <c r="N1015">
        <v>4</v>
      </c>
      <c r="O1015">
        <v>4</v>
      </c>
      <c r="P1015"/>
      <c r="Q1015">
        <v>134905</v>
      </c>
      <c r="R1015">
        <v>1</v>
      </c>
      <c r="S1015" t="s">
        <v>40</v>
      </c>
      <c r="T1015">
        <v>261</v>
      </c>
      <c r="U1015">
        <v>147664</v>
      </c>
      <c r="V1015">
        <v>24</v>
      </c>
      <c r="W1015" t="s">
        <v>40</v>
      </c>
      <c r="X1015">
        <v>261</v>
      </c>
      <c r="Y1015" t="s">
        <v>377</v>
      </c>
      <c r="Z1015" t="s">
        <v>378</v>
      </c>
      <c r="AA1015" t="s">
        <v>379</v>
      </c>
      <c r="AB1015" t="s">
        <v>384</v>
      </c>
      <c r="AC1015" t="s">
        <v>41</v>
      </c>
      <c r="AD1015" t="s">
        <v>41</v>
      </c>
      <c r="AE1015" t="s">
        <v>41</v>
      </c>
      <c r="AF1015" t="s">
        <v>41</v>
      </c>
      <c r="AK1015"/>
    </row>
    <row r="1016" spans="1:37" x14ac:dyDescent="0.25">
      <c r="A1016" t="s">
        <v>37</v>
      </c>
      <c r="B1016">
        <v>46001.841041666667</v>
      </c>
      <c r="C1016">
        <v>90752</v>
      </c>
      <c r="D1016" t="s">
        <v>563</v>
      </c>
      <c r="E1016">
        <v>4505886</v>
      </c>
      <c r="F1016">
        <v>2123975</v>
      </c>
      <c r="G1016" t="s">
        <v>1344</v>
      </c>
      <c r="H1016" t="s">
        <v>1300</v>
      </c>
      <c r="I1016">
        <v>7.5</v>
      </c>
      <c r="J1016" t="b">
        <v>1</v>
      </c>
      <c r="K1016">
        <v>0.9375</v>
      </c>
      <c r="L1016">
        <v>2124346</v>
      </c>
      <c r="M1016" t="s">
        <v>1345</v>
      </c>
      <c r="N1016">
        <v>8</v>
      </c>
      <c r="O1016">
        <v>4</v>
      </c>
      <c r="P1016"/>
      <c r="Q1016">
        <v>134971</v>
      </c>
      <c r="R1016">
        <v>1</v>
      </c>
      <c r="S1016" t="s">
        <v>40</v>
      </c>
      <c r="T1016">
        <v>261</v>
      </c>
      <c r="U1016">
        <v>147664</v>
      </c>
      <c r="V1016">
        <v>24</v>
      </c>
      <c r="W1016" t="s">
        <v>40</v>
      </c>
      <c r="X1016">
        <v>261</v>
      </c>
      <c r="Y1016" t="s">
        <v>377</v>
      </c>
      <c r="Z1016" t="s">
        <v>378</v>
      </c>
      <c r="AA1016" t="s">
        <v>379</v>
      </c>
      <c r="AB1016" t="s">
        <v>400</v>
      </c>
      <c r="AC1016" t="s">
        <v>41</v>
      </c>
      <c r="AD1016" t="s">
        <v>41</v>
      </c>
      <c r="AE1016" t="s">
        <v>41</v>
      </c>
      <c r="AF1016" t="s">
        <v>41</v>
      </c>
      <c r="AK1016"/>
    </row>
    <row r="1017" spans="1:37" x14ac:dyDescent="0.25">
      <c r="A1017" t="s">
        <v>37</v>
      </c>
      <c r="B1017">
        <v>46001.84171296296</v>
      </c>
      <c r="C1017">
        <v>90752</v>
      </c>
      <c r="D1017" t="s">
        <v>563</v>
      </c>
      <c r="E1017">
        <v>4505887</v>
      </c>
      <c r="F1017">
        <v>2123975</v>
      </c>
      <c r="G1017" t="s">
        <v>1344</v>
      </c>
      <c r="H1017" t="s">
        <v>1300</v>
      </c>
      <c r="I1017">
        <v>7.5</v>
      </c>
      <c r="J1017" t="b">
        <v>1</v>
      </c>
      <c r="K1017">
        <v>0.625</v>
      </c>
      <c r="L1017">
        <v>2124346</v>
      </c>
      <c r="M1017" t="s">
        <v>1345</v>
      </c>
      <c r="N1017">
        <v>12</v>
      </c>
      <c r="O1017">
        <v>12</v>
      </c>
      <c r="P1017"/>
      <c r="Q1017">
        <v>134971</v>
      </c>
      <c r="R1017">
        <v>1</v>
      </c>
      <c r="S1017" t="s">
        <v>40</v>
      </c>
      <c r="T1017">
        <v>261</v>
      </c>
      <c r="U1017">
        <v>147664</v>
      </c>
      <c r="V1017">
        <v>24</v>
      </c>
      <c r="W1017" t="s">
        <v>40</v>
      </c>
      <c r="X1017">
        <v>261</v>
      </c>
      <c r="Y1017" t="s">
        <v>377</v>
      </c>
      <c r="Z1017" t="s">
        <v>378</v>
      </c>
      <c r="AA1017" t="s">
        <v>379</v>
      </c>
      <c r="AB1017" t="s">
        <v>409</v>
      </c>
      <c r="AC1017" t="s">
        <v>41</v>
      </c>
      <c r="AD1017" t="s">
        <v>41</v>
      </c>
      <c r="AE1017" t="s">
        <v>41</v>
      </c>
      <c r="AF1017" t="s">
        <v>41</v>
      </c>
      <c r="AK1017"/>
    </row>
    <row r="1018" spans="1:37" x14ac:dyDescent="0.25">
      <c r="A1018" t="s">
        <v>42</v>
      </c>
      <c r="B1018">
        <v>46002.065462962964</v>
      </c>
      <c r="C1018">
        <v>92591</v>
      </c>
      <c r="D1018" t="s">
        <v>843</v>
      </c>
      <c r="E1018">
        <v>4501740</v>
      </c>
      <c r="F1018">
        <v>120119</v>
      </c>
      <c r="G1018" t="s">
        <v>1350</v>
      </c>
      <c r="H1018" t="s">
        <v>1311</v>
      </c>
      <c r="I1018">
        <v>27</v>
      </c>
      <c r="J1018" t="b">
        <v>1</v>
      </c>
      <c r="K1018">
        <v>0.26213592233009708</v>
      </c>
      <c r="L1018">
        <v>120120</v>
      </c>
      <c r="M1018" t="s">
        <v>1351</v>
      </c>
      <c r="N1018">
        <v>103</v>
      </c>
      <c r="O1018">
        <v>103</v>
      </c>
      <c r="P1018"/>
      <c r="Q1018">
        <v>134976</v>
      </c>
      <c r="R1018">
        <v>1</v>
      </c>
      <c r="S1018" t="s">
        <v>40</v>
      </c>
      <c r="T1018">
        <v>261</v>
      </c>
      <c r="W1018"/>
      <c r="Y1018" t="s">
        <v>377</v>
      </c>
      <c r="Z1018" t="s">
        <v>378</v>
      </c>
      <c r="AA1018" t="s">
        <v>379</v>
      </c>
      <c r="AB1018" t="s">
        <v>825</v>
      </c>
      <c r="AC1018" t="s">
        <v>41</v>
      </c>
      <c r="AD1018" t="s">
        <v>41</v>
      </c>
      <c r="AE1018" t="s">
        <v>41</v>
      </c>
      <c r="AF1018" t="s">
        <v>41</v>
      </c>
      <c r="AK1018"/>
    </row>
    <row r="1019" spans="1:37" x14ac:dyDescent="0.25">
      <c r="A1019" t="s">
        <v>42</v>
      </c>
      <c r="B1019">
        <v>46002.067245370374</v>
      </c>
      <c r="C1019">
        <v>92590</v>
      </c>
      <c r="D1019" t="s">
        <v>843</v>
      </c>
      <c r="E1019">
        <v>4504922</v>
      </c>
      <c r="F1019">
        <v>2310315</v>
      </c>
      <c r="G1019" t="s">
        <v>995</v>
      </c>
      <c r="H1019" t="s">
        <v>1300</v>
      </c>
      <c r="I1019">
        <v>27</v>
      </c>
      <c r="J1019" t="b">
        <v>1</v>
      </c>
      <c r="K1019">
        <v>0.26213592233009708</v>
      </c>
      <c r="L1019">
        <v>2310316</v>
      </c>
      <c r="M1019" t="s">
        <v>996</v>
      </c>
      <c r="N1019">
        <v>103</v>
      </c>
      <c r="O1019">
        <v>103</v>
      </c>
      <c r="P1019"/>
      <c r="Q1019">
        <v>134976</v>
      </c>
      <c r="R1019">
        <v>1</v>
      </c>
      <c r="S1019" t="s">
        <v>40</v>
      </c>
      <c r="T1019">
        <v>261</v>
      </c>
      <c r="W1019"/>
      <c r="Y1019" t="s">
        <v>377</v>
      </c>
      <c r="Z1019" t="s">
        <v>378</v>
      </c>
      <c r="AA1019" t="s">
        <v>379</v>
      </c>
      <c r="AB1019" t="s">
        <v>825</v>
      </c>
      <c r="AC1019" t="s">
        <v>41</v>
      </c>
      <c r="AD1019" t="s">
        <v>41</v>
      </c>
      <c r="AE1019" t="s">
        <v>41</v>
      </c>
      <c r="AF1019" t="s">
        <v>41</v>
      </c>
      <c r="AK1019"/>
    </row>
    <row r="1020" spans="1:37" x14ac:dyDescent="0.25">
      <c r="A1020" t="s">
        <v>42</v>
      </c>
      <c r="B1020">
        <v>46002.068460648145</v>
      </c>
      <c r="C1020">
        <v>92589</v>
      </c>
      <c r="D1020" t="s">
        <v>843</v>
      </c>
      <c r="E1020">
        <v>4504716</v>
      </c>
      <c r="F1020">
        <v>116824</v>
      </c>
      <c r="G1020" t="s">
        <v>1029</v>
      </c>
      <c r="H1020" t="s">
        <v>1300</v>
      </c>
      <c r="I1020">
        <v>27</v>
      </c>
      <c r="J1020" t="b">
        <v>1</v>
      </c>
      <c r="K1020">
        <v>0.24545454545454545</v>
      </c>
      <c r="L1020">
        <v>116825</v>
      </c>
      <c r="M1020" t="s">
        <v>1030</v>
      </c>
      <c r="N1020">
        <v>110</v>
      </c>
      <c r="O1020">
        <v>110</v>
      </c>
      <c r="P1020"/>
      <c r="Q1020">
        <v>134976</v>
      </c>
      <c r="R1020">
        <v>1</v>
      </c>
      <c r="S1020" t="s">
        <v>40</v>
      </c>
      <c r="T1020">
        <v>261</v>
      </c>
      <c r="W1020"/>
      <c r="Y1020" t="s">
        <v>377</v>
      </c>
      <c r="Z1020" t="s">
        <v>378</v>
      </c>
      <c r="AA1020" t="s">
        <v>379</v>
      </c>
      <c r="AB1020" t="s">
        <v>573</v>
      </c>
      <c r="AC1020" t="s">
        <v>41</v>
      </c>
      <c r="AD1020" t="s">
        <v>41</v>
      </c>
      <c r="AE1020" t="s">
        <v>41</v>
      </c>
      <c r="AF1020" t="s">
        <v>41</v>
      </c>
      <c r="AK1020"/>
    </row>
    <row r="1021" spans="1:37" x14ac:dyDescent="0.25">
      <c r="A1021" t="s">
        <v>39</v>
      </c>
      <c r="B1021">
        <v>46002.124606481484</v>
      </c>
      <c r="C1021">
        <v>89165</v>
      </c>
      <c r="D1021" t="s">
        <v>843</v>
      </c>
      <c r="E1021">
        <v>4505412</v>
      </c>
      <c r="F1021">
        <v>2104851</v>
      </c>
      <c r="G1021" t="s">
        <v>429</v>
      </c>
      <c r="H1021" t="s">
        <v>1305</v>
      </c>
      <c r="I1021">
        <v>3.75</v>
      </c>
      <c r="J1021" t="b">
        <v>1</v>
      </c>
      <c r="K1021">
        <v>0.46875</v>
      </c>
      <c r="L1021">
        <v>2106168</v>
      </c>
      <c r="M1021" t="s">
        <v>431</v>
      </c>
      <c r="N1021">
        <v>8</v>
      </c>
      <c r="O1021">
        <v>12</v>
      </c>
      <c r="P1021"/>
      <c r="Q1021">
        <v>134971</v>
      </c>
      <c r="R1021">
        <v>1</v>
      </c>
      <c r="S1021" t="s">
        <v>40</v>
      </c>
      <c r="T1021">
        <v>261</v>
      </c>
      <c r="U1021">
        <v>147664</v>
      </c>
      <c r="V1021">
        <v>24</v>
      </c>
      <c r="W1021" t="s">
        <v>40</v>
      </c>
      <c r="X1021">
        <v>261</v>
      </c>
      <c r="Y1021" t="s">
        <v>377</v>
      </c>
      <c r="Z1021" t="s">
        <v>378</v>
      </c>
      <c r="AA1021" t="s">
        <v>379</v>
      </c>
      <c r="AB1021" t="s">
        <v>400</v>
      </c>
      <c r="AC1021" t="s">
        <v>41</v>
      </c>
      <c r="AD1021" t="s">
        <v>41</v>
      </c>
      <c r="AE1021" t="s">
        <v>41</v>
      </c>
      <c r="AF1021" t="s">
        <v>41</v>
      </c>
      <c r="AK1021"/>
    </row>
    <row r="1022" spans="1:37" x14ac:dyDescent="0.25">
      <c r="A1022" t="s">
        <v>39</v>
      </c>
      <c r="B1022">
        <v>46002.125613425924</v>
      </c>
      <c r="C1022">
        <v>89165</v>
      </c>
      <c r="D1022" t="s">
        <v>843</v>
      </c>
      <c r="E1022">
        <v>4505411</v>
      </c>
      <c r="F1022">
        <v>2104851</v>
      </c>
      <c r="G1022" t="s">
        <v>429</v>
      </c>
      <c r="H1022" t="s">
        <v>1305</v>
      </c>
      <c r="I1022">
        <v>3.75</v>
      </c>
      <c r="J1022" t="b">
        <v>1</v>
      </c>
      <c r="K1022">
        <v>0.9375</v>
      </c>
      <c r="L1022">
        <v>2106168</v>
      </c>
      <c r="M1022" t="s">
        <v>431</v>
      </c>
      <c r="N1022">
        <v>4</v>
      </c>
      <c r="O1022">
        <v>4</v>
      </c>
      <c r="P1022"/>
      <c r="Q1022">
        <v>134971</v>
      </c>
      <c r="R1022">
        <v>1</v>
      </c>
      <c r="S1022" t="s">
        <v>40</v>
      </c>
      <c r="T1022">
        <v>261</v>
      </c>
      <c r="U1022">
        <v>147664</v>
      </c>
      <c r="V1022">
        <v>24</v>
      </c>
      <c r="W1022" t="s">
        <v>40</v>
      </c>
      <c r="X1022">
        <v>261</v>
      </c>
      <c r="Y1022" t="s">
        <v>377</v>
      </c>
      <c r="Z1022" t="s">
        <v>378</v>
      </c>
      <c r="AA1022" t="s">
        <v>379</v>
      </c>
      <c r="AB1022" t="s">
        <v>384</v>
      </c>
      <c r="AC1022" t="s">
        <v>41</v>
      </c>
      <c r="AD1022" t="s">
        <v>41</v>
      </c>
      <c r="AE1022" t="s">
        <v>41</v>
      </c>
      <c r="AF1022" t="s">
        <v>41</v>
      </c>
      <c r="AK1022"/>
    </row>
    <row r="1023" spans="1:37" x14ac:dyDescent="0.25">
      <c r="A1023" t="s">
        <v>37</v>
      </c>
      <c r="B1023">
        <v>46002.364537037036</v>
      </c>
      <c r="C1023">
        <v>92007</v>
      </c>
      <c r="D1023" t="s">
        <v>393</v>
      </c>
      <c r="E1023">
        <v>4505678</v>
      </c>
      <c r="F1023">
        <v>2104882</v>
      </c>
      <c r="G1023" t="s">
        <v>1148</v>
      </c>
      <c r="H1023" t="s">
        <v>1352</v>
      </c>
      <c r="I1023">
        <v>10</v>
      </c>
      <c r="J1023" t="b">
        <v>0</v>
      </c>
      <c r="K1023">
        <v>2.5</v>
      </c>
      <c r="L1023">
        <v>2106202</v>
      </c>
      <c r="M1023" t="s">
        <v>1149</v>
      </c>
      <c r="N1023">
        <v>4</v>
      </c>
      <c r="O1023">
        <v>4</v>
      </c>
      <c r="P1023"/>
      <c r="Q1023">
        <v>134905</v>
      </c>
      <c r="R1023">
        <v>1</v>
      </c>
      <c r="S1023" t="s">
        <v>40</v>
      </c>
      <c r="T1023">
        <v>261</v>
      </c>
      <c r="U1023">
        <v>147664</v>
      </c>
      <c r="V1023">
        <v>24</v>
      </c>
      <c r="W1023" t="s">
        <v>40</v>
      </c>
      <c r="X1023">
        <v>261</v>
      </c>
      <c r="Y1023" t="s">
        <v>377</v>
      </c>
      <c r="Z1023" t="s">
        <v>378</v>
      </c>
      <c r="AA1023" t="s">
        <v>379</v>
      </c>
      <c r="AB1023" t="s">
        <v>384</v>
      </c>
      <c r="AC1023" t="s">
        <v>41</v>
      </c>
      <c r="AD1023" t="s">
        <v>41</v>
      </c>
      <c r="AE1023" t="s">
        <v>41</v>
      </c>
      <c r="AF1023" t="s">
        <v>41</v>
      </c>
      <c r="AK1023"/>
    </row>
    <row r="1024" spans="1:37" x14ac:dyDescent="0.25">
      <c r="A1024" t="s">
        <v>37</v>
      </c>
      <c r="B1024">
        <v>46002.367291666669</v>
      </c>
      <c r="C1024">
        <v>92007</v>
      </c>
      <c r="D1024" t="s">
        <v>393</v>
      </c>
      <c r="E1024">
        <v>4505678</v>
      </c>
      <c r="F1024">
        <v>2104882</v>
      </c>
      <c r="G1024" t="s">
        <v>1148</v>
      </c>
      <c r="H1024" t="s">
        <v>1353</v>
      </c>
      <c r="I1024">
        <v>10</v>
      </c>
      <c r="J1024" t="b">
        <v>1</v>
      </c>
      <c r="K1024">
        <v>2.5</v>
      </c>
      <c r="L1024">
        <v>2106202</v>
      </c>
      <c r="M1024" t="s">
        <v>1149</v>
      </c>
      <c r="N1024">
        <v>4</v>
      </c>
      <c r="O1024">
        <v>4</v>
      </c>
      <c r="P1024"/>
      <c r="Q1024">
        <v>134905</v>
      </c>
      <c r="R1024">
        <v>1</v>
      </c>
      <c r="S1024" t="s">
        <v>40</v>
      </c>
      <c r="T1024">
        <v>261</v>
      </c>
      <c r="U1024">
        <v>147664</v>
      </c>
      <c r="V1024">
        <v>24</v>
      </c>
      <c r="W1024" t="s">
        <v>40</v>
      </c>
      <c r="X1024">
        <v>261</v>
      </c>
      <c r="Y1024" t="s">
        <v>377</v>
      </c>
      <c r="Z1024" t="s">
        <v>378</v>
      </c>
      <c r="AA1024" t="s">
        <v>379</v>
      </c>
      <c r="AB1024" t="s">
        <v>384</v>
      </c>
      <c r="AC1024" t="s">
        <v>41</v>
      </c>
      <c r="AD1024" t="s">
        <v>41</v>
      </c>
      <c r="AE1024" t="s">
        <v>41</v>
      </c>
      <c r="AF1024" t="s">
        <v>41</v>
      </c>
      <c r="AK1024"/>
    </row>
    <row r="1025" spans="1:37" x14ac:dyDescent="0.25">
      <c r="A1025" t="s">
        <v>37</v>
      </c>
      <c r="B1025">
        <v>46002.368483796294</v>
      </c>
      <c r="C1025">
        <v>92007</v>
      </c>
      <c r="D1025" t="s">
        <v>393</v>
      </c>
      <c r="E1025">
        <v>4505679</v>
      </c>
      <c r="F1025">
        <v>2104882</v>
      </c>
      <c r="G1025" t="s">
        <v>1148</v>
      </c>
      <c r="H1025" t="s">
        <v>1353</v>
      </c>
      <c r="I1025">
        <v>10</v>
      </c>
      <c r="J1025" t="b">
        <v>1</v>
      </c>
      <c r="K1025">
        <v>2</v>
      </c>
      <c r="L1025">
        <v>2106202</v>
      </c>
      <c r="M1025" t="s">
        <v>1149</v>
      </c>
      <c r="N1025">
        <v>5</v>
      </c>
      <c r="O1025">
        <v>5</v>
      </c>
      <c r="P1025"/>
      <c r="Q1025">
        <v>134905</v>
      </c>
      <c r="R1025">
        <v>1</v>
      </c>
      <c r="S1025" t="s">
        <v>40</v>
      </c>
      <c r="T1025">
        <v>261</v>
      </c>
      <c r="U1025">
        <v>147664</v>
      </c>
      <c r="V1025">
        <v>24</v>
      </c>
      <c r="W1025" t="s">
        <v>40</v>
      </c>
      <c r="X1025">
        <v>261</v>
      </c>
      <c r="Y1025" t="s">
        <v>377</v>
      </c>
      <c r="Z1025" t="s">
        <v>378</v>
      </c>
      <c r="AA1025" t="s">
        <v>379</v>
      </c>
      <c r="AB1025" t="s">
        <v>559</v>
      </c>
      <c r="AC1025" t="s">
        <v>41</v>
      </c>
      <c r="AD1025" t="s">
        <v>41</v>
      </c>
      <c r="AE1025" t="s">
        <v>41</v>
      </c>
      <c r="AF1025" t="s">
        <v>41</v>
      </c>
      <c r="AK1025"/>
    </row>
    <row r="1026" spans="1:37" x14ac:dyDescent="0.25">
      <c r="A1026" t="s">
        <v>38</v>
      </c>
      <c r="B1026">
        <v>46002.509918981479</v>
      </c>
      <c r="C1026">
        <v>90457</v>
      </c>
      <c r="D1026" t="s">
        <v>393</v>
      </c>
      <c r="E1026">
        <v>4505809</v>
      </c>
      <c r="F1026">
        <v>156316</v>
      </c>
      <c r="G1026" t="s">
        <v>899</v>
      </c>
      <c r="H1026" t="s">
        <v>1354</v>
      </c>
      <c r="I1026">
        <v>14</v>
      </c>
      <c r="J1026" t="b">
        <v>1</v>
      </c>
      <c r="K1026">
        <v>3.5</v>
      </c>
      <c r="L1026">
        <v>156315</v>
      </c>
      <c r="M1026" t="s">
        <v>901</v>
      </c>
      <c r="N1026">
        <v>4</v>
      </c>
      <c r="O1026">
        <v>4</v>
      </c>
      <c r="P1026"/>
      <c r="Q1026">
        <v>134906</v>
      </c>
      <c r="R1026">
        <v>1</v>
      </c>
      <c r="S1026" t="s">
        <v>40</v>
      </c>
      <c r="T1026">
        <v>261</v>
      </c>
      <c r="U1026">
        <v>147664</v>
      </c>
      <c r="V1026">
        <v>24</v>
      </c>
      <c r="W1026" t="s">
        <v>40</v>
      </c>
      <c r="X1026">
        <v>261</v>
      </c>
      <c r="Y1026" t="s">
        <v>377</v>
      </c>
      <c r="Z1026" t="s">
        <v>378</v>
      </c>
      <c r="AA1026" t="s">
        <v>379</v>
      </c>
      <c r="AB1026" t="s">
        <v>384</v>
      </c>
      <c r="AC1026" t="s">
        <v>41</v>
      </c>
      <c r="AD1026" t="s">
        <v>41</v>
      </c>
      <c r="AE1026" t="s">
        <v>41</v>
      </c>
      <c r="AF1026" t="s">
        <v>41</v>
      </c>
      <c r="AK1026"/>
    </row>
    <row r="1027" spans="1:37" x14ac:dyDescent="0.25">
      <c r="A1027" t="s">
        <v>38</v>
      </c>
      <c r="B1027">
        <v>46002.511076388888</v>
      </c>
      <c r="C1027">
        <v>90457</v>
      </c>
      <c r="D1027" t="s">
        <v>393</v>
      </c>
      <c r="E1027">
        <v>4505810</v>
      </c>
      <c r="F1027">
        <v>156316</v>
      </c>
      <c r="G1027" t="s">
        <v>899</v>
      </c>
      <c r="H1027" t="s">
        <v>1354</v>
      </c>
      <c r="I1027">
        <v>14</v>
      </c>
      <c r="J1027" t="b">
        <v>1</v>
      </c>
      <c r="K1027">
        <v>3.5</v>
      </c>
      <c r="L1027">
        <v>156315</v>
      </c>
      <c r="M1027" t="s">
        <v>901</v>
      </c>
      <c r="N1027">
        <v>4</v>
      </c>
      <c r="O1027">
        <v>4</v>
      </c>
      <c r="P1027"/>
      <c r="Q1027">
        <v>134906</v>
      </c>
      <c r="R1027">
        <v>1</v>
      </c>
      <c r="S1027" t="s">
        <v>40</v>
      </c>
      <c r="T1027">
        <v>261</v>
      </c>
      <c r="U1027">
        <v>147664</v>
      </c>
      <c r="V1027">
        <v>24</v>
      </c>
      <c r="W1027" t="s">
        <v>40</v>
      </c>
      <c r="X1027">
        <v>261</v>
      </c>
      <c r="Y1027" t="s">
        <v>377</v>
      </c>
      <c r="Z1027" t="s">
        <v>378</v>
      </c>
      <c r="AA1027" t="s">
        <v>379</v>
      </c>
      <c r="AB1027" t="s">
        <v>384</v>
      </c>
      <c r="AC1027" t="s">
        <v>41</v>
      </c>
      <c r="AD1027" t="s">
        <v>41</v>
      </c>
      <c r="AE1027" t="s">
        <v>41</v>
      </c>
      <c r="AF1027" t="s">
        <v>41</v>
      </c>
      <c r="AK1027"/>
    </row>
    <row r="1028" spans="1:37" x14ac:dyDescent="0.25">
      <c r="A1028" t="s">
        <v>42</v>
      </c>
      <c r="B1028">
        <v>46002.687673611108</v>
      </c>
      <c r="C1028">
        <v>89166</v>
      </c>
      <c r="D1028" t="s">
        <v>393</v>
      </c>
      <c r="E1028">
        <v>4505413</v>
      </c>
      <c r="F1028">
        <v>2104851</v>
      </c>
      <c r="G1028" t="s">
        <v>429</v>
      </c>
      <c r="H1028" t="s">
        <v>1313</v>
      </c>
      <c r="I1028">
        <v>7.5</v>
      </c>
      <c r="J1028" t="b">
        <v>1</v>
      </c>
      <c r="K1028">
        <v>1.875</v>
      </c>
      <c r="L1028">
        <v>2106168</v>
      </c>
      <c r="M1028" t="s">
        <v>431</v>
      </c>
      <c r="N1028">
        <v>4</v>
      </c>
      <c r="O1028">
        <v>4</v>
      </c>
      <c r="P1028"/>
      <c r="Q1028">
        <v>134971</v>
      </c>
      <c r="R1028">
        <v>1</v>
      </c>
      <c r="S1028" t="s">
        <v>40</v>
      </c>
      <c r="T1028">
        <v>261</v>
      </c>
      <c r="U1028">
        <v>147664</v>
      </c>
      <c r="V1028">
        <v>24</v>
      </c>
      <c r="W1028" t="s">
        <v>40</v>
      </c>
      <c r="X1028">
        <v>261</v>
      </c>
      <c r="Y1028" t="s">
        <v>377</v>
      </c>
      <c r="Z1028" t="s">
        <v>378</v>
      </c>
      <c r="AA1028" t="s">
        <v>379</v>
      </c>
      <c r="AB1028" t="s">
        <v>384</v>
      </c>
      <c r="AC1028" t="s">
        <v>41</v>
      </c>
      <c r="AD1028" t="s">
        <v>41</v>
      </c>
      <c r="AE1028" t="s">
        <v>41</v>
      </c>
      <c r="AF1028" t="s">
        <v>41</v>
      </c>
      <c r="AK1028"/>
    </row>
    <row r="1029" spans="1:37" x14ac:dyDescent="0.25">
      <c r="A1029" t="s">
        <v>42</v>
      </c>
      <c r="B1029">
        <v>46002.688854166663</v>
      </c>
      <c r="C1029">
        <v>89166</v>
      </c>
      <c r="D1029" t="s">
        <v>393</v>
      </c>
      <c r="E1029">
        <v>4505414</v>
      </c>
      <c r="F1029">
        <v>2104851</v>
      </c>
      <c r="G1029" t="s">
        <v>429</v>
      </c>
      <c r="H1029" t="s">
        <v>1313</v>
      </c>
      <c r="I1029">
        <v>7.5</v>
      </c>
      <c r="J1029" t="b">
        <v>1</v>
      </c>
      <c r="K1029">
        <v>0.9375</v>
      </c>
      <c r="L1029">
        <v>2106168</v>
      </c>
      <c r="M1029" t="s">
        <v>431</v>
      </c>
      <c r="N1029">
        <v>8</v>
      </c>
      <c r="O1029">
        <v>8</v>
      </c>
      <c r="P1029"/>
      <c r="Q1029">
        <v>134907</v>
      </c>
      <c r="R1029">
        <v>1</v>
      </c>
      <c r="S1029" t="s">
        <v>40</v>
      </c>
      <c r="T1029">
        <v>261</v>
      </c>
      <c r="U1029">
        <v>147664</v>
      </c>
      <c r="V1029">
        <v>24</v>
      </c>
      <c r="W1029" t="s">
        <v>40</v>
      </c>
      <c r="X1029">
        <v>261</v>
      </c>
      <c r="Y1029" t="s">
        <v>377</v>
      </c>
      <c r="Z1029" t="s">
        <v>378</v>
      </c>
      <c r="AA1029" t="s">
        <v>379</v>
      </c>
      <c r="AB1029" t="s">
        <v>400</v>
      </c>
      <c r="AC1029" t="s">
        <v>41</v>
      </c>
      <c r="AD1029" t="s">
        <v>41</v>
      </c>
      <c r="AE1029" t="s">
        <v>41</v>
      </c>
      <c r="AF1029" t="s">
        <v>41</v>
      </c>
      <c r="AK1029"/>
    </row>
    <row r="1030" spans="1:37" x14ac:dyDescent="0.25">
      <c r="A1030" t="s">
        <v>39</v>
      </c>
      <c r="B1030">
        <v>46003.096736111111</v>
      </c>
      <c r="C1030">
        <v>90743</v>
      </c>
      <c r="D1030" t="s">
        <v>843</v>
      </c>
      <c r="E1030">
        <v>4487425</v>
      </c>
      <c r="F1030">
        <v>2300226</v>
      </c>
      <c r="G1030" t="s">
        <v>1338</v>
      </c>
      <c r="H1030" t="s">
        <v>1311</v>
      </c>
      <c r="I1030">
        <v>5</v>
      </c>
      <c r="J1030" t="b">
        <v>1</v>
      </c>
      <c r="K1030">
        <v>0.27777777777777779</v>
      </c>
      <c r="L1030">
        <v>2300227</v>
      </c>
      <c r="M1030" t="s">
        <v>1340</v>
      </c>
      <c r="N1030">
        <v>18</v>
      </c>
      <c r="O1030">
        <v>18</v>
      </c>
      <c r="P1030"/>
      <c r="Q1030">
        <v>134971</v>
      </c>
      <c r="R1030">
        <v>1</v>
      </c>
      <c r="S1030" t="s">
        <v>40</v>
      </c>
      <c r="T1030">
        <v>261</v>
      </c>
      <c r="U1030">
        <v>147664</v>
      </c>
      <c r="V1030">
        <v>24</v>
      </c>
      <c r="W1030" t="s">
        <v>40</v>
      </c>
      <c r="X1030">
        <v>261</v>
      </c>
      <c r="Y1030" t="s">
        <v>377</v>
      </c>
      <c r="Z1030" t="s">
        <v>378</v>
      </c>
      <c r="AA1030" t="s">
        <v>379</v>
      </c>
      <c r="AB1030" t="s">
        <v>1341</v>
      </c>
      <c r="AC1030" t="s">
        <v>41</v>
      </c>
      <c r="AD1030" t="s">
        <v>41</v>
      </c>
      <c r="AE1030" t="s">
        <v>41</v>
      </c>
      <c r="AF1030" t="s">
        <v>41</v>
      </c>
      <c r="AK1030"/>
    </row>
    <row r="1031" spans="1:37" x14ac:dyDescent="0.25">
      <c r="A1031" t="s">
        <v>42</v>
      </c>
      <c r="B1031">
        <v>46003.111388888887</v>
      </c>
      <c r="C1031">
        <v>90744</v>
      </c>
      <c r="D1031" t="s">
        <v>843</v>
      </c>
      <c r="E1031">
        <v>4499004</v>
      </c>
      <c r="F1031">
        <v>2300226</v>
      </c>
      <c r="G1031" t="s">
        <v>1338</v>
      </c>
      <c r="H1031" t="s">
        <v>1300</v>
      </c>
      <c r="I1031">
        <v>5</v>
      </c>
      <c r="J1031" t="b">
        <v>1</v>
      </c>
      <c r="K1031">
        <v>0.27777777777777779</v>
      </c>
      <c r="L1031">
        <v>2300227</v>
      </c>
      <c r="M1031" t="s">
        <v>1340</v>
      </c>
      <c r="N1031">
        <v>18</v>
      </c>
      <c r="O1031">
        <v>18</v>
      </c>
      <c r="P1031"/>
      <c r="Q1031">
        <v>134971</v>
      </c>
      <c r="R1031">
        <v>1</v>
      </c>
      <c r="S1031" t="s">
        <v>40</v>
      </c>
      <c r="T1031">
        <v>261</v>
      </c>
      <c r="U1031">
        <v>147664</v>
      </c>
      <c r="V1031">
        <v>24</v>
      </c>
      <c r="W1031" t="s">
        <v>40</v>
      </c>
      <c r="X1031">
        <v>261</v>
      </c>
      <c r="Y1031" t="s">
        <v>551</v>
      </c>
      <c r="Z1031" t="s">
        <v>378</v>
      </c>
      <c r="AA1031" t="s">
        <v>379</v>
      </c>
      <c r="AB1031" t="s">
        <v>1341</v>
      </c>
      <c r="AC1031" t="s">
        <v>41</v>
      </c>
      <c r="AD1031" t="s">
        <v>41</v>
      </c>
      <c r="AE1031" t="s">
        <v>41</v>
      </c>
      <c r="AF1031" t="s">
        <v>41</v>
      </c>
      <c r="AK1031"/>
    </row>
    <row r="1032" spans="1:37" x14ac:dyDescent="0.25">
      <c r="A1032" t="s">
        <v>39</v>
      </c>
      <c r="B1032">
        <v>46003.671215277776</v>
      </c>
      <c r="C1032">
        <v>92009</v>
      </c>
      <c r="D1032" t="s">
        <v>373</v>
      </c>
      <c r="E1032">
        <v>4506220</v>
      </c>
      <c r="F1032">
        <v>2104879</v>
      </c>
      <c r="G1032" t="s">
        <v>556</v>
      </c>
      <c r="H1032" t="s">
        <v>1355</v>
      </c>
      <c r="I1032">
        <v>6</v>
      </c>
      <c r="J1032" t="b">
        <v>1</v>
      </c>
      <c r="K1032">
        <v>1.5</v>
      </c>
      <c r="L1032">
        <v>2106199</v>
      </c>
      <c r="M1032" t="s">
        <v>558</v>
      </c>
      <c r="N1032">
        <v>4</v>
      </c>
      <c r="O1032">
        <v>4</v>
      </c>
      <c r="P1032"/>
      <c r="Q1032">
        <v>134906</v>
      </c>
      <c r="R1032">
        <v>1</v>
      </c>
      <c r="S1032" t="s">
        <v>40</v>
      </c>
      <c r="T1032">
        <v>261</v>
      </c>
      <c r="U1032">
        <v>147664</v>
      </c>
      <c r="V1032">
        <v>24</v>
      </c>
      <c r="W1032" t="s">
        <v>40</v>
      </c>
      <c r="X1032">
        <v>261</v>
      </c>
      <c r="Y1032" t="s">
        <v>377</v>
      </c>
      <c r="Z1032" t="s">
        <v>378</v>
      </c>
      <c r="AA1032" t="s">
        <v>379</v>
      </c>
      <c r="AB1032" t="s">
        <v>384</v>
      </c>
      <c r="AC1032" t="s">
        <v>41</v>
      </c>
      <c r="AD1032" t="s">
        <v>41</v>
      </c>
      <c r="AE1032" t="s">
        <v>41</v>
      </c>
      <c r="AF1032" t="s">
        <v>41</v>
      </c>
      <c r="AK1032"/>
    </row>
    <row r="1033" spans="1:37" x14ac:dyDescent="0.25">
      <c r="A1033" t="s">
        <v>39</v>
      </c>
      <c r="B1033">
        <v>46003.671956018516</v>
      </c>
      <c r="C1033">
        <v>92009</v>
      </c>
      <c r="D1033" t="s">
        <v>373</v>
      </c>
      <c r="E1033">
        <v>4506281</v>
      </c>
      <c r="F1033">
        <v>2104879</v>
      </c>
      <c r="G1033" t="s">
        <v>556</v>
      </c>
      <c r="H1033" t="s">
        <v>1355</v>
      </c>
      <c r="I1033">
        <v>6</v>
      </c>
      <c r="J1033" t="b">
        <v>1</v>
      </c>
      <c r="K1033">
        <v>1.2</v>
      </c>
      <c r="L1033">
        <v>2106199</v>
      </c>
      <c r="M1033" t="s">
        <v>558</v>
      </c>
      <c r="N1033">
        <v>5</v>
      </c>
      <c r="O1033">
        <v>5</v>
      </c>
      <c r="P1033"/>
      <c r="Q1033">
        <v>134906</v>
      </c>
      <c r="R1033">
        <v>1</v>
      </c>
      <c r="S1033" t="s">
        <v>40</v>
      </c>
      <c r="T1033">
        <v>261</v>
      </c>
      <c r="U1033">
        <v>147664</v>
      </c>
      <c r="V1033">
        <v>24</v>
      </c>
      <c r="W1033" t="s">
        <v>40</v>
      </c>
      <c r="X1033">
        <v>261</v>
      </c>
      <c r="Y1033" t="s">
        <v>377</v>
      </c>
      <c r="Z1033" t="s">
        <v>378</v>
      </c>
      <c r="AA1033" t="s">
        <v>379</v>
      </c>
      <c r="AB1033" t="s">
        <v>559</v>
      </c>
      <c r="AC1033" t="s">
        <v>41</v>
      </c>
      <c r="AD1033" t="s">
        <v>41</v>
      </c>
      <c r="AE1033" t="s">
        <v>41</v>
      </c>
      <c r="AF1033" t="s">
        <v>41</v>
      </c>
      <c r="AK1033"/>
    </row>
    <row r="1034" spans="1:37" x14ac:dyDescent="0.25">
      <c r="A1034" t="s">
        <v>43</v>
      </c>
      <c r="B1034">
        <v>46004.169664351852</v>
      </c>
      <c r="C1034">
        <v>92594</v>
      </c>
      <c r="D1034" t="s">
        <v>494</v>
      </c>
      <c r="E1034">
        <v>4487441</v>
      </c>
      <c r="F1034">
        <v>154420</v>
      </c>
      <c r="G1034" t="s">
        <v>1356</v>
      </c>
      <c r="H1034" t="s">
        <v>1300</v>
      </c>
      <c r="I1034">
        <v>22</v>
      </c>
      <c r="J1034" t="b">
        <v>1</v>
      </c>
      <c r="K1034">
        <v>5.1764705882352942E-2</v>
      </c>
      <c r="L1034">
        <v>154424</v>
      </c>
      <c r="M1034" t="s">
        <v>1357</v>
      </c>
      <c r="N1034">
        <v>425</v>
      </c>
      <c r="O1034">
        <v>412</v>
      </c>
      <c r="P1034"/>
      <c r="Q1034">
        <v>134975</v>
      </c>
      <c r="R1034">
        <v>1</v>
      </c>
      <c r="S1034" t="s">
        <v>40</v>
      </c>
      <c r="T1034">
        <v>261</v>
      </c>
      <c r="W1034"/>
      <c r="Y1034" t="s">
        <v>377</v>
      </c>
      <c r="Z1034" t="s">
        <v>378</v>
      </c>
      <c r="AA1034" t="s">
        <v>379</v>
      </c>
      <c r="AB1034" t="s">
        <v>820</v>
      </c>
      <c r="AC1034" t="s">
        <v>41</v>
      </c>
      <c r="AD1034" t="s">
        <v>41</v>
      </c>
      <c r="AE1034" t="s">
        <v>41</v>
      </c>
      <c r="AF1034" t="s">
        <v>41</v>
      </c>
      <c r="AK1034"/>
    </row>
    <row r="1035" spans="1:37" x14ac:dyDescent="0.25">
      <c r="A1035" t="s">
        <v>37</v>
      </c>
      <c r="B1035">
        <v>46004.171643518515</v>
      </c>
      <c r="C1035">
        <v>90616</v>
      </c>
      <c r="D1035" t="s">
        <v>494</v>
      </c>
      <c r="E1035">
        <v>4496440</v>
      </c>
      <c r="F1035">
        <v>2104671</v>
      </c>
      <c r="G1035" t="s">
        <v>549</v>
      </c>
      <c r="H1035" t="s">
        <v>1004</v>
      </c>
      <c r="I1035">
        <v>33</v>
      </c>
      <c r="J1035" t="b">
        <v>1</v>
      </c>
      <c r="K1035">
        <v>0.16019417475728157</v>
      </c>
      <c r="L1035">
        <v>2106007</v>
      </c>
      <c r="M1035" t="s">
        <v>550</v>
      </c>
      <c r="N1035">
        <v>206</v>
      </c>
      <c r="O1035">
        <v>0</v>
      </c>
      <c r="P1035" t="s">
        <v>1358</v>
      </c>
      <c r="Q1035">
        <v>0</v>
      </c>
      <c r="R1035">
        <v>0</v>
      </c>
      <c r="S1035" t="s">
        <v>40</v>
      </c>
      <c r="T1035">
        <v>261</v>
      </c>
      <c r="W1035"/>
      <c r="Y1035" t="s">
        <v>377</v>
      </c>
      <c r="Z1035" t="s">
        <v>378</v>
      </c>
      <c r="AA1035" t="s">
        <v>379</v>
      </c>
      <c r="AB1035" t="s">
        <v>1359</v>
      </c>
      <c r="AC1035" t="s">
        <v>41</v>
      </c>
      <c r="AD1035" t="s">
        <v>41</v>
      </c>
      <c r="AE1035" t="s">
        <v>41</v>
      </c>
      <c r="AF1035" t="s">
        <v>41</v>
      </c>
      <c r="AK1035"/>
    </row>
    <row r="1036" spans="1:37" x14ac:dyDescent="0.25">
      <c r="A1036" t="s">
        <v>47</v>
      </c>
      <c r="B1036">
        <v>46004.470081018517</v>
      </c>
      <c r="C1036">
        <v>90618</v>
      </c>
      <c r="D1036" t="s">
        <v>889</v>
      </c>
      <c r="E1036">
        <v>4496895</v>
      </c>
      <c r="F1036">
        <v>134469</v>
      </c>
      <c r="G1036" t="s">
        <v>1360</v>
      </c>
      <c r="H1036" t="s">
        <v>1361</v>
      </c>
      <c r="I1036">
        <v>33</v>
      </c>
      <c r="J1036" t="b">
        <v>1</v>
      </c>
      <c r="K1036">
        <v>0.24087591240875914</v>
      </c>
      <c r="L1036">
        <v>134470</v>
      </c>
      <c r="M1036" t="s">
        <v>1362</v>
      </c>
      <c r="N1036">
        <v>137</v>
      </c>
      <c r="O1036">
        <v>137</v>
      </c>
      <c r="P1036"/>
      <c r="Q1036">
        <v>0</v>
      </c>
      <c r="R1036">
        <v>0</v>
      </c>
      <c r="S1036" t="s">
        <v>40</v>
      </c>
      <c r="T1036">
        <v>261</v>
      </c>
      <c r="W1036"/>
      <c r="Y1036" t="s">
        <v>377</v>
      </c>
      <c r="Z1036" t="s">
        <v>378</v>
      </c>
      <c r="AA1036" t="s">
        <v>379</v>
      </c>
      <c r="AB1036" t="s">
        <v>1093</v>
      </c>
      <c r="AC1036" t="s">
        <v>41</v>
      </c>
      <c r="AD1036" t="s">
        <v>41</v>
      </c>
      <c r="AE1036" t="s">
        <v>41</v>
      </c>
      <c r="AF1036" t="s">
        <v>41</v>
      </c>
      <c r="AK1036"/>
    </row>
    <row r="1037" spans="1:37" x14ac:dyDescent="0.25">
      <c r="A1037" t="s">
        <v>45</v>
      </c>
      <c r="B1037">
        <v>46004.481921296298</v>
      </c>
      <c r="C1037">
        <v>92597</v>
      </c>
      <c r="D1037" t="s">
        <v>889</v>
      </c>
      <c r="E1037">
        <v>4505943</v>
      </c>
      <c r="F1037">
        <v>154434</v>
      </c>
      <c r="G1037" t="s">
        <v>1363</v>
      </c>
      <c r="H1037" t="s">
        <v>1311</v>
      </c>
      <c r="I1037">
        <v>25.5</v>
      </c>
      <c r="J1037" t="b">
        <v>1</v>
      </c>
      <c r="K1037">
        <v>0.19921875</v>
      </c>
      <c r="L1037">
        <v>154435</v>
      </c>
      <c r="M1037" t="s">
        <v>1364</v>
      </c>
      <c r="N1037">
        <v>128</v>
      </c>
      <c r="O1037">
        <v>83</v>
      </c>
      <c r="P1037"/>
      <c r="Q1037">
        <v>134976</v>
      </c>
      <c r="R1037">
        <v>1</v>
      </c>
      <c r="S1037" t="s">
        <v>40</v>
      </c>
      <c r="T1037">
        <v>261</v>
      </c>
      <c r="W1037"/>
      <c r="Y1037" t="s">
        <v>377</v>
      </c>
      <c r="Z1037" t="s">
        <v>378</v>
      </c>
      <c r="AA1037" t="s">
        <v>379</v>
      </c>
      <c r="AB1037" t="s">
        <v>1365</v>
      </c>
      <c r="AC1037" t="s">
        <v>41</v>
      </c>
      <c r="AD1037" t="s">
        <v>41</v>
      </c>
      <c r="AE1037" t="s">
        <v>41</v>
      </c>
      <c r="AF1037" t="s">
        <v>41</v>
      </c>
      <c r="AK1037"/>
    </row>
    <row r="1038" spans="1:37" x14ac:dyDescent="0.25">
      <c r="A1038" t="s">
        <v>45</v>
      </c>
      <c r="B1038">
        <v>46004.483101851853</v>
      </c>
      <c r="C1038">
        <v>92596</v>
      </c>
      <c r="D1038" t="s">
        <v>889</v>
      </c>
      <c r="E1038">
        <v>4505946</v>
      </c>
      <c r="F1038">
        <v>109905</v>
      </c>
      <c r="G1038" t="s">
        <v>1366</v>
      </c>
      <c r="H1038" t="s">
        <v>1300</v>
      </c>
      <c r="I1038">
        <v>25.5</v>
      </c>
      <c r="J1038" t="b">
        <v>1</v>
      </c>
      <c r="K1038">
        <v>0.45535714285714285</v>
      </c>
      <c r="L1038">
        <v>109906</v>
      </c>
      <c r="M1038" t="s">
        <v>1367</v>
      </c>
      <c r="N1038">
        <v>56</v>
      </c>
      <c r="O1038">
        <v>66</v>
      </c>
      <c r="P1038"/>
      <c r="Q1038">
        <v>134976</v>
      </c>
      <c r="R1038">
        <v>1</v>
      </c>
      <c r="S1038" t="s">
        <v>40</v>
      </c>
      <c r="T1038">
        <v>261</v>
      </c>
      <c r="W1038"/>
      <c r="Y1038" t="s">
        <v>377</v>
      </c>
      <c r="Z1038" t="s">
        <v>378</v>
      </c>
      <c r="AA1038" t="s">
        <v>379</v>
      </c>
      <c r="AB1038" t="s">
        <v>1368</v>
      </c>
      <c r="AC1038" t="s">
        <v>41</v>
      </c>
      <c r="AD1038" t="s">
        <v>41</v>
      </c>
      <c r="AE1038" t="s">
        <v>41</v>
      </c>
      <c r="AF1038" t="s">
        <v>41</v>
      </c>
      <c r="AK1038"/>
    </row>
    <row r="1039" spans="1:37" x14ac:dyDescent="0.25">
      <c r="A1039" t="s">
        <v>48</v>
      </c>
      <c r="B1039">
        <v>46004.524386574078</v>
      </c>
      <c r="C1039">
        <v>92010</v>
      </c>
      <c r="D1039" t="s">
        <v>889</v>
      </c>
      <c r="E1039">
        <v>4506283</v>
      </c>
      <c r="F1039">
        <v>2104879</v>
      </c>
      <c r="G1039" t="s">
        <v>556</v>
      </c>
      <c r="H1039" t="s">
        <v>1369</v>
      </c>
      <c r="I1039">
        <v>5</v>
      </c>
      <c r="J1039" t="b">
        <v>1</v>
      </c>
      <c r="K1039">
        <v>1</v>
      </c>
      <c r="L1039">
        <v>2106199</v>
      </c>
      <c r="M1039" t="s">
        <v>558</v>
      </c>
      <c r="N1039">
        <v>5</v>
      </c>
      <c r="O1039">
        <v>5</v>
      </c>
      <c r="P1039"/>
      <c r="Q1039">
        <v>134971</v>
      </c>
      <c r="R1039">
        <v>1</v>
      </c>
      <c r="S1039" t="s">
        <v>40</v>
      </c>
      <c r="T1039">
        <v>261</v>
      </c>
      <c r="U1039">
        <v>147664</v>
      </c>
      <c r="V1039">
        <v>24</v>
      </c>
      <c r="W1039" t="s">
        <v>40</v>
      </c>
      <c r="X1039">
        <v>261</v>
      </c>
      <c r="Y1039" t="s">
        <v>377</v>
      </c>
      <c r="Z1039" t="s">
        <v>378</v>
      </c>
      <c r="AA1039" t="s">
        <v>379</v>
      </c>
      <c r="AB1039" t="s">
        <v>559</v>
      </c>
      <c r="AC1039" t="s">
        <v>41</v>
      </c>
      <c r="AD1039" t="s">
        <v>41</v>
      </c>
      <c r="AE1039" t="s">
        <v>41</v>
      </c>
      <c r="AF1039" t="s">
        <v>41</v>
      </c>
      <c r="AK1039"/>
    </row>
    <row r="1040" spans="1:37" x14ac:dyDescent="0.25">
      <c r="A1040" t="s">
        <v>48</v>
      </c>
      <c r="B1040">
        <v>46004.52480324074</v>
      </c>
      <c r="C1040">
        <v>92010</v>
      </c>
      <c r="D1040" t="s">
        <v>889</v>
      </c>
      <c r="E1040">
        <v>4506282</v>
      </c>
      <c r="F1040">
        <v>2104879</v>
      </c>
      <c r="G1040" t="s">
        <v>556</v>
      </c>
      <c r="H1040" t="s">
        <v>1369</v>
      </c>
      <c r="I1040">
        <v>5</v>
      </c>
      <c r="J1040" t="b">
        <v>1</v>
      </c>
      <c r="K1040">
        <v>1.25</v>
      </c>
      <c r="L1040">
        <v>2106199</v>
      </c>
      <c r="M1040" t="s">
        <v>558</v>
      </c>
      <c r="N1040">
        <v>4</v>
      </c>
      <c r="O1040">
        <v>4</v>
      </c>
      <c r="P1040"/>
      <c r="Q1040">
        <v>134971</v>
      </c>
      <c r="R1040">
        <v>1</v>
      </c>
      <c r="S1040" t="s">
        <v>40</v>
      </c>
      <c r="T1040">
        <v>261</v>
      </c>
      <c r="U1040">
        <v>147664</v>
      </c>
      <c r="V1040">
        <v>24</v>
      </c>
      <c r="W1040" t="s">
        <v>40</v>
      </c>
      <c r="X1040">
        <v>261</v>
      </c>
      <c r="Y1040" t="s">
        <v>377</v>
      </c>
      <c r="Z1040" t="s">
        <v>378</v>
      </c>
      <c r="AA1040" t="s">
        <v>379</v>
      </c>
      <c r="AB1040" t="s">
        <v>384</v>
      </c>
      <c r="AC1040" t="s">
        <v>41</v>
      </c>
      <c r="AD1040" t="s">
        <v>41</v>
      </c>
      <c r="AE1040" t="s">
        <v>41</v>
      </c>
      <c r="AF1040" t="s">
        <v>41</v>
      </c>
      <c r="AK1040"/>
    </row>
    <row r="1041" spans="1:38" x14ac:dyDescent="0.25">
      <c r="A1041" t="s">
        <v>44</v>
      </c>
      <c r="B1041">
        <v>46004.538298611114</v>
      </c>
      <c r="C1041">
        <v>90459</v>
      </c>
      <c r="D1041" t="s">
        <v>889</v>
      </c>
      <c r="E1041">
        <v>4501489</v>
      </c>
      <c r="F1041">
        <v>2304758</v>
      </c>
      <c r="G1041" t="s">
        <v>402</v>
      </c>
      <c r="H1041" t="s">
        <v>1370</v>
      </c>
      <c r="I1041">
        <v>14</v>
      </c>
      <c r="J1041" t="b">
        <v>1</v>
      </c>
      <c r="K1041">
        <v>1.75</v>
      </c>
      <c r="L1041">
        <v>2304759</v>
      </c>
      <c r="M1041" t="s">
        <v>404</v>
      </c>
      <c r="N1041">
        <v>8</v>
      </c>
      <c r="O1041">
        <v>8</v>
      </c>
      <c r="P1041"/>
      <c r="Q1041">
        <v>155687</v>
      </c>
      <c r="R1041">
        <v>1</v>
      </c>
      <c r="S1041" t="s">
        <v>40</v>
      </c>
      <c r="T1041">
        <v>261</v>
      </c>
      <c r="U1041">
        <v>147664</v>
      </c>
      <c r="V1041">
        <v>48</v>
      </c>
      <c r="W1041" t="s">
        <v>40</v>
      </c>
      <c r="X1041">
        <v>261</v>
      </c>
      <c r="Y1041" t="s">
        <v>377</v>
      </c>
      <c r="Z1041" t="s">
        <v>378</v>
      </c>
      <c r="AA1041" t="s">
        <v>379</v>
      </c>
      <c r="AB1041" t="s">
        <v>384</v>
      </c>
      <c r="AC1041" t="s">
        <v>379</v>
      </c>
      <c r="AD1041" t="s">
        <v>384</v>
      </c>
      <c r="AE1041" t="s">
        <v>41</v>
      </c>
      <c r="AF1041" t="s">
        <v>41</v>
      </c>
      <c r="AI1041">
        <v>155687</v>
      </c>
      <c r="AJ1041">
        <v>1</v>
      </c>
      <c r="AK1041" t="s">
        <v>40</v>
      </c>
      <c r="AL1041">
        <v>261</v>
      </c>
    </row>
    <row r="1042" spans="1:38" x14ac:dyDescent="0.25">
      <c r="A1042" t="s">
        <v>43</v>
      </c>
      <c r="B1042">
        <v>46004.567847222221</v>
      </c>
      <c r="C1042">
        <v>89167</v>
      </c>
      <c r="D1042" t="s">
        <v>889</v>
      </c>
      <c r="E1042">
        <v>4505419</v>
      </c>
      <c r="F1042">
        <v>2104852</v>
      </c>
      <c r="G1042" t="s">
        <v>1371</v>
      </c>
      <c r="H1042" t="s">
        <v>1311</v>
      </c>
      <c r="I1042">
        <v>3.75</v>
      </c>
      <c r="J1042" t="b">
        <v>1</v>
      </c>
      <c r="K1042">
        <v>0.46875</v>
      </c>
      <c r="L1042">
        <v>2106170</v>
      </c>
      <c r="M1042" t="s">
        <v>1372</v>
      </c>
      <c r="N1042">
        <v>8</v>
      </c>
      <c r="O1042">
        <v>8</v>
      </c>
      <c r="P1042"/>
      <c r="Q1042">
        <v>2301936</v>
      </c>
      <c r="R1042">
        <v>1</v>
      </c>
      <c r="S1042" t="s">
        <v>40</v>
      </c>
      <c r="T1042">
        <v>261</v>
      </c>
      <c r="U1042">
        <v>147664</v>
      </c>
      <c r="V1042">
        <v>24</v>
      </c>
      <c r="W1042" t="s">
        <v>40</v>
      </c>
      <c r="X1042">
        <v>261</v>
      </c>
      <c r="Y1042" t="s">
        <v>377</v>
      </c>
      <c r="Z1042" t="s">
        <v>378</v>
      </c>
      <c r="AA1042" t="s">
        <v>379</v>
      </c>
      <c r="AB1042" t="s">
        <v>400</v>
      </c>
      <c r="AC1042" t="s">
        <v>41</v>
      </c>
      <c r="AD1042" t="s">
        <v>41</v>
      </c>
      <c r="AE1042" t="s">
        <v>41</v>
      </c>
      <c r="AF1042" t="s">
        <v>41</v>
      </c>
      <c r="AK1042"/>
    </row>
    <row r="1043" spans="1:38" x14ac:dyDescent="0.25">
      <c r="A1043" t="s">
        <v>43</v>
      </c>
      <c r="B1043">
        <v>46004.568414351852</v>
      </c>
      <c r="C1043">
        <v>89167</v>
      </c>
      <c r="D1043" t="s">
        <v>889</v>
      </c>
      <c r="E1043">
        <v>4505418</v>
      </c>
      <c r="F1043">
        <v>2104852</v>
      </c>
      <c r="G1043" t="s">
        <v>1371</v>
      </c>
      <c r="H1043" t="s">
        <v>1311</v>
      </c>
      <c r="I1043">
        <v>3.75</v>
      </c>
      <c r="J1043" t="b">
        <v>1</v>
      </c>
      <c r="K1043">
        <v>0.9375</v>
      </c>
      <c r="L1043">
        <v>2106170</v>
      </c>
      <c r="M1043" t="s">
        <v>1372</v>
      </c>
      <c r="N1043">
        <v>4</v>
      </c>
      <c r="O1043">
        <v>4</v>
      </c>
      <c r="P1043"/>
      <c r="Q1043">
        <v>2301936</v>
      </c>
      <c r="R1043">
        <v>1</v>
      </c>
      <c r="S1043" t="s">
        <v>40</v>
      </c>
      <c r="T1043">
        <v>261</v>
      </c>
      <c r="U1043">
        <v>147664</v>
      </c>
      <c r="V1043">
        <v>24</v>
      </c>
      <c r="W1043" t="s">
        <v>40</v>
      </c>
      <c r="X1043">
        <v>261</v>
      </c>
      <c r="Y1043" t="s">
        <v>377</v>
      </c>
      <c r="Z1043" t="s">
        <v>378</v>
      </c>
      <c r="AA1043" t="s">
        <v>379</v>
      </c>
      <c r="AB1043" t="s">
        <v>384</v>
      </c>
      <c r="AC1043" t="s">
        <v>41</v>
      </c>
      <c r="AD1043" t="s">
        <v>41</v>
      </c>
      <c r="AE1043" t="s">
        <v>41</v>
      </c>
      <c r="AF1043" t="s">
        <v>41</v>
      </c>
      <c r="AK1043"/>
    </row>
    <row r="1044" spans="1:38" x14ac:dyDescent="0.25">
      <c r="A1044" t="s">
        <v>38</v>
      </c>
      <c r="B1044">
        <v>46005.126875000002</v>
      </c>
      <c r="C1044">
        <v>92089</v>
      </c>
      <c r="D1044" t="s">
        <v>590</v>
      </c>
      <c r="E1044">
        <v>4503321</v>
      </c>
      <c r="F1044">
        <v>160809</v>
      </c>
      <c r="G1044" t="s">
        <v>1373</v>
      </c>
      <c r="H1044" t="s">
        <v>1128</v>
      </c>
      <c r="I1044">
        <v>40</v>
      </c>
      <c r="J1044" t="b">
        <v>1</v>
      </c>
      <c r="K1044">
        <v>9.950248756218906E-2</v>
      </c>
      <c r="L1044">
        <v>160810</v>
      </c>
      <c r="M1044" t="s">
        <v>1374</v>
      </c>
      <c r="N1044">
        <v>402</v>
      </c>
      <c r="O1044">
        <v>402</v>
      </c>
      <c r="P1044"/>
      <c r="Q1044">
        <v>134977</v>
      </c>
      <c r="R1044">
        <v>2</v>
      </c>
      <c r="S1044" t="s">
        <v>40</v>
      </c>
      <c r="T1044">
        <v>261</v>
      </c>
      <c r="W1044"/>
      <c r="Y1044" t="s">
        <v>377</v>
      </c>
      <c r="Z1044" t="s">
        <v>378</v>
      </c>
      <c r="AA1044" t="s">
        <v>379</v>
      </c>
      <c r="AB1044" t="s">
        <v>647</v>
      </c>
      <c r="AC1044" t="s">
        <v>379</v>
      </c>
      <c r="AD1044" t="s">
        <v>1031</v>
      </c>
      <c r="AE1044" t="s">
        <v>41</v>
      </c>
      <c r="AF1044" t="s">
        <v>41</v>
      </c>
      <c r="AK1044"/>
    </row>
    <row r="1045" spans="1:38" x14ac:dyDescent="0.25">
      <c r="A1045" t="s">
        <v>42</v>
      </c>
      <c r="B1045">
        <v>46005.128344907411</v>
      </c>
      <c r="C1045">
        <v>92011</v>
      </c>
      <c r="D1045" t="s">
        <v>590</v>
      </c>
      <c r="E1045">
        <v>4506284</v>
      </c>
      <c r="F1045">
        <v>2104879</v>
      </c>
      <c r="G1045" t="s">
        <v>556</v>
      </c>
      <c r="H1045" t="s">
        <v>1375</v>
      </c>
      <c r="I1045">
        <v>10</v>
      </c>
      <c r="J1045" t="b">
        <v>1</v>
      </c>
      <c r="K1045">
        <v>2.5</v>
      </c>
      <c r="L1045">
        <v>2106199</v>
      </c>
      <c r="M1045" t="s">
        <v>558</v>
      </c>
      <c r="N1045">
        <v>4</v>
      </c>
      <c r="O1045">
        <v>4</v>
      </c>
      <c r="P1045"/>
      <c r="Q1045">
        <v>134906</v>
      </c>
      <c r="R1045">
        <v>1</v>
      </c>
      <c r="S1045" t="s">
        <v>40</v>
      </c>
      <c r="T1045">
        <v>261</v>
      </c>
      <c r="U1045">
        <v>147664</v>
      </c>
      <c r="V1045">
        <v>24</v>
      </c>
      <c r="W1045" t="s">
        <v>40</v>
      </c>
      <c r="X1045">
        <v>261</v>
      </c>
      <c r="Y1045" t="s">
        <v>377</v>
      </c>
      <c r="Z1045" t="s">
        <v>378</v>
      </c>
      <c r="AA1045" t="s">
        <v>379</v>
      </c>
      <c r="AB1045" t="s">
        <v>384</v>
      </c>
      <c r="AC1045" t="s">
        <v>41</v>
      </c>
      <c r="AD1045" t="s">
        <v>41</v>
      </c>
      <c r="AE1045" t="s">
        <v>41</v>
      </c>
      <c r="AF1045" t="s">
        <v>41</v>
      </c>
      <c r="AK1045"/>
    </row>
    <row r="1046" spans="1:38" x14ac:dyDescent="0.25">
      <c r="A1046" t="s">
        <v>42</v>
      </c>
      <c r="B1046">
        <v>46005.129201388889</v>
      </c>
      <c r="C1046">
        <v>92011</v>
      </c>
      <c r="D1046" t="s">
        <v>590</v>
      </c>
      <c r="E1046">
        <v>4506285</v>
      </c>
      <c r="F1046">
        <v>2104879</v>
      </c>
      <c r="G1046" t="s">
        <v>556</v>
      </c>
      <c r="H1046" t="s">
        <v>1375</v>
      </c>
      <c r="I1046">
        <v>10</v>
      </c>
      <c r="J1046" t="b">
        <v>1</v>
      </c>
      <c r="K1046">
        <v>2</v>
      </c>
      <c r="L1046">
        <v>2106199</v>
      </c>
      <c r="M1046" t="s">
        <v>558</v>
      </c>
      <c r="N1046">
        <v>5</v>
      </c>
      <c r="O1046">
        <v>5</v>
      </c>
      <c r="P1046"/>
      <c r="Q1046">
        <v>134906</v>
      </c>
      <c r="R1046">
        <v>1</v>
      </c>
      <c r="S1046" t="s">
        <v>40</v>
      </c>
      <c r="T1046">
        <v>261</v>
      </c>
      <c r="U1046">
        <v>147664</v>
      </c>
      <c r="V1046">
        <v>24</v>
      </c>
      <c r="W1046" t="s">
        <v>40</v>
      </c>
      <c r="X1046">
        <v>261</v>
      </c>
      <c r="Y1046" t="s">
        <v>377</v>
      </c>
      <c r="Z1046" t="s">
        <v>378</v>
      </c>
      <c r="AA1046" t="s">
        <v>379</v>
      </c>
      <c r="AB1046" t="s">
        <v>559</v>
      </c>
      <c r="AC1046" t="s">
        <v>41</v>
      </c>
      <c r="AD1046" t="s">
        <v>41</v>
      </c>
      <c r="AE1046" t="s">
        <v>41</v>
      </c>
      <c r="AF1046" t="s">
        <v>41</v>
      </c>
      <c r="AK1046"/>
    </row>
    <row r="1047" spans="1:38" x14ac:dyDescent="0.25">
      <c r="A1047" t="s">
        <v>44</v>
      </c>
      <c r="B1047">
        <v>46005.316400462965</v>
      </c>
      <c r="C1047">
        <v>90456</v>
      </c>
      <c r="D1047" t="s">
        <v>646</v>
      </c>
      <c r="E1047">
        <v>4501453</v>
      </c>
      <c r="F1047">
        <v>120138</v>
      </c>
      <c r="G1047" t="s">
        <v>911</v>
      </c>
      <c r="H1047" t="s">
        <v>1314</v>
      </c>
      <c r="I1047">
        <v>14</v>
      </c>
      <c r="J1047" t="b">
        <v>1</v>
      </c>
      <c r="K1047">
        <v>1.75</v>
      </c>
      <c r="L1047">
        <v>120139</v>
      </c>
      <c r="M1047" t="s">
        <v>1092</v>
      </c>
      <c r="N1047">
        <v>8</v>
      </c>
      <c r="O1047">
        <v>8</v>
      </c>
      <c r="P1047"/>
      <c r="Q1047">
        <v>155687</v>
      </c>
      <c r="R1047">
        <v>2</v>
      </c>
      <c r="S1047" t="s">
        <v>40</v>
      </c>
      <c r="T1047">
        <v>261</v>
      </c>
      <c r="U1047">
        <v>147664</v>
      </c>
      <c r="V1047">
        <v>48</v>
      </c>
      <c r="W1047" t="s">
        <v>40</v>
      </c>
      <c r="X1047">
        <v>261</v>
      </c>
      <c r="Y1047" t="s">
        <v>377</v>
      </c>
      <c r="Z1047" t="s">
        <v>378</v>
      </c>
      <c r="AA1047" t="s">
        <v>384</v>
      </c>
      <c r="AB1047" t="s">
        <v>384</v>
      </c>
      <c r="AC1047" t="s">
        <v>41</v>
      </c>
      <c r="AD1047" t="s">
        <v>41</v>
      </c>
      <c r="AE1047" t="s">
        <v>41</v>
      </c>
      <c r="AF1047" t="s">
        <v>41</v>
      </c>
      <c r="AK1047"/>
    </row>
    <row r="1048" spans="1:38" x14ac:dyDescent="0.25">
      <c r="A1048" t="s">
        <v>43</v>
      </c>
      <c r="B1048">
        <v>46005.3280787037</v>
      </c>
      <c r="C1048">
        <v>89168</v>
      </c>
      <c r="D1048" t="s">
        <v>646</v>
      </c>
      <c r="E1048">
        <v>4505421</v>
      </c>
      <c r="F1048">
        <v>2104852</v>
      </c>
      <c r="G1048" t="s">
        <v>1371</v>
      </c>
      <c r="H1048" t="s">
        <v>1300</v>
      </c>
      <c r="I1048">
        <v>3.75</v>
      </c>
      <c r="J1048" t="b">
        <v>1</v>
      </c>
      <c r="K1048">
        <v>0.46875</v>
      </c>
      <c r="L1048">
        <v>2106170</v>
      </c>
      <c r="M1048" t="s">
        <v>1372</v>
      </c>
      <c r="N1048">
        <v>8</v>
      </c>
      <c r="O1048">
        <v>8</v>
      </c>
      <c r="P1048"/>
      <c r="Q1048">
        <v>134905</v>
      </c>
      <c r="R1048">
        <v>1</v>
      </c>
      <c r="S1048" t="s">
        <v>40</v>
      </c>
      <c r="T1048">
        <v>261</v>
      </c>
      <c r="U1048">
        <v>147664</v>
      </c>
      <c r="V1048">
        <v>24</v>
      </c>
      <c r="W1048" t="s">
        <v>40</v>
      </c>
      <c r="X1048">
        <v>261</v>
      </c>
      <c r="Y1048" t="s">
        <v>377</v>
      </c>
      <c r="Z1048" t="s">
        <v>378</v>
      </c>
      <c r="AA1048" t="s">
        <v>379</v>
      </c>
      <c r="AB1048" t="s">
        <v>400</v>
      </c>
      <c r="AC1048" t="s">
        <v>41</v>
      </c>
      <c r="AD1048" t="s">
        <v>41</v>
      </c>
      <c r="AE1048" t="s">
        <v>41</v>
      </c>
      <c r="AF1048" t="s">
        <v>41</v>
      </c>
      <c r="AK1048"/>
    </row>
    <row r="1049" spans="1:38" x14ac:dyDescent="0.25">
      <c r="A1049" t="s">
        <v>43</v>
      </c>
      <c r="B1049">
        <v>46005.328692129631</v>
      </c>
      <c r="C1049">
        <v>89168</v>
      </c>
      <c r="D1049" t="s">
        <v>646</v>
      </c>
      <c r="E1049">
        <v>4505420</v>
      </c>
      <c r="F1049">
        <v>2104852</v>
      </c>
      <c r="G1049" t="s">
        <v>1371</v>
      </c>
      <c r="H1049" t="s">
        <v>1300</v>
      </c>
      <c r="I1049">
        <v>3.75</v>
      </c>
      <c r="J1049" t="b">
        <v>1</v>
      </c>
      <c r="K1049">
        <v>0.9375</v>
      </c>
      <c r="L1049">
        <v>2106170</v>
      </c>
      <c r="M1049" t="s">
        <v>1372</v>
      </c>
      <c r="N1049">
        <v>4</v>
      </c>
      <c r="O1049">
        <v>4</v>
      </c>
      <c r="P1049"/>
      <c r="Q1049">
        <v>134905</v>
      </c>
      <c r="R1049">
        <v>1</v>
      </c>
      <c r="S1049" t="s">
        <v>40</v>
      </c>
      <c r="T1049">
        <v>261</v>
      </c>
      <c r="U1049">
        <v>147664</v>
      </c>
      <c r="V1049">
        <v>24</v>
      </c>
      <c r="W1049" t="s">
        <v>40</v>
      </c>
      <c r="X1049">
        <v>261</v>
      </c>
      <c r="Y1049" t="s">
        <v>377</v>
      </c>
      <c r="Z1049" t="s">
        <v>378</v>
      </c>
      <c r="AA1049" t="s">
        <v>379</v>
      </c>
      <c r="AB1049" t="s">
        <v>384</v>
      </c>
      <c r="AC1049" t="s">
        <v>41</v>
      </c>
      <c r="AD1049" t="s">
        <v>41</v>
      </c>
      <c r="AE1049" t="s">
        <v>41</v>
      </c>
      <c r="AF1049" t="s">
        <v>41</v>
      </c>
      <c r="AK1049"/>
    </row>
    <row r="1050" spans="1:38" x14ac:dyDescent="0.25">
      <c r="A1050" t="s">
        <v>39</v>
      </c>
      <c r="B1050">
        <v>46005.54210648148</v>
      </c>
      <c r="C1050">
        <v>92598</v>
      </c>
      <c r="D1050" t="s">
        <v>646</v>
      </c>
      <c r="E1050">
        <v>4492224</v>
      </c>
      <c r="F1050">
        <v>109902</v>
      </c>
      <c r="G1050" t="s">
        <v>1376</v>
      </c>
      <c r="H1050" t="s">
        <v>1311</v>
      </c>
      <c r="I1050">
        <v>11.25</v>
      </c>
      <c r="J1050" t="b">
        <v>0</v>
      </c>
      <c r="K1050">
        <v>8.9285714285714288E-2</v>
      </c>
      <c r="L1050">
        <v>109903</v>
      </c>
      <c r="M1050" t="s">
        <v>1377</v>
      </c>
      <c r="N1050">
        <v>126</v>
      </c>
      <c r="O1050">
        <v>114</v>
      </c>
      <c r="P1050"/>
      <c r="Q1050">
        <v>134976</v>
      </c>
      <c r="R1050">
        <v>1</v>
      </c>
      <c r="S1050" t="s">
        <v>40</v>
      </c>
      <c r="T1050">
        <v>261</v>
      </c>
      <c r="W1050"/>
      <c r="Y1050" t="s">
        <v>377</v>
      </c>
      <c r="Z1050" t="s">
        <v>378</v>
      </c>
      <c r="AA1050" t="s">
        <v>379</v>
      </c>
      <c r="AB1050" t="s">
        <v>840</v>
      </c>
      <c r="AC1050" t="s">
        <v>41</v>
      </c>
      <c r="AD1050" t="s">
        <v>41</v>
      </c>
      <c r="AE1050" t="s">
        <v>41</v>
      </c>
      <c r="AF1050" t="s">
        <v>41</v>
      </c>
      <c r="AK1050"/>
    </row>
    <row r="1051" spans="1:38" x14ac:dyDescent="0.25">
      <c r="A1051" t="s">
        <v>39</v>
      </c>
      <c r="B1051">
        <v>46005.545277777775</v>
      </c>
      <c r="C1051">
        <v>92599</v>
      </c>
      <c r="D1051" t="s">
        <v>646</v>
      </c>
      <c r="E1051">
        <v>4504063</v>
      </c>
      <c r="F1051">
        <v>2104627</v>
      </c>
      <c r="G1051" t="s">
        <v>1378</v>
      </c>
      <c r="H1051" t="s">
        <v>1300</v>
      </c>
      <c r="I1051">
        <v>11.25</v>
      </c>
      <c r="J1051" t="b">
        <v>1</v>
      </c>
      <c r="K1051">
        <v>9.0725806451612906E-2</v>
      </c>
      <c r="L1051">
        <v>2124157</v>
      </c>
      <c r="M1051" t="s">
        <v>1379</v>
      </c>
      <c r="N1051">
        <v>124</v>
      </c>
      <c r="O1051">
        <v>120</v>
      </c>
      <c r="P1051"/>
      <c r="Q1051">
        <v>134976</v>
      </c>
      <c r="R1051">
        <v>1</v>
      </c>
      <c r="S1051" t="s">
        <v>40</v>
      </c>
      <c r="T1051">
        <v>261</v>
      </c>
      <c r="W1051"/>
      <c r="Y1051" t="s">
        <v>377</v>
      </c>
      <c r="Z1051" t="s">
        <v>378</v>
      </c>
      <c r="AA1051" t="s">
        <v>379</v>
      </c>
      <c r="AB1051" t="s">
        <v>762</v>
      </c>
      <c r="AC1051" t="s">
        <v>41</v>
      </c>
      <c r="AD1051" t="s">
        <v>41</v>
      </c>
      <c r="AE1051" t="s">
        <v>41</v>
      </c>
      <c r="AF1051" t="s">
        <v>41</v>
      </c>
      <c r="AK1051"/>
    </row>
    <row r="1052" spans="1:38" x14ac:dyDescent="0.25">
      <c r="A1052" t="s">
        <v>37</v>
      </c>
      <c r="B1052">
        <v>46005.951168981483</v>
      </c>
      <c r="C1052">
        <v>91332</v>
      </c>
      <c r="D1052" t="s">
        <v>590</v>
      </c>
      <c r="E1052">
        <v>4501466</v>
      </c>
      <c r="F1052">
        <v>2304718</v>
      </c>
      <c r="G1052" t="s">
        <v>627</v>
      </c>
      <c r="H1052" t="s">
        <v>1380</v>
      </c>
      <c r="I1052">
        <v>14</v>
      </c>
      <c r="J1052" t="b">
        <v>1</v>
      </c>
      <c r="K1052">
        <v>1.75</v>
      </c>
      <c r="L1052">
        <v>2304719</v>
      </c>
      <c r="M1052" t="s">
        <v>628</v>
      </c>
      <c r="N1052">
        <v>8</v>
      </c>
      <c r="O1052">
        <v>8</v>
      </c>
      <c r="P1052" t="s">
        <v>1381</v>
      </c>
      <c r="Q1052">
        <v>134906</v>
      </c>
      <c r="R1052">
        <v>2</v>
      </c>
      <c r="S1052" t="s">
        <v>40</v>
      </c>
      <c r="T1052">
        <v>261</v>
      </c>
      <c r="U1052">
        <v>147664</v>
      </c>
      <c r="V1052">
        <v>48</v>
      </c>
      <c r="W1052" t="s">
        <v>40</v>
      </c>
      <c r="X1052">
        <v>261</v>
      </c>
      <c r="Y1052" t="s">
        <v>377</v>
      </c>
      <c r="Z1052" t="s">
        <v>378</v>
      </c>
      <c r="AA1052" t="s">
        <v>384</v>
      </c>
      <c r="AB1052" t="s">
        <v>384</v>
      </c>
      <c r="AC1052" t="s">
        <v>41</v>
      </c>
      <c r="AD1052" t="s">
        <v>41</v>
      </c>
      <c r="AE1052" t="s">
        <v>41</v>
      </c>
      <c r="AF1052" t="s">
        <v>41</v>
      </c>
      <c r="AK1052"/>
    </row>
    <row r="1053" spans="1:38" x14ac:dyDescent="0.25">
      <c r="A1053" t="s">
        <v>48</v>
      </c>
      <c r="B1053">
        <v>46005.962592592594</v>
      </c>
      <c r="C1053">
        <v>92012</v>
      </c>
      <c r="D1053" t="s">
        <v>590</v>
      </c>
      <c r="E1053">
        <v>4506286</v>
      </c>
      <c r="F1053">
        <v>2104879</v>
      </c>
      <c r="G1053" t="s">
        <v>556</v>
      </c>
      <c r="H1053" t="s">
        <v>1382</v>
      </c>
      <c r="I1053">
        <v>10</v>
      </c>
      <c r="J1053" t="b">
        <v>1</v>
      </c>
      <c r="K1053">
        <v>2.5</v>
      </c>
      <c r="L1053">
        <v>2106199</v>
      </c>
      <c r="M1053" t="s">
        <v>558</v>
      </c>
      <c r="N1053">
        <v>4</v>
      </c>
      <c r="O1053">
        <v>4</v>
      </c>
      <c r="P1053"/>
      <c r="Q1053">
        <v>134906</v>
      </c>
      <c r="R1053">
        <v>1</v>
      </c>
      <c r="S1053" t="s">
        <v>40</v>
      </c>
      <c r="T1053">
        <v>261</v>
      </c>
      <c r="U1053">
        <v>147664</v>
      </c>
      <c r="V1053">
        <v>24</v>
      </c>
      <c r="W1053" t="s">
        <v>40</v>
      </c>
      <c r="X1053">
        <v>261</v>
      </c>
      <c r="Y1053" t="s">
        <v>377</v>
      </c>
      <c r="Z1053" t="s">
        <v>378</v>
      </c>
      <c r="AA1053" t="s">
        <v>379</v>
      </c>
      <c r="AB1053" t="s">
        <v>384</v>
      </c>
      <c r="AC1053" t="s">
        <v>41</v>
      </c>
      <c r="AD1053" t="s">
        <v>41</v>
      </c>
      <c r="AE1053" t="s">
        <v>41</v>
      </c>
      <c r="AF1053" t="s">
        <v>41</v>
      </c>
      <c r="AK1053"/>
    </row>
    <row r="1054" spans="1:38" x14ac:dyDescent="0.25">
      <c r="A1054" t="s">
        <v>48</v>
      </c>
      <c r="B1054">
        <v>46005.963402777779</v>
      </c>
      <c r="C1054">
        <v>92012</v>
      </c>
      <c r="D1054" t="s">
        <v>590</v>
      </c>
      <c r="E1054">
        <v>4506287</v>
      </c>
      <c r="F1054">
        <v>2104879</v>
      </c>
      <c r="G1054" t="s">
        <v>556</v>
      </c>
      <c r="H1054" t="s">
        <v>1382</v>
      </c>
      <c r="I1054">
        <v>10</v>
      </c>
      <c r="J1054" t="b">
        <v>1</v>
      </c>
      <c r="K1054">
        <v>2</v>
      </c>
      <c r="L1054">
        <v>2106199</v>
      </c>
      <c r="M1054" t="s">
        <v>558</v>
      </c>
      <c r="N1054">
        <v>5</v>
      </c>
      <c r="O1054">
        <v>5</v>
      </c>
      <c r="P1054"/>
      <c r="Q1054">
        <v>134906</v>
      </c>
      <c r="R1054">
        <v>1</v>
      </c>
      <c r="S1054" t="s">
        <v>40</v>
      </c>
      <c r="T1054">
        <v>261</v>
      </c>
      <c r="U1054">
        <v>147664</v>
      </c>
      <c r="V1054">
        <v>24</v>
      </c>
      <c r="W1054" t="s">
        <v>40</v>
      </c>
      <c r="X1054">
        <v>261</v>
      </c>
      <c r="Y1054" t="s">
        <v>377</v>
      </c>
      <c r="Z1054" t="s">
        <v>378</v>
      </c>
      <c r="AA1054" t="s">
        <v>379</v>
      </c>
      <c r="AB1054" t="s">
        <v>559</v>
      </c>
      <c r="AC1054" t="s">
        <v>41</v>
      </c>
      <c r="AD1054" t="s">
        <v>41</v>
      </c>
      <c r="AE1054" t="s">
        <v>41</v>
      </c>
      <c r="AF1054" t="s">
        <v>41</v>
      </c>
      <c r="AK1054"/>
    </row>
    <row r="1055" spans="1:38" x14ac:dyDescent="0.25">
      <c r="A1055" t="s">
        <v>39</v>
      </c>
      <c r="B1055">
        <v>46005.973819444444</v>
      </c>
      <c r="C1055">
        <v>90759</v>
      </c>
      <c r="D1055" t="s">
        <v>590</v>
      </c>
      <c r="E1055">
        <v>4506142</v>
      </c>
      <c r="F1055">
        <v>2304174</v>
      </c>
      <c r="G1055" t="s">
        <v>1235</v>
      </c>
      <c r="H1055" t="s">
        <v>1322</v>
      </c>
      <c r="I1055">
        <v>7.5</v>
      </c>
      <c r="J1055" t="b">
        <v>1</v>
      </c>
      <c r="K1055">
        <v>1.875</v>
      </c>
      <c r="L1055">
        <v>2304175</v>
      </c>
      <c r="M1055" t="s">
        <v>1236</v>
      </c>
      <c r="N1055">
        <v>4</v>
      </c>
      <c r="O1055">
        <v>4</v>
      </c>
      <c r="P1055"/>
      <c r="Q1055">
        <v>134906</v>
      </c>
      <c r="R1055">
        <v>1</v>
      </c>
      <c r="S1055" t="s">
        <v>40</v>
      </c>
      <c r="T1055">
        <v>261</v>
      </c>
      <c r="U1055">
        <v>147664</v>
      </c>
      <c r="V1055">
        <v>24</v>
      </c>
      <c r="W1055" t="s">
        <v>40</v>
      </c>
      <c r="X1055">
        <v>261</v>
      </c>
      <c r="Y1055" t="s">
        <v>377</v>
      </c>
      <c r="Z1055" t="s">
        <v>378</v>
      </c>
      <c r="AA1055" t="s">
        <v>379</v>
      </c>
      <c r="AB1055" t="s">
        <v>384</v>
      </c>
      <c r="AC1055" t="s">
        <v>41</v>
      </c>
      <c r="AD1055" t="s">
        <v>41</v>
      </c>
      <c r="AE1055" t="s">
        <v>41</v>
      </c>
      <c r="AF1055" t="s">
        <v>41</v>
      </c>
      <c r="AK1055"/>
    </row>
    <row r="1056" spans="1:38" x14ac:dyDescent="0.25">
      <c r="A1056" t="s">
        <v>39</v>
      </c>
      <c r="B1056">
        <v>46005.974675925929</v>
      </c>
      <c r="C1056">
        <v>90759</v>
      </c>
      <c r="D1056" t="s">
        <v>590</v>
      </c>
      <c r="E1056">
        <v>4506143</v>
      </c>
      <c r="F1056">
        <v>2304174</v>
      </c>
      <c r="G1056" t="s">
        <v>1235</v>
      </c>
      <c r="H1056" t="s">
        <v>1322</v>
      </c>
      <c r="I1056">
        <v>7.5</v>
      </c>
      <c r="J1056" t="b">
        <v>1</v>
      </c>
      <c r="K1056">
        <v>0.625</v>
      </c>
      <c r="L1056">
        <v>2304175</v>
      </c>
      <c r="M1056" t="s">
        <v>1236</v>
      </c>
      <c r="N1056">
        <v>12</v>
      </c>
      <c r="O1056">
        <v>12</v>
      </c>
      <c r="P1056"/>
      <c r="Q1056">
        <v>134906</v>
      </c>
      <c r="R1056">
        <v>1</v>
      </c>
      <c r="S1056" t="s">
        <v>40</v>
      </c>
      <c r="T1056">
        <v>261</v>
      </c>
      <c r="U1056">
        <v>147664</v>
      </c>
      <c r="V1056">
        <v>24</v>
      </c>
      <c r="W1056" t="s">
        <v>40</v>
      </c>
      <c r="X1056">
        <v>261</v>
      </c>
      <c r="Y1056" t="s">
        <v>377</v>
      </c>
      <c r="Z1056" t="s">
        <v>378</v>
      </c>
      <c r="AA1056" t="s">
        <v>379</v>
      </c>
      <c r="AB1056" t="s">
        <v>409</v>
      </c>
      <c r="AC1056" t="s">
        <v>41</v>
      </c>
      <c r="AD1056" t="s">
        <v>41</v>
      </c>
      <c r="AE1056" t="s">
        <v>41</v>
      </c>
      <c r="AF1056" t="s">
        <v>41</v>
      </c>
      <c r="AK1056"/>
    </row>
    <row r="1057" spans="1:37" x14ac:dyDescent="0.25">
      <c r="A1057" t="s">
        <v>47</v>
      </c>
      <c r="B1057">
        <v>46006.223645833335</v>
      </c>
      <c r="C1057">
        <v>90620</v>
      </c>
      <c r="D1057" t="s">
        <v>590</v>
      </c>
      <c r="E1057">
        <v>4496895</v>
      </c>
      <c r="F1057">
        <v>134469</v>
      </c>
      <c r="G1057" t="s">
        <v>1360</v>
      </c>
      <c r="H1057" t="s">
        <v>924</v>
      </c>
      <c r="I1057">
        <v>33</v>
      </c>
      <c r="J1057" t="b">
        <v>1</v>
      </c>
      <c r="K1057">
        <v>0.2578125</v>
      </c>
      <c r="L1057">
        <v>134470</v>
      </c>
      <c r="M1057" t="s">
        <v>1362</v>
      </c>
      <c r="N1057">
        <v>128</v>
      </c>
      <c r="O1057">
        <v>128</v>
      </c>
      <c r="P1057" t="s">
        <v>408</v>
      </c>
      <c r="Q1057">
        <v>0</v>
      </c>
      <c r="R1057">
        <v>0</v>
      </c>
      <c r="S1057" t="s">
        <v>40</v>
      </c>
      <c r="T1057">
        <v>261</v>
      </c>
      <c r="W1057"/>
      <c r="Y1057" t="s">
        <v>377</v>
      </c>
      <c r="Z1057" t="s">
        <v>378</v>
      </c>
      <c r="AA1057" t="s">
        <v>379</v>
      </c>
      <c r="AB1057" t="s">
        <v>1365</v>
      </c>
      <c r="AC1057" t="s">
        <v>41</v>
      </c>
      <c r="AD1057" t="s">
        <v>41</v>
      </c>
      <c r="AE1057" t="s">
        <v>41</v>
      </c>
      <c r="AF1057" t="s">
        <v>41</v>
      </c>
      <c r="AK1057"/>
    </row>
    <row r="1058" spans="1:37" x14ac:dyDescent="0.25">
      <c r="A1058" t="s">
        <v>38</v>
      </c>
      <c r="B1058">
        <v>46006.313750000001</v>
      </c>
      <c r="C1058">
        <v>89264</v>
      </c>
      <c r="D1058" t="s">
        <v>393</v>
      </c>
      <c r="E1058">
        <v>4505422</v>
      </c>
      <c r="F1058">
        <v>2104852</v>
      </c>
      <c r="G1058" t="s">
        <v>1371</v>
      </c>
      <c r="H1058" t="s">
        <v>1339</v>
      </c>
      <c r="I1058">
        <v>7.5</v>
      </c>
      <c r="J1058" t="b">
        <v>1</v>
      </c>
      <c r="K1058">
        <v>1.875</v>
      </c>
      <c r="L1058">
        <v>2106170</v>
      </c>
      <c r="M1058" t="s">
        <v>1372</v>
      </c>
      <c r="N1058">
        <v>4</v>
      </c>
      <c r="O1058">
        <v>4</v>
      </c>
      <c r="P1058"/>
      <c r="Q1058">
        <v>134906</v>
      </c>
      <c r="R1058">
        <v>1</v>
      </c>
      <c r="S1058" t="s">
        <v>40</v>
      </c>
      <c r="T1058">
        <v>261</v>
      </c>
      <c r="U1058">
        <v>147664</v>
      </c>
      <c r="V1058">
        <v>24</v>
      </c>
      <c r="W1058" t="s">
        <v>40</v>
      </c>
      <c r="X1058">
        <v>261</v>
      </c>
      <c r="Y1058" t="s">
        <v>377</v>
      </c>
      <c r="Z1058" t="s">
        <v>378</v>
      </c>
      <c r="AA1058" t="s">
        <v>379</v>
      </c>
      <c r="AB1058" t="s">
        <v>384</v>
      </c>
      <c r="AC1058" t="s">
        <v>41</v>
      </c>
      <c r="AD1058" t="s">
        <v>41</v>
      </c>
      <c r="AE1058" t="s">
        <v>41</v>
      </c>
      <c r="AF1058" t="s">
        <v>41</v>
      </c>
      <c r="AK1058"/>
    </row>
    <row r="1059" spans="1:37" x14ac:dyDescent="0.25">
      <c r="A1059" t="s">
        <v>38</v>
      </c>
      <c r="B1059">
        <v>46006.315023148149</v>
      </c>
      <c r="C1059">
        <v>89264</v>
      </c>
      <c r="D1059" t="s">
        <v>393</v>
      </c>
      <c r="E1059">
        <v>4505423</v>
      </c>
      <c r="F1059">
        <v>2104852</v>
      </c>
      <c r="G1059" t="s">
        <v>1371</v>
      </c>
      <c r="H1059" t="s">
        <v>1339</v>
      </c>
      <c r="I1059">
        <v>7.5</v>
      </c>
      <c r="J1059" t="b">
        <v>1</v>
      </c>
      <c r="K1059">
        <v>0.9375</v>
      </c>
      <c r="L1059">
        <v>2106170</v>
      </c>
      <c r="M1059" t="s">
        <v>1372</v>
      </c>
      <c r="N1059">
        <v>8</v>
      </c>
      <c r="O1059">
        <v>8</v>
      </c>
      <c r="P1059"/>
      <c r="Q1059">
        <v>134906</v>
      </c>
      <c r="R1059">
        <v>1</v>
      </c>
      <c r="S1059" t="s">
        <v>40</v>
      </c>
      <c r="T1059">
        <v>261</v>
      </c>
      <c r="U1059">
        <v>147664</v>
      </c>
      <c r="V1059">
        <v>24</v>
      </c>
      <c r="W1059" t="s">
        <v>40</v>
      </c>
      <c r="X1059">
        <v>261</v>
      </c>
      <c r="Y1059" t="s">
        <v>377</v>
      </c>
      <c r="Z1059" t="s">
        <v>378</v>
      </c>
      <c r="AA1059" t="s">
        <v>379</v>
      </c>
      <c r="AB1059" t="s">
        <v>400</v>
      </c>
      <c r="AC1059" t="s">
        <v>41</v>
      </c>
      <c r="AD1059" t="s">
        <v>41</v>
      </c>
      <c r="AE1059" t="s">
        <v>41</v>
      </c>
      <c r="AF1059" t="s">
        <v>41</v>
      </c>
      <c r="AK1059"/>
    </row>
    <row r="1060" spans="1:37" x14ac:dyDescent="0.25">
      <c r="A1060" t="s">
        <v>45</v>
      </c>
      <c r="B1060">
        <v>46006.617488425924</v>
      </c>
      <c r="C1060">
        <v>92091</v>
      </c>
      <c r="D1060" t="s">
        <v>563</v>
      </c>
      <c r="E1060">
        <v>4503322</v>
      </c>
      <c r="F1060">
        <v>160809</v>
      </c>
      <c r="G1060" t="s">
        <v>1373</v>
      </c>
      <c r="H1060" t="s">
        <v>1156</v>
      </c>
      <c r="I1060">
        <v>40</v>
      </c>
      <c r="J1060" t="b">
        <v>1</v>
      </c>
      <c r="K1060">
        <v>9.8280098280098274E-2</v>
      </c>
      <c r="L1060">
        <v>160810</v>
      </c>
      <c r="M1060" t="s">
        <v>1374</v>
      </c>
      <c r="N1060">
        <v>407</v>
      </c>
      <c r="O1060">
        <v>407</v>
      </c>
      <c r="P1060"/>
      <c r="Q1060">
        <v>0</v>
      </c>
      <c r="R1060">
        <v>0</v>
      </c>
      <c r="S1060" t="s">
        <v>40</v>
      </c>
      <c r="T1060">
        <v>261</v>
      </c>
      <c r="W1060"/>
      <c r="Y1060" t="s">
        <v>377</v>
      </c>
      <c r="Z1060" t="s">
        <v>378</v>
      </c>
      <c r="AA1060" t="s">
        <v>379</v>
      </c>
      <c r="AB1060" t="s">
        <v>1157</v>
      </c>
      <c r="AC1060" t="s">
        <v>41</v>
      </c>
      <c r="AD1060" t="s">
        <v>41</v>
      </c>
      <c r="AE1060" t="s">
        <v>41</v>
      </c>
      <c r="AF1060" t="s">
        <v>41</v>
      </c>
      <c r="AK1060"/>
    </row>
    <row r="1061" spans="1:37" x14ac:dyDescent="0.25">
      <c r="A1061" t="s">
        <v>37</v>
      </c>
      <c r="B1061">
        <v>46006.91909722222</v>
      </c>
      <c r="C1061">
        <v>90760</v>
      </c>
      <c r="D1061" t="s">
        <v>563</v>
      </c>
      <c r="E1061">
        <v>4506144</v>
      </c>
      <c r="F1061">
        <v>2304174</v>
      </c>
      <c r="G1061" t="s">
        <v>1235</v>
      </c>
      <c r="H1061" t="s">
        <v>1383</v>
      </c>
      <c r="I1061">
        <v>2</v>
      </c>
      <c r="J1061" t="b">
        <v>1</v>
      </c>
      <c r="K1061">
        <v>0.5</v>
      </c>
      <c r="L1061">
        <v>2304175</v>
      </c>
      <c r="M1061" t="s">
        <v>1236</v>
      </c>
      <c r="N1061">
        <v>4</v>
      </c>
      <c r="O1061">
        <v>4</v>
      </c>
      <c r="P1061"/>
      <c r="Q1061">
        <v>134905</v>
      </c>
      <c r="R1061">
        <v>1</v>
      </c>
      <c r="S1061" t="s">
        <v>40</v>
      </c>
      <c r="T1061">
        <v>261</v>
      </c>
      <c r="U1061">
        <v>147664</v>
      </c>
      <c r="V1061">
        <v>24</v>
      </c>
      <c r="W1061" t="s">
        <v>40</v>
      </c>
      <c r="X1061">
        <v>261</v>
      </c>
      <c r="Y1061" t="s">
        <v>377</v>
      </c>
      <c r="Z1061" t="s">
        <v>378</v>
      </c>
      <c r="AA1061" t="s">
        <v>379</v>
      </c>
      <c r="AB1061" t="s">
        <v>384</v>
      </c>
      <c r="AC1061" t="s">
        <v>41</v>
      </c>
      <c r="AD1061" t="s">
        <v>41</v>
      </c>
      <c r="AE1061" t="s">
        <v>41</v>
      </c>
      <c r="AF1061" t="s">
        <v>41</v>
      </c>
      <c r="AK1061"/>
    </row>
    <row r="1062" spans="1:37" x14ac:dyDescent="0.25">
      <c r="A1062" t="s">
        <v>37</v>
      </c>
      <c r="B1062">
        <v>46006.919699074075</v>
      </c>
      <c r="C1062">
        <v>90760</v>
      </c>
      <c r="D1062" t="s">
        <v>563</v>
      </c>
      <c r="E1062">
        <v>4506145</v>
      </c>
      <c r="F1062">
        <v>2304174</v>
      </c>
      <c r="G1062" t="s">
        <v>1235</v>
      </c>
      <c r="H1062" t="s">
        <v>1383</v>
      </c>
      <c r="I1062">
        <v>2</v>
      </c>
      <c r="J1062" t="b">
        <v>1</v>
      </c>
      <c r="K1062">
        <v>0.16666666666666666</v>
      </c>
      <c r="L1062">
        <v>2304175</v>
      </c>
      <c r="M1062" t="s">
        <v>1236</v>
      </c>
      <c r="N1062">
        <v>12</v>
      </c>
      <c r="O1062">
        <v>12</v>
      </c>
      <c r="P1062"/>
      <c r="Q1062">
        <v>134905</v>
      </c>
      <c r="R1062">
        <v>1</v>
      </c>
      <c r="S1062" t="s">
        <v>40</v>
      </c>
      <c r="T1062">
        <v>261</v>
      </c>
      <c r="U1062">
        <v>147664</v>
      </c>
      <c r="V1062">
        <v>24</v>
      </c>
      <c r="W1062" t="s">
        <v>40</v>
      </c>
      <c r="X1062">
        <v>261</v>
      </c>
      <c r="Y1062" t="s">
        <v>377</v>
      </c>
      <c r="Z1062" t="s">
        <v>378</v>
      </c>
      <c r="AA1062" t="s">
        <v>379</v>
      </c>
      <c r="AB1062" t="s">
        <v>409</v>
      </c>
      <c r="AC1062" t="s">
        <v>41</v>
      </c>
      <c r="AD1062" t="s">
        <v>41</v>
      </c>
      <c r="AE1062" t="s">
        <v>41</v>
      </c>
      <c r="AF1062" t="s">
        <v>41</v>
      </c>
      <c r="AK1062"/>
    </row>
    <row r="1063" spans="1:37" x14ac:dyDescent="0.25">
      <c r="A1063" t="s">
        <v>38</v>
      </c>
      <c r="B1063">
        <v>46007.283495370371</v>
      </c>
      <c r="C1063">
        <v>92014</v>
      </c>
      <c r="D1063" t="s">
        <v>563</v>
      </c>
      <c r="E1063">
        <v>4506288</v>
      </c>
      <c r="F1063">
        <v>2104881</v>
      </c>
      <c r="G1063" t="s">
        <v>600</v>
      </c>
      <c r="H1063" t="s">
        <v>1384</v>
      </c>
      <c r="I1063">
        <v>10</v>
      </c>
      <c r="J1063" t="b">
        <v>1</v>
      </c>
      <c r="K1063">
        <v>2.5</v>
      </c>
      <c r="L1063">
        <v>2106201</v>
      </c>
      <c r="M1063" t="s">
        <v>602</v>
      </c>
      <c r="N1063">
        <v>4</v>
      </c>
      <c r="O1063">
        <v>4</v>
      </c>
      <c r="P1063"/>
      <c r="Q1063">
        <v>134905</v>
      </c>
      <c r="R1063">
        <v>1</v>
      </c>
      <c r="S1063" t="s">
        <v>40</v>
      </c>
      <c r="T1063">
        <v>261</v>
      </c>
      <c r="U1063">
        <v>147664</v>
      </c>
      <c r="V1063">
        <v>24</v>
      </c>
      <c r="W1063" t="s">
        <v>40</v>
      </c>
      <c r="X1063">
        <v>261</v>
      </c>
      <c r="Y1063" t="s">
        <v>377</v>
      </c>
      <c r="Z1063" t="s">
        <v>378</v>
      </c>
      <c r="AA1063" t="s">
        <v>379</v>
      </c>
      <c r="AB1063" t="s">
        <v>384</v>
      </c>
      <c r="AC1063" t="s">
        <v>41</v>
      </c>
      <c r="AD1063" t="s">
        <v>41</v>
      </c>
      <c r="AE1063" t="s">
        <v>41</v>
      </c>
      <c r="AF1063" t="s">
        <v>41</v>
      </c>
      <c r="AK1063"/>
    </row>
    <row r="1064" spans="1:37" x14ac:dyDescent="0.25">
      <c r="A1064" t="s">
        <v>38</v>
      </c>
      <c r="B1064">
        <v>46007.284085648149</v>
      </c>
      <c r="C1064">
        <v>92014</v>
      </c>
      <c r="D1064" t="s">
        <v>563</v>
      </c>
      <c r="E1064">
        <v>4506289</v>
      </c>
      <c r="F1064">
        <v>2104881</v>
      </c>
      <c r="G1064" t="s">
        <v>600</v>
      </c>
      <c r="H1064" t="s">
        <v>1384</v>
      </c>
      <c r="I1064">
        <v>10</v>
      </c>
      <c r="J1064" t="b">
        <v>1</v>
      </c>
      <c r="K1064">
        <v>2</v>
      </c>
      <c r="L1064">
        <v>2106201</v>
      </c>
      <c r="M1064" t="s">
        <v>602</v>
      </c>
      <c r="N1064">
        <v>5</v>
      </c>
      <c r="O1064">
        <v>5</v>
      </c>
      <c r="P1064"/>
      <c r="Q1064">
        <v>134905</v>
      </c>
      <c r="R1064">
        <v>1</v>
      </c>
      <c r="S1064" t="s">
        <v>40</v>
      </c>
      <c r="T1064">
        <v>261</v>
      </c>
      <c r="U1064">
        <v>147664</v>
      </c>
      <c r="V1064">
        <v>24</v>
      </c>
      <c r="W1064" t="s">
        <v>40</v>
      </c>
      <c r="X1064">
        <v>261</v>
      </c>
      <c r="Y1064" t="s">
        <v>377</v>
      </c>
      <c r="Z1064" t="s">
        <v>378</v>
      </c>
      <c r="AA1064" t="s">
        <v>379</v>
      </c>
      <c r="AB1064" t="s">
        <v>559</v>
      </c>
      <c r="AC1064" t="s">
        <v>41</v>
      </c>
      <c r="AD1064" t="s">
        <v>41</v>
      </c>
      <c r="AE1064" t="s">
        <v>41</v>
      </c>
      <c r="AF1064" t="s">
        <v>41</v>
      </c>
      <c r="AK1064"/>
    </row>
    <row r="1065" spans="1:37" x14ac:dyDescent="0.25">
      <c r="A1065" t="s">
        <v>37</v>
      </c>
      <c r="B1065">
        <v>46007.303425925929</v>
      </c>
      <c r="C1065">
        <v>90761</v>
      </c>
      <c r="D1065" t="s">
        <v>563</v>
      </c>
      <c r="E1065">
        <v>4506146</v>
      </c>
      <c r="F1065">
        <v>2304174</v>
      </c>
      <c r="G1065" t="s">
        <v>1235</v>
      </c>
      <c r="H1065" t="s">
        <v>1323</v>
      </c>
      <c r="I1065">
        <v>7.5</v>
      </c>
      <c r="J1065" t="b">
        <v>1</v>
      </c>
      <c r="K1065">
        <v>1.875</v>
      </c>
      <c r="L1065">
        <v>2304175</v>
      </c>
      <c r="M1065" t="s">
        <v>1236</v>
      </c>
      <c r="N1065">
        <v>4</v>
      </c>
      <c r="O1065">
        <v>4</v>
      </c>
      <c r="P1065"/>
      <c r="Q1065">
        <v>134906</v>
      </c>
      <c r="R1065">
        <v>1</v>
      </c>
      <c r="S1065" t="s">
        <v>40</v>
      </c>
      <c r="T1065">
        <v>261</v>
      </c>
      <c r="U1065">
        <v>147664</v>
      </c>
      <c r="V1065">
        <v>24</v>
      </c>
      <c r="W1065" t="s">
        <v>40</v>
      </c>
      <c r="X1065">
        <v>261</v>
      </c>
      <c r="Y1065" t="s">
        <v>377</v>
      </c>
      <c r="Z1065" t="s">
        <v>378</v>
      </c>
      <c r="AA1065" t="s">
        <v>379</v>
      </c>
      <c r="AB1065" t="s">
        <v>384</v>
      </c>
      <c r="AC1065" t="s">
        <v>41</v>
      </c>
      <c r="AD1065" t="s">
        <v>41</v>
      </c>
      <c r="AE1065" t="s">
        <v>41</v>
      </c>
      <c r="AF1065" t="s">
        <v>41</v>
      </c>
      <c r="AK1065"/>
    </row>
    <row r="1066" spans="1:37" x14ac:dyDescent="0.25">
      <c r="A1066" t="s">
        <v>37</v>
      </c>
      <c r="B1066">
        <v>46007.304305555554</v>
      </c>
      <c r="C1066">
        <v>90761</v>
      </c>
      <c r="D1066" t="s">
        <v>563</v>
      </c>
      <c r="E1066">
        <v>4506147</v>
      </c>
      <c r="F1066">
        <v>2304174</v>
      </c>
      <c r="G1066" t="s">
        <v>1235</v>
      </c>
      <c r="H1066" t="s">
        <v>1323</v>
      </c>
      <c r="I1066">
        <v>3</v>
      </c>
      <c r="J1066" t="b">
        <v>1</v>
      </c>
      <c r="K1066">
        <v>0.25</v>
      </c>
      <c r="L1066">
        <v>2304175</v>
      </c>
      <c r="M1066" t="s">
        <v>1236</v>
      </c>
      <c r="N1066">
        <v>12</v>
      </c>
      <c r="O1066">
        <v>12</v>
      </c>
      <c r="P1066"/>
      <c r="Q1066">
        <v>134906</v>
      </c>
      <c r="R1066">
        <v>1</v>
      </c>
      <c r="S1066" t="s">
        <v>40</v>
      </c>
      <c r="T1066">
        <v>261</v>
      </c>
      <c r="U1066">
        <v>147664</v>
      </c>
      <c r="V1066">
        <v>24</v>
      </c>
      <c r="W1066" t="s">
        <v>40</v>
      </c>
      <c r="X1066">
        <v>261</v>
      </c>
      <c r="Y1066" t="s">
        <v>377</v>
      </c>
      <c r="Z1066" t="s">
        <v>378</v>
      </c>
      <c r="AA1066" t="s">
        <v>379</v>
      </c>
      <c r="AB1066" t="s">
        <v>409</v>
      </c>
      <c r="AC1066" t="s">
        <v>41</v>
      </c>
      <c r="AD1066" t="s">
        <v>41</v>
      </c>
      <c r="AE1066" t="s">
        <v>41</v>
      </c>
      <c r="AF1066" t="s">
        <v>41</v>
      </c>
      <c r="AK1066"/>
    </row>
    <row r="1067" spans="1:37" x14ac:dyDescent="0.25">
      <c r="A1067" t="s">
        <v>42</v>
      </c>
      <c r="B1067">
        <v>46007.410578703704</v>
      </c>
      <c r="C1067">
        <v>92603</v>
      </c>
      <c r="D1067" t="s">
        <v>563</v>
      </c>
      <c r="E1067">
        <v>4492591</v>
      </c>
      <c r="F1067">
        <v>154408</v>
      </c>
      <c r="G1067" t="s">
        <v>1385</v>
      </c>
      <c r="H1067" t="s">
        <v>1300</v>
      </c>
      <c r="I1067">
        <v>49.8</v>
      </c>
      <c r="J1067" t="b">
        <v>1</v>
      </c>
      <c r="K1067">
        <v>0.42931034482758618</v>
      </c>
      <c r="L1067">
        <v>154410</v>
      </c>
      <c r="M1067" t="s">
        <v>1386</v>
      </c>
      <c r="N1067">
        <v>116</v>
      </c>
      <c r="O1067">
        <v>116</v>
      </c>
      <c r="P1067"/>
      <c r="Q1067">
        <v>134974</v>
      </c>
      <c r="R1067">
        <v>1</v>
      </c>
      <c r="S1067" t="s">
        <v>40</v>
      </c>
      <c r="T1067">
        <v>261</v>
      </c>
      <c r="W1067"/>
      <c r="Y1067" t="s">
        <v>377</v>
      </c>
      <c r="Z1067" t="s">
        <v>378</v>
      </c>
      <c r="AA1067" t="s">
        <v>379</v>
      </c>
      <c r="AB1067" t="s">
        <v>1387</v>
      </c>
      <c r="AC1067" t="s">
        <v>41</v>
      </c>
      <c r="AD1067" t="s">
        <v>41</v>
      </c>
      <c r="AE1067" t="s">
        <v>41</v>
      </c>
      <c r="AF1067" t="s">
        <v>41</v>
      </c>
      <c r="AK1067"/>
    </row>
    <row r="1068" spans="1:37" x14ac:dyDescent="0.25">
      <c r="A1068" t="s">
        <v>44</v>
      </c>
      <c r="B1068">
        <v>46007.426087962966</v>
      </c>
      <c r="C1068">
        <v>91333</v>
      </c>
      <c r="D1068" t="s">
        <v>560</v>
      </c>
      <c r="E1068">
        <v>4495166</v>
      </c>
      <c r="F1068">
        <v>113677</v>
      </c>
      <c r="G1068" t="s">
        <v>687</v>
      </c>
      <c r="H1068" t="s">
        <v>1088</v>
      </c>
      <c r="I1068">
        <v>14</v>
      </c>
      <c r="J1068" t="b">
        <v>1</v>
      </c>
      <c r="K1068">
        <v>1.75</v>
      </c>
      <c r="L1068">
        <v>113679</v>
      </c>
      <c r="M1068" t="s">
        <v>689</v>
      </c>
      <c r="N1068">
        <v>8</v>
      </c>
      <c r="O1068">
        <v>8</v>
      </c>
      <c r="P1068"/>
      <c r="Q1068">
        <v>134905</v>
      </c>
      <c r="R1068">
        <v>0</v>
      </c>
      <c r="S1068" t="s">
        <v>40</v>
      </c>
      <c r="T1068">
        <v>261</v>
      </c>
      <c r="U1068">
        <v>147664</v>
      </c>
      <c r="V1068">
        <v>0</v>
      </c>
      <c r="W1068" t="s">
        <v>40</v>
      </c>
      <c r="X1068">
        <v>261</v>
      </c>
      <c r="Y1068" t="s">
        <v>377</v>
      </c>
      <c r="Z1068" t="s">
        <v>378</v>
      </c>
      <c r="AA1068" t="s">
        <v>525</v>
      </c>
      <c r="AB1068" t="s">
        <v>400</v>
      </c>
      <c r="AC1068" t="s">
        <v>41</v>
      </c>
      <c r="AD1068" t="s">
        <v>41</v>
      </c>
      <c r="AE1068" t="s">
        <v>41</v>
      </c>
      <c r="AF1068" t="s">
        <v>41</v>
      </c>
      <c r="AK1068"/>
    </row>
    <row r="1069" spans="1:37" x14ac:dyDescent="0.25">
      <c r="A1069" t="s">
        <v>43</v>
      </c>
      <c r="B1069">
        <v>46007.795069444444</v>
      </c>
      <c r="C1069">
        <v>92092</v>
      </c>
      <c r="D1069" t="s">
        <v>745</v>
      </c>
      <c r="E1069">
        <v>4503323</v>
      </c>
      <c r="F1069">
        <v>160809</v>
      </c>
      <c r="G1069" t="s">
        <v>1373</v>
      </c>
      <c r="H1069" t="s">
        <v>1210</v>
      </c>
      <c r="I1069">
        <v>40</v>
      </c>
      <c r="J1069" t="b">
        <v>1</v>
      </c>
      <c r="K1069">
        <v>0.1</v>
      </c>
      <c r="L1069">
        <v>160810</v>
      </c>
      <c r="M1069" t="s">
        <v>1374</v>
      </c>
      <c r="N1069">
        <v>400</v>
      </c>
      <c r="O1069">
        <v>400</v>
      </c>
      <c r="P1069"/>
      <c r="Q1069">
        <v>0</v>
      </c>
      <c r="R1069">
        <v>0</v>
      </c>
      <c r="S1069" t="s">
        <v>40</v>
      </c>
      <c r="T1069">
        <v>261</v>
      </c>
      <c r="W1069"/>
      <c r="Y1069" t="s">
        <v>377</v>
      </c>
      <c r="Z1069" t="s">
        <v>378</v>
      </c>
      <c r="AA1069" t="s">
        <v>379</v>
      </c>
      <c r="AB1069" t="s">
        <v>1079</v>
      </c>
      <c r="AC1069" t="s">
        <v>41</v>
      </c>
      <c r="AD1069" t="s">
        <v>41</v>
      </c>
      <c r="AE1069" t="s">
        <v>41</v>
      </c>
      <c r="AF1069" t="s">
        <v>41</v>
      </c>
      <c r="AK1069"/>
    </row>
    <row r="1070" spans="1:37" x14ac:dyDescent="0.25">
      <c r="A1070" t="s">
        <v>38</v>
      </c>
      <c r="B1070">
        <v>46007.884340277778</v>
      </c>
      <c r="C1070">
        <v>89265</v>
      </c>
      <c r="D1070" t="s">
        <v>745</v>
      </c>
      <c r="E1070">
        <v>4505425</v>
      </c>
      <c r="F1070">
        <v>105454</v>
      </c>
      <c r="G1070" t="s">
        <v>783</v>
      </c>
      <c r="H1070" t="s">
        <v>1388</v>
      </c>
      <c r="I1070">
        <v>7.5</v>
      </c>
      <c r="J1070" t="b">
        <v>1</v>
      </c>
      <c r="K1070">
        <v>0.625</v>
      </c>
      <c r="L1070">
        <v>2106228</v>
      </c>
      <c r="M1070" t="s">
        <v>784</v>
      </c>
      <c r="N1070">
        <v>12</v>
      </c>
      <c r="O1070">
        <v>12</v>
      </c>
      <c r="P1070"/>
      <c r="Q1070">
        <v>134905</v>
      </c>
      <c r="R1070">
        <v>2</v>
      </c>
      <c r="S1070" t="s">
        <v>40</v>
      </c>
      <c r="T1070">
        <v>261</v>
      </c>
      <c r="U1070">
        <v>147664</v>
      </c>
      <c r="V1070">
        <v>48</v>
      </c>
      <c r="W1070" t="s">
        <v>40</v>
      </c>
      <c r="X1070">
        <v>261</v>
      </c>
      <c r="Y1070" t="s">
        <v>377</v>
      </c>
      <c r="Z1070" t="s">
        <v>378</v>
      </c>
      <c r="AA1070" t="s">
        <v>379</v>
      </c>
      <c r="AB1070" t="s">
        <v>400</v>
      </c>
      <c r="AC1070" t="s">
        <v>41</v>
      </c>
      <c r="AD1070" t="s">
        <v>41</v>
      </c>
      <c r="AE1070" t="s">
        <v>41</v>
      </c>
      <c r="AF1070" t="s">
        <v>41</v>
      </c>
      <c r="AK1070"/>
    </row>
    <row r="1071" spans="1:37" x14ac:dyDescent="0.25">
      <c r="A1071" t="s">
        <v>42</v>
      </c>
      <c r="B1071">
        <v>46007.967974537038</v>
      </c>
      <c r="C1071">
        <v>90762</v>
      </c>
      <c r="D1071" t="s">
        <v>745</v>
      </c>
      <c r="E1071">
        <v>4506149</v>
      </c>
      <c r="F1071">
        <v>2304174</v>
      </c>
      <c r="G1071" t="s">
        <v>1235</v>
      </c>
      <c r="H1071" t="s">
        <v>1389</v>
      </c>
      <c r="I1071">
        <v>3.75</v>
      </c>
      <c r="J1071" t="b">
        <v>1</v>
      </c>
      <c r="K1071">
        <v>0.3125</v>
      </c>
      <c r="L1071">
        <v>2304175</v>
      </c>
      <c r="M1071" t="s">
        <v>1236</v>
      </c>
      <c r="N1071">
        <v>12</v>
      </c>
      <c r="O1071">
        <v>12</v>
      </c>
      <c r="P1071"/>
      <c r="Q1071">
        <v>134906</v>
      </c>
      <c r="R1071">
        <v>1</v>
      </c>
      <c r="S1071" t="s">
        <v>40</v>
      </c>
      <c r="T1071">
        <v>261</v>
      </c>
      <c r="U1071">
        <v>147664</v>
      </c>
      <c r="V1071">
        <v>24</v>
      </c>
      <c r="W1071" t="s">
        <v>40</v>
      </c>
      <c r="X1071">
        <v>261</v>
      </c>
      <c r="Y1071" t="s">
        <v>377</v>
      </c>
      <c r="Z1071" t="s">
        <v>378</v>
      </c>
      <c r="AA1071" t="s">
        <v>379</v>
      </c>
      <c r="AB1071" t="s">
        <v>409</v>
      </c>
      <c r="AC1071" t="s">
        <v>41</v>
      </c>
      <c r="AD1071" t="s">
        <v>41</v>
      </c>
      <c r="AE1071" t="s">
        <v>41</v>
      </c>
      <c r="AF1071" t="s">
        <v>41</v>
      </c>
      <c r="AK1071"/>
    </row>
    <row r="1072" spans="1:37" x14ac:dyDescent="0.25">
      <c r="A1072" t="s">
        <v>42</v>
      </c>
      <c r="B1072">
        <v>46007.968518518515</v>
      </c>
      <c r="C1072">
        <v>90762</v>
      </c>
      <c r="D1072" t="s">
        <v>745</v>
      </c>
      <c r="E1072">
        <v>4506148</v>
      </c>
      <c r="F1072">
        <v>2304174</v>
      </c>
      <c r="G1072" t="s">
        <v>1235</v>
      </c>
      <c r="H1072" t="s">
        <v>1389</v>
      </c>
      <c r="I1072">
        <v>3.75</v>
      </c>
      <c r="J1072" t="b">
        <v>1</v>
      </c>
      <c r="K1072">
        <v>0.9375</v>
      </c>
      <c r="L1072">
        <v>2304175</v>
      </c>
      <c r="M1072" t="s">
        <v>1236</v>
      </c>
      <c r="N1072">
        <v>4</v>
      </c>
      <c r="O1072">
        <v>4</v>
      </c>
      <c r="P1072"/>
      <c r="Q1072">
        <v>134906</v>
      </c>
      <c r="R1072">
        <v>1</v>
      </c>
      <c r="S1072" t="s">
        <v>40</v>
      </c>
      <c r="T1072">
        <v>261</v>
      </c>
      <c r="U1072">
        <v>147664</v>
      </c>
      <c r="V1072">
        <v>24</v>
      </c>
      <c r="W1072" t="s">
        <v>40</v>
      </c>
      <c r="X1072">
        <v>261</v>
      </c>
      <c r="Y1072" t="s">
        <v>377</v>
      </c>
      <c r="Z1072" t="s">
        <v>378</v>
      </c>
      <c r="AA1072" t="s">
        <v>379</v>
      </c>
      <c r="AB1072" t="s">
        <v>384</v>
      </c>
      <c r="AC1072" t="s">
        <v>41</v>
      </c>
      <c r="AD1072" t="s">
        <v>41</v>
      </c>
      <c r="AE1072" t="s">
        <v>41</v>
      </c>
      <c r="AF1072" t="s">
        <v>41</v>
      </c>
      <c r="AK1072"/>
    </row>
    <row r="1073" spans="1:38" x14ac:dyDescent="0.25">
      <c r="A1073" t="s">
        <v>37</v>
      </c>
      <c r="B1073">
        <v>46008.025370370371</v>
      </c>
      <c r="C1073">
        <v>92016</v>
      </c>
      <c r="D1073" t="s">
        <v>745</v>
      </c>
      <c r="E1073">
        <v>4506290</v>
      </c>
      <c r="F1073">
        <v>2104881</v>
      </c>
      <c r="G1073" t="s">
        <v>600</v>
      </c>
      <c r="H1073" t="s">
        <v>1390</v>
      </c>
      <c r="I1073">
        <v>5</v>
      </c>
      <c r="J1073" t="b">
        <v>1</v>
      </c>
      <c r="K1073">
        <v>1.25</v>
      </c>
      <c r="L1073">
        <v>2106201</v>
      </c>
      <c r="M1073" t="s">
        <v>602</v>
      </c>
      <c r="N1073">
        <v>4</v>
      </c>
      <c r="O1073">
        <v>4</v>
      </c>
      <c r="P1073"/>
      <c r="Q1073">
        <v>134905</v>
      </c>
      <c r="R1073">
        <v>1</v>
      </c>
      <c r="S1073" t="s">
        <v>40</v>
      </c>
      <c r="T1073">
        <v>261</v>
      </c>
      <c r="U1073">
        <v>147664</v>
      </c>
      <c r="V1073">
        <v>24</v>
      </c>
      <c r="W1073" t="s">
        <v>40</v>
      </c>
      <c r="X1073">
        <v>261</v>
      </c>
      <c r="Y1073" t="s">
        <v>377</v>
      </c>
      <c r="Z1073" t="s">
        <v>378</v>
      </c>
      <c r="AA1073" t="s">
        <v>379</v>
      </c>
      <c r="AB1073" t="s">
        <v>384</v>
      </c>
      <c r="AC1073" t="s">
        <v>41</v>
      </c>
      <c r="AD1073" t="s">
        <v>41</v>
      </c>
      <c r="AE1073" t="s">
        <v>41</v>
      </c>
      <c r="AF1073" t="s">
        <v>41</v>
      </c>
      <c r="AK1073"/>
    </row>
    <row r="1074" spans="1:38" x14ac:dyDescent="0.25">
      <c r="A1074" t="s">
        <v>37</v>
      </c>
      <c r="B1074">
        <v>46008.026030092595</v>
      </c>
      <c r="C1074">
        <v>92016</v>
      </c>
      <c r="D1074" t="s">
        <v>745</v>
      </c>
      <c r="E1074">
        <v>4506291</v>
      </c>
      <c r="F1074">
        <v>2104881</v>
      </c>
      <c r="H1074" t="s">
        <v>1390</v>
      </c>
      <c r="I1074">
        <v>5</v>
      </c>
      <c r="J1074" t="b">
        <v>0</v>
      </c>
      <c r="K1074">
        <v>1</v>
      </c>
      <c r="L1074">
        <v>2106201</v>
      </c>
      <c r="M1074" t="s">
        <v>602</v>
      </c>
      <c r="N1074">
        <v>5</v>
      </c>
      <c r="O1074">
        <v>5</v>
      </c>
      <c r="P1074"/>
      <c r="Q1074">
        <v>134905</v>
      </c>
      <c r="R1074">
        <v>1</v>
      </c>
      <c r="S1074" t="s">
        <v>40</v>
      </c>
      <c r="T1074">
        <v>261</v>
      </c>
      <c r="U1074">
        <v>147664</v>
      </c>
      <c r="V1074">
        <v>24</v>
      </c>
      <c r="W1074" t="s">
        <v>40</v>
      </c>
      <c r="X1074">
        <v>261</v>
      </c>
      <c r="Y1074" t="s">
        <v>377</v>
      </c>
      <c r="Z1074" t="s">
        <v>378</v>
      </c>
      <c r="AA1074" t="s">
        <v>379</v>
      </c>
      <c r="AB1074" t="s">
        <v>559</v>
      </c>
      <c r="AC1074" t="s">
        <v>41</v>
      </c>
      <c r="AD1074" t="s">
        <v>41</v>
      </c>
      <c r="AE1074" t="s">
        <v>41</v>
      </c>
      <c r="AF1074" t="s">
        <v>41</v>
      </c>
      <c r="AK1074"/>
    </row>
    <row r="1075" spans="1:38" x14ac:dyDescent="0.25">
      <c r="A1075" t="s">
        <v>37</v>
      </c>
      <c r="B1075">
        <v>46008.308506944442</v>
      </c>
      <c r="C1075">
        <v>92016</v>
      </c>
      <c r="D1075" t="s">
        <v>646</v>
      </c>
      <c r="E1075">
        <v>4506291</v>
      </c>
      <c r="F1075">
        <v>2104881</v>
      </c>
      <c r="G1075" t="s">
        <v>600</v>
      </c>
      <c r="H1075" t="s">
        <v>1390</v>
      </c>
      <c r="I1075">
        <v>5</v>
      </c>
      <c r="J1075" t="b">
        <v>1</v>
      </c>
      <c r="K1075">
        <v>1</v>
      </c>
      <c r="L1075">
        <v>2106201</v>
      </c>
      <c r="M1075" t="s">
        <v>602</v>
      </c>
      <c r="N1075">
        <v>5</v>
      </c>
      <c r="O1075">
        <v>5</v>
      </c>
      <c r="P1075"/>
      <c r="Q1075">
        <v>134905</v>
      </c>
      <c r="R1075">
        <v>1</v>
      </c>
      <c r="S1075" t="s">
        <v>40</v>
      </c>
      <c r="T1075">
        <v>261</v>
      </c>
      <c r="U1075">
        <v>147664</v>
      </c>
      <c r="V1075">
        <v>24</v>
      </c>
      <c r="W1075" t="s">
        <v>40</v>
      </c>
      <c r="X1075">
        <v>261</v>
      </c>
      <c r="Y1075" t="s">
        <v>377</v>
      </c>
      <c r="Z1075" t="s">
        <v>378</v>
      </c>
      <c r="AA1075" t="s">
        <v>379</v>
      </c>
      <c r="AB1075" t="s">
        <v>559</v>
      </c>
      <c r="AC1075" t="s">
        <v>41</v>
      </c>
      <c r="AD1075" t="s">
        <v>41</v>
      </c>
      <c r="AE1075" t="s">
        <v>41</v>
      </c>
      <c r="AF1075" t="s">
        <v>41</v>
      </c>
      <c r="AK1075"/>
    </row>
    <row r="1076" spans="1:38" x14ac:dyDescent="0.25">
      <c r="A1076" t="s">
        <v>43</v>
      </c>
      <c r="B1076">
        <v>46008.438518518517</v>
      </c>
      <c r="C1076">
        <v>89266</v>
      </c>
      <c r="D1076" t="s">
        <v>646</v>
      </c>
      <c r="E1076">
        <v>4505425</v>
      </c>
      <c r="F1076">
        <v>105454</v>
      </c>
      <c r="G1076" t="s">
        <v>783</v>
      </c>
      <c r="H1076" t="s">
        <v>1388</v>
      </c>
      <c r="I1076">
        <v>7.5</v>
      </c>
      <c r="J1076" t="b">
        <v>1</v>
      </c>
      <c r="K1076">
        <v>1.5</v>
      </c>
      <c r="L1076">
        <v>2106228</v>
      </c>
      <c r="M1076" t="s">
        <v>784</v>
      </c>
      <c r="N1076">
        <v>5</v>
      </c>
      <c r="O1076">
        <v>5</v>
      </c>
      <c r="P1076"/>
      <c r="Q1076">
        <v>134906</v>
      </c>
      <c r="R1076">
        <v>1</v>
      </c>
      <c r="S1076" t="s">
        <v>40</v>
      </c>
      <c r="T1076">
        <v>261</v>
      </c>
      <c r="U1076">
        <v>147664</v>
      </c>
      <c r="V1076">
        <v>24</v>
      </c>
      <c r="W1076" t="s">
        <v>40</v>
      </c>
      <c r="X1076">
        <v>261</v>
      </c>
      <c r="Y1076" t="s">
        <v>377</v>
      </c>
      <c r="Z1076" t="s">
        <v>378</v>
      </c>
      <c r="AA1076" t="s">
        <v>379</v>
      </c>
      <c r="AB1076" t="s">
        <v>559</v>
      </c>
      <c r="AC1076" t="s">
        <v>41</v>
      </c>
      <c r="AD1076" t="s">
        <v>41</v>
      </c>
      <c r="AE1076" t="s">
        <v>41</v>
      </c>
      <c r="AF1076" t="s">
        <v>41</v>
      </c>
      <c r="AK1076"/>
    </row>
    <row r="1077" spans="1:38" x14ac:dyDescent="0.25">
      <c r="A1077" t="s">
        <v>39</v>
      </c>
      <c r="B1077">
        <v>46008.523877314816</v>
      </c>
      <c r="C1077">
        <v>92095</v>
      </c>
      <c r="D1077" t="s">
        <v>646</v>
      </c>
      <c r="E1077">
        <v>4503324</v>
      </c>
      <c r="F1077">
        <v>160809</v>
      </c>
      <c r="G1077" t="s">
        <v>1373</v>
      </c>
      <c r="H1077" t="s">
        <v>1201</v>
      </c>
      <c r="I1077">
        <v>40</v>
      </c>
      <c r="J1077" t="b">
        <v>1</v>
      </c>
      <c r="K1077">
        <v>9.950248756218906E-2</v>
      </c>
      <c r="L1077">
        <v>160810</v>
      </c>
      <c r="M1077" t="s">
        <v>1374</v>
      </c>
      <c r="N1077">
        <v>402</v>
      </c>
      <c r="O1077">
        <v>404</v>
      </c>
      <c r="P1077"/>
      <c r="Q1077">
        <v>134976</v>
      </c>
      <c r="R1077">
        <v>1</v>
      </c>
      <c r="S1077" t="s">
        <v>40</v>
      </c>
      <c r="T1077">
        <v>261</v>
      </c>
      <c r="V1077">
        <v>0</v>
      </c>
      <c r="W1077"/>
      <c r="Y1077" t="s">
        <v>377</v>
      </c>
      <c r="Z1077" t="s">
        <v>378</v>
      </c>
      <c r="AA1077" t="s">
        <v>379</v>
      </c>
      <c r="AB1077" t="s">
        <v>1118</v>
      </c>
      <c r="AC1077" t="s">
        <v>379</v>
      </c>
      <c r="AD1077" t="s">
        <v>1158</v>
      </c>
      <c r="AE1077" t="s">
        <v>41</v>
      </c>
      <c r="AF1077" t="s">
        <v>41</v>
      </c>
      <c r="AI1077">
        <v>134978</v>
      </c>
      <c r="AJ1077">
        <v>1</v>
      </c>
      <c r="AK1077" t="s">
        <v>40</v>
      </c>
      <c r="AL1077">
        <v>261</v>
      </c>
    </row>
    <row r="1078" spans="1:38" x14ac:dyDescent="0.25">
      <c r="A1078" t="s">
        <v>44</v>
      </c>
      <c r="B1078">
        <v>46008.562245370369</v>
      </c>
      <c r="C1078">
        <v>91335</v>
      </c>
      <c r="D1078" t="s">
        <v>646</v>
      </c>
      <c r="E1078">
        <v>4501467</v>
      </c>
      <c r="F1078">
        <v>2304718</v>
      </c>
      <c r="G1078" t="s">
        <v>627</v>
      </c>
      <c r="H1078" t="s">
        <v>1391</v>
      </c>
      <c r="I1078">
        <v>14</v>
      </c>
      <c r="J1078" t="b">
        <v>1</v>
      </c>
      <c r="K1078">
        <v>1.75</v>
      </c>
      <c r="L1078">
        <v>2304719</v>
      </c>
      <c r="M1078" t="s">
        <v>628</v>
      </c>
      <c r="N1078">
        <v>8</v>
      </c>
      <c r="O1078">
        <v>8</v>
      </c>
      <c r="P1078"/>
      <c r="Q1078">
        <v>134906</v>
      </c>
      <c r="R1078">
        <v>1</v>
      </c>
      <c r="S1078" t="s">
        <v>40</v>
      </c>
      <c r="T1078">
        <v>261</v>
      </c>
      <c r="U1078">
        <v>147664</v>
      </c>
      <c r="V1078">
        <v>48</v>
      </c>
      <c r="W1078" t="s">
        <v>40</v>
      </c>
      <c r="X1078">
        <v>261</v>
      </c>
      <c r="Y1078" t="s">
        <v>377</v>
      </c>
      <c r="Z1078" t="s">
        <v>378</v>
      </c>
      <c r="AA1078" t="s">
        <v>384</v>
      </c>
      <c r="AB1078" t="s">
        <v>384</v>
      </c>
      <c r="AC1078" t="s">
        <v>41</v>
      </c>
      <c r="AD1078" t="s">
        <v>41</v>
      </c>
      <c r="AE1078" t="s">
        <v>41</v>
      </c>
      <c r="AF1078" t="s">
        <v>41</v>
      </c>
      <c r="AI1078">
        <v>134905</v>
      </c>
      <c r="AJ1078">
        <v>1</v>
      </c>
      <c r="AK1078" t="s">
        <v>40</v>
      </c>
      <c r="AL1078">
        <v>261</v>
      </c>
    </row>
    <row r="1079" spans="1:38" x14ac:dyDescent="0.25">
      <c r="A1079" t="s">
        <v>38</v>
      </c>
      <c r="B1079">
        <v>46008.784386574072</v>
      </c>
      <c r="C1079">
        <v>90763</v>
      </c>
      <c r="D1079" t="s">
        <v>531</v>
      </c>
      <c r="E1079">
        <v>4506150</v>
      </c>
      <c r="F1079">
        <v>2304174</v>
      </c>
      <c r="G1079" t="s">
        <v>1235</v>
      </c>
      <c r="H1079" t="s">
        <v>1388</v>
      </c>
      <c r="I1079">
        <v>3.25</v>
      </c>
      <c r="J1079" t="b">
        <v>1</v>
      </c>
      <c r="K1079">
        <v>0.8125</v>
      </c>
      <c r="L1079">
        <v>2304175</v>
      </c>
      <c r="M1079" t="s">
        <v>1236</v>
      </c>
      <c r="N1079">
        <v>4</v>
      </c>
      <c r="O1079">
        <v>4</v>
      </c>
      <c r="P1079"/>
      <c r="Q1079">
        <v>134906</v>
      </c>
      <c r="R1079">
        <v>1</v>
      </c>
      <c r="S1079" t="s">
        <v>40</v>
      </c>
      <c r="T1079">
        <v>261</v>
      </c>
      <c r="U1079">
        <v>147664</v>
      </c>
      <c r="V1079">
        <v>24</v>
      </c>
      <c r="W1079" t="s">
        <v>40</v>
      </c>
      <c r="X1079">
        <v>261</v>
      </c>
      <c r="Y1079" t="s">
        <v>377</v>
      </c>
      <c r="Z1079" t="s">
        <v>378</v>
      </c>
      <c r="AA1079" t="s">
        <v>379</v>
      </c>
      <c r="AB1079" t="s">
        <v>384</v>
      </c>
      <c r="AC1079" t="s">
        <v>41</v>
      </c>
      <c r="AD1079" t="s">
        <v>41</v>
      </c>
      <c r="AE1079" t="s">
        <v>41</v>
      </c>
      <c r="AF1079" t="s">
        <v>41</v>
      </c>
      <c r="AK1079"/>
    </row>
    <row r="1080" spans="1:38" x14ac:dyDescent="0.25">
      <c r="A1080" t="s">
        <v>38</v>
      </c>
      <c r="B1080">
        <v>46008.785462962966</v>
      </c>
      <c r="C1080">
        <v>90763</v>
      </c>
      <c r="D1080" t="s">
        <v>531</v>
      </c>
      <c r="E1080">
        <v>4506151</v>
      </c>
      <c r="F1080">
        <v>2304174</v>
      </c>
      <c r="G1080" t="s">
        <v>1235</v>
      </c>
      <c r="H1080" t="s">
        <v>1388</v>
      </c>
      <c r="I1080">
        <v>3.25</v>
      </c>
      <c r="J1080" t="b">
        <v>1</v>
      </c>
      <c r="K1080">
        <v>0.27083333333333331</v>
      </c>
      <c r="L1080">
        <v>2304175</v>
      </c>
      <c r="M1080" t="s">
        <v>1236</v>
      </c>
      <c r="N1080">
        <v>12</v>
      </c>
      <c r="O1080">
        <v>12</v>
      </c>
      <c r="P1080"/>
      <c r="Q1080">
        <v>134906</v>
      </c>
      <c r="R1080">
        <v>1</v>
      </c>
      <c r="S1080" t="s">
        <v>40</v>
      </c>
      <c r="T1080">
        <v>261</v>
      </c>
      <c r="U1080">
        <v>147664</v>
      </c>
      <c r="V1080">
        <v>24</v>
      </c>
      <c r="W1080" t="s">
        <v>40</v>
      </c>
      <c r="X1080">
        <v>261</v>
      </c>
      <c r="Y1080" t="s">
        <v>377</v>
      </c>
      <c r="Z1080" t="s">
        <v>378</v>
      </c>
      <c r="AA1080" t="s">
        <v>379</v>
      </c>
      <c r="AB1080" t="s">
        <v>409</v>
      </c>
      <c r="AC1080" t="s">
        <v>41</v>
      </c>
      <c r="AD1080" t="s">
        <v>41</v>
      </c>
      <c r="AE1080" t="s">
        <v>41</v>
      </c>
      <c r="AF1080" t="s">
        <v>41</v>
      </c>
      <c r="AK1080"/>
    </row>
    <row r="1081" spans="1:38" x14ac:dyDescent="0.25">
      <c r="A1081" t="s">
        <v>43</v>
      </c>
      <c r="B1081">
        <v>46009.163402777776</v>
      </c>
      <c r="C1081">
        <v>92098</v>
      </c>
      <c r="D1081" t="s">
        <v>531</v>
      </c>
      <c r="E1081">
        <v>4504192</v>
      </c>
      <c r="F1081">
        <v>2307881</v>
      </c>
      <c r="G1081" t="s">
        <v>1392</v>
      </c>
      <c r="H1081" t="s">
        <v>1128</v>
      </c>
      <c r="I1081">
        <v>1.5</v>
      </c>
      <c r="J1081" t="b">
        <v>1</v>
      </c>
      <c r="K1081">
        <v>1.2605042016806723E-2</v>
      </c>
      <c r="L1081">
        <v>2307882</v>
      </c>
      <c r="M1081" t="s">
        <v>1393</v>
      </c>
      <c r="N1081">
        <v>119</v>
      </c>
      <c r="O1081">
        <v>127</v>
      </c>
      <c r="P1081"/>
      <c r="Q1081">
        <v>134974</v>
      </c>
      <c r="R1081">
        <v>1</v>
      </c>
      <c r="S1081" t="s">
        <v>40</v>
      </c>
      <c r="T1081">
        <v>261</v>
      </c>
      <c r="W1081"/>
      <c r="Y1081" t="s">
        <v>377</v>
      </c>
      <c r="Z1081" t="s">
        <v>378</v>
      </c>
      <c r="AA1081" t="s">
        <v>379</v>
      </c>
      <c r="AB1081" t="s">
        <v>585</v>
      </c>
      <c r="AC1081" t="s">
        <v>41</v>
      </c>
      <c r="AD1081" t="s">
        <v>41</v>
      </c>
      <c r="AE1081" t="s">
        <v>41</v>
      </c>
      <c r="AF1081" t="s">
        <v>41</v>
      </c>
      <c r="AK1081"/>
    </row>
    <row r="1082" spans="1:38" x14ac:dyDescent="0.25">
      <c r="A1082" t="s">
        <v>45</v>
      </c>
      <c r="B1082">
        <v>46009.657372685186</v>
      </c>
      <c r="C1082">
        <v>92601</v>
      </c>
      <c r="D1082" t="s">
        <v>646</v>
      </c>
      <c r="E1082">
        <v>4504019</v>
      </c>
      <c r="F1082">
        <v>144021</v>
      </c>
      <c r="G1082" t="s">
        <v>1394</v>
      </c>
      <c r="H1082" t="s">
        <v>1339</v>
      </c>
      <c r="I1082">
        <v>64.3</v>
      </c>
      <c r="J1082" t="b">
        <v>1</v>
      </c>
      <c r="K1082">
        <v>0.74767441860465111</v>
      </c>
      <c r="L1082">
        <v>144022</v>
      </c>
      <c r="M1082" t="s">
        <v>1395</v>
      </c>
      <c r="N1082">
        <v>86</v>
      </c>
      <c r="O1082">
        <v>85</v>
      </c>
      <c r="P1082"/>
      <c r="Q1082">
        <v>134908</v>
      </c>
      <c r="R1082">
        <v>1</v>
      </c>
      <c r="S1082" t="s">
        <v>40</v>
      </c>
      <c r="T1082">
        <v>261</v>
      </c>
      <c r="U1082">
        <v>147664</v>
      </c>
      <c r="V1082">
        <v>24</v>
      </c>
      <c r="W1082" t="s">
        <v>40</v>
      </c>
      <c r="X1082">
        <v>261</v>
      </c>
      <c r="Y1082" t="s">
        <v>377</v>
      </c>
      <c r="Z1082" t="s">
        <v>378</v>
      </c>
      <c r="AA1082" t="s">
        <v>379</v>
      </c>
      <c r="AB1082" t="s">
        <v>845</v>
      </c>
      <c r="AC1082" t="s">
        <v>41</v>
      </c>
      <c r="AD1082" t="s">
        <v>41</v>
      </c>
      <c r="AE1082" t="s">
        <v>41</v>
      </c>
      <c r="AF1082" t="s">
        <v>41</v>
      </c>
      <c r="AK1082"/>
    </row>
    <row r="1083" spans="1:38" x14ac:dyDescent="0.25">
      <c r="A1083" t="s">
        <v>43</v>
      </c>
      <c r="B1083">
        <v>46009.6715625</v>
      </c>
      <c r="C1083">
        <v>90764</v>
      </c>
      <c r="D1083" t="s">
        <v>646</v>
      </c>
      <c r="E1083">
        <v>4506153</v>
      </c>
      <c r="F1083">
        <v>2304174</v>
      </c>
      <c r="G1083" t="s">
        <v>1235</v>
      </c>
      <c r="H1083" t="s">
        <v>1396</v>
      </c>
      <c r="I1083">
        <v>3.75</v>
      </c>
      <c r="J1083" t="b">
        <v>1</v>
      </c>
      <c r="K1083">
        <v>0.3125</v>
      </c>
      <c r="L1083">
        <v>2304175</v>
      </c>
      <c r="M1083" t="s">
        <v>1236</v>
      </c>
      <c r="N1083">
        <v>12</v>
      </c>
      <c r="O1083">
        <v>12</v>
      </c>
      <c r="P1083"/>
      <c r="Q1083">
        <v>134906</v>
      </c>
      <c r="R1083">
        <v>1</v>
      </c>
      <c r="S1083" t="s">
        <v>40</v>
      </c>
      <c r="T1083">
        <v>261</v>
      </c>
      <c r="U1083">
        <v>147664</v>
      </c>
      <c r="V1083">
        <v>24</v>
      </c>
      <c r="W1083" t="s">
        <v>40</v>
      </c>
      <c r="X1083">
        <v>261</v>
      </c>
      <c r="Y1083" t="s">
        <v>377</v>
      </c>
      <c r="Z1083" t="s">
        <v>378</v>
      </c>
      <c r="AA1083" t="s">
        <v>379</v>
      </c>
      <c r="AB1083" t="s">
        <v>409</v>
      </c>
      <c r="AC1083" t="s">
        <v>41</v>
      </c>
      <c r="AD1083" t="s">
        <v>41</v>
      </c>
      <c r="AE1083" t="s">
        <v>41</v>
      </c>
      <c r="AF1083" t="s">
        <v>41</v>
      </c>
      <c r="AK1083"/>
    </row>
    <row r="1084" spans="1:38" x14ac:dyDescent="0.25">
      <c r="A1084" t="s">
        <v>43</v>
      </c>
      <c r="B1084">
        <v>46009.672743055555</v>
      </c>
      <c r="C1084">
        <v>90764</v>
      </c>
      <c r="D1084" t="s">
        <v>646</v>
      </c>
      <c r="E1084">
        <v>4506152</v>
      </c>
      <c r="F1084">
        <v>2304174</v>
      </c>
      <c r="G1084" t="s">
        <v>1235</v>
      </c>
      <c r="H1084" t="s">
        <v>1396</v>
      </c>
      <c r="I1084">
        <v>3.75</v>
      </c>
      <c r="J1084" t="b">
        <v>1</v>
      </c>
      <c r="K1084">
        <v>0.9375</v>
      </c>
      <c r="L1084">
        <v>2304175</v>
      </c>
      <c r="M1084" t="s">
        <v>1236</v>
      </c>
      <c r="N1084">
        <v>4</v>
      </c>
      <c r="O1084">
        <v>4</v>
      </c>
      <c r="P1084"/>
      <c r="Q1084">
        <v>134906</v>
      </c>
      <c r="R1084">
        <v>1</v>
      </c>
      <c r="S1084" t="s">
        <v>40</v>
      </c>
      <c r="T1084">
        <v>261</v>
      </c>
      <c r="U1084">
        <v>147664</v>
      </c>
      <c r="V1084">
        <v>24</v>
      </c>
      <c r="W1084" t="s">
        <v>40</v>
      </c>
      <c r="X1084">
        <v>261</v>
      </c>
      <c r="Y1084" t="s">
        <v>377</v>
      </c>
      <c r="Z1084" t="s">
        <v>378</v>
      </c>
      <c r="AA1084" t="s">
        <v>379</v>
      </c>
      <c r="AB1084" t="s">
        <v>384</v>
      </c>
      <c r="AC1084" t="s">
        <v>41</v>
      </c>
      <c r="AD1084" t="s">
        <v>41</v>
      </c>
      <c r="AE1084" t="s">
        <v>41</v>
      </c>
      <c r="AF1084" t="s">
        <v>41</v>
      </c>
      <c r="AK1084"/>
    </row>
    <row r="1085" spans="1:38" x14ac:dyDescent="0.25">
      <c r="A1085" t="s">
        <v>42</v>
      </c>
      <c r="B1085">
        <v>46009.859479166669</v>
      </c>
      <c r="C1085">
        <v>92096</v>
      </c>
      <c r="D1085" t="s">
        <v>494</v>
      </c>
      <c r="E1085">
        <v>4503325</v>
      </c>
      <c r="F1085">
        <v>160809</v>
      </c>
      <c r="G1085" t="s">
        <v>1373</v>
      </c>
      <c r="H1085" t="s">
        <v>1203</v>
      </c>
      <c r="I1085">
        <v>40</v>
      </c>
      <c r="J1085" t="b">
        <v>1</v>
      </c>
      <c r="K1085">
        <v>9.8280098280098274E-2</v>
      </c>
      <c r="L1085">
        <v>160810</v>
      </c>
      <c r="M1085" t="s">
        <v>1374</v>
      </c>
      <c r="N1085">
        <v>407</v>
      </c>
      <c r="O1085">
        <v>400</v>
      </c>
      <c r="P1085"/>
      <c r="Q1085">
        <v>134976</v>
      </c>
      <c r="R1085">
        <v>2</v>
      </c>
      <c r="S1085" t="s">
        <v>40</v>
      </c>
      <c r="T1085">
        <v>261</v>
      </c>
      <c r="W1085"/>
      <c r="Y1085" t="s">
        <v>377</v>
      </c>
      <c r="Z1085" t="s">
        <v>378</v>
      </c>
      <c r="AA1085" t="s">
        <v>379</v>
      </c>
      <c r="AB1085" t="s">
        <v>1397</v>
      </c>
      <c r="AC1085" t="s">
        <v>379</v>
      </c>
      <c r="AD1085" t="s">
        <v>839</v>
      </c>
      <c r="AE1085" t="s">
        <v>41</v>
      </c>
      <c r="AF1085" t="s">
        <v>41</v>
      </c>
      <c r="AK1085"/>
    </row>
    <row r="1086" spans="1:38" x14ac:dyDescent="0.25">
      <c r="A1086" t="s">
        <v>44</v>
      </c>
      <c r="B1086">
        <v>46010.009710648148</v>
      </c>
      <c r="C1086">
        <v>92017</v>
      </c>
      <c r="D1086" t="s">
        <v>1025</v>
      </c>
      <c r="E1086">
        <v>4495237</v>
      </c>
      <c r="F1086">
        <v>107142</v>
      </c>
      <c r="G1086" t="s">
        <v>741</v>
      </c>
      <c r="H1086" t="s">
        <v>1398</v>
      </c>
      <c r="I1086">
        <v>10</v>
      </c>
      <c r="J1086" t="b">
        <v>1</v>
      </c>
      <c r="K1086">
        <v>1.25</v>
      </c>
      <c r="L1086">
        <v>107143</v>
      </c>
      <c r="M1086" t="s">
        <v>743</v>
      </c>
      <c r="N1086">
        <v>8</v>
      </c>
      <c r="O1086">
        <v>8</v>
      </c>
      <c r="P1086"/>
      <c r="Q1086">
        <v>134906</v>
      </c>
      <c r="R1086">
        <v>2</v>
      </c>
      <c r="S1086" t="s">
        <v>40</v>
      </c>
      <c r="T1086">
        <v>261</v>
      </c>
      <c r="U1086">
        <v>147664</v>
      </c>
      <c r="V1086">
        <v>48</v>
      </c>
      <c r="W1086" t="s">
        <v>40</v>
      </c>
      <c r="X1086">
        <v>261</v>
      </c>
      <c r="Y1086" t="s">
        <v>377</v>
      </c>
      <c r="Z1086" t="s">
        <v>378</v>
      </c>
      <c r="AA1086" t="s">
        <v>384</v>
      </c>
      <c r="AB1086" t="s">
        <v>384</v>
      </c>
      <c r="AC1086" t="s">
        <v>41</v>
      </c>
      <c r="AD1086" t="s">
        <v>41</v>
      </c>
      <c r="AE1086" t="s">
        <v>41</v>
      </c>
      <c r="AF1086" t="s">
        <v>41</v>
      </c>
      <c r="AK1086"/>
    </row>
    <row r="1087" spans="1:38" x14ac:dyDescent="0.25">
      <c r="A1087" t="s">
        <v>37</v>
      </c>
      <c r="B1087">
        <v>46010.15084490741</v>
      </c>
      <c r="C1087">
        <v>92097</v>
      </c>
      <c r="D1087" t="s">
        <v>1025</v>
      </c>
      <c r="E1087">
        <v>4503326</v>
      </c>
      <c r="F1087">
        <v>160809</v>
      </c>
      <c r="G1087" t="s">
        <v>1373</v>
      </c>
      <c r="H1087" t="s">
        <v>1249</v>
      </c>
      <c r="I1087">
        <v>40</v>
      </c>
      <c r="J1087" t="b">
        <v>1</v>
      </c>
      <c r="K1087">
        <v>0.18433179723502305</v>
      </c>
      <c r="L1087">
        <v>160810</v>
      </c>
      <c r="M1087" t="s">
        <v>1374</v>
      </c>
      <c r="N1087">
        <v>217</v>
      </c>
      <c r="O1087">
        <v>217</v>
      </c>
      <c r="P1087"/>
      <c r="Q1087">
        <v>134978</v>
      </c>
      <c r="R1087">
        <v>1</v>
      </c>
      <c r="S1087" t="s">
        <v>40</v>
      </c>
      <c r="T1087">
        <v>261</v>
      </c>
      <c r="W1087"/>
      <c r="Y1087" t="s">
        <v>377</v>
      </c>
      <c r="Z1087" t="s">
        <v>378</v>
      </c>
      <c r="AA1087" t="s">
        <v>379</v>
      </c>
      <c r="AB1087" t="s">
        <v>1399</v>
      </c>
      <c r="AC1087" t="s">
        <v>41</v>
      </c>
      <c r="AD1087" t="s">
        <v>41</v>
      </c>
      <c r="AE1087" t="s">
        <v>41</v>
      </c>
      <c r="AF1087" t="s">
        <v>41</v>
      </c>
      <c r="AK1087"/>
    </row>
    <row r="1088" spans="1:38" x14ac:dyDescent="0.25">
      <c r="A1088" t="s">
        <v>38</v>
      </c>
      <c r="B1088">
        <v>46010.312349537038</v>
      </c>
      <c r="C1088">
        <v>90765</v>
      </c>
      <c r="D1088" t="s">
        <v>459</v>
      </c>
      <c r="E1088">
        <v>4506155</v>
      </c>
      <c r="F1088">
        <v>2304174</v>
      </c>
      <c r="G1088" t="s">
        <v>1235</v>
      </c>
      <c r="H1088" t="s">
        <v>1400</v>
      </c>
      <c r="I1088">
        <v>7.5</v>
      </c>
      <c r="J1088" t="b">
        <v>1</v>
      </c>
      <c r="K1088">
        <v>0.625</v>
      </c>
      <c r="L1088">
        <v>2304175</v>
      </c>
      <c r="M1088" t="s">
        <v>1236</v>
      </c>
      <c r="N1088">
        <v>12</v>
      </c>
      <c r="O1088">
        <v>16</v>
      </c>
      <c r="P1088"/>
      <c r="Q1088">
        <v>134906</v>
      </c>
      <c r="R1088">
        <v>1</v>
      </c>
      <c r="S1088" t="s">
        <v>40</v>
      </c>
      <c r="T1088">
        <v>261</v>
      </c>
      <c r="U1088">
        <v>147664</v>
      </c>
      <c r="V1088">
        <v>24</v>
      </c>
      <c r="W1088" t="s">
        <v>40</v>
      </c>
      <c r="X1088">
        <v>261</v>
      </c>
      <c r="Y1088" t="s">
        <v>377</v>
      </c>
      <c r="Z1088" t="s">
        <v>378</v>
      </c>
      <c r="AA1088" t="s">
        <v>379</v>
      </c>
      <c r="AB1088" t="s">
        <v>409</v>
      </c>
      <c r="AC1088" t="s">
        <v>41</v>
      </c>
      <c r="AD1088" t="s">
        <v>41</v>
      </c>
      <c r="AE1088" t="s">
        <v>41</v>
      </c>
      <c r="AF1088" t="s">
        <v>41</v>
      </c>
      <c r="AK1088"/>
    </row>
    <row r="1089" spans="1:38" x14ac:dyDescent="0.25">
      <c r="A1089" t="s">
        <v>38</v>
      </c>
      <c r="B1089">
        <v>46010.314050925925</v>
      </c>
      <c r="C1089">
        <v>90765</v>
      </c>
      <c r="D1089" t="s">
        <v>459</v>
      </c>
      <c r="E1089">
        <v>4506154</v>
      </c>
      <c r="F1089">
        <v>2304174</v>
      </c>
      <c r="G1089" t="s">
        <v>1235</v>
      </c>
      <c r="H1089" t="s">
        <v>1400</v>
      </c>
      <c r="I1089">
        <v>7.5</v>
      </c>
      <c r="J1089" t="b">
        <v>1</v>
      </c>
      <c r="K1089">
        <v>1.875</v>
      </c>
      <c r="L1089">
        <v>2304175</v>
      </c>
      <c r="M1089" t="s">
        <v>1236</v>
      </c>
      <c r="N1089">
        <v>4</v>
      </c>
      <c r="O1089">
        <v>4</v>
      </c>
      <c r="P1089"/>
      <c r="Q1089">
        <v>134906</v>
      </c>
      <c r="R1089">
        <v>1</v>
      </c>
      <c r="S1089" t="s">
        <v>40</v>
      </c>
      <c r="T1089">
        <v>261</v>
      </c>
      <c r="U1089">
        <v>147664</v>
      </c>
      <c r="V1089">
        <v>24</v>
      </c>
      <c r="W1089" t="s">
        <v>40</v>
      </c>
      <c r="X1089">
        <v>261</v>
      </c>
      <c r="Y1089" t="s">
        <v>377</v>
      </c>
      <c r="Z1089" t="s">
        <v>378</v>
      </c>
      <c r="AA1089" t="s">
        <v>379</v>
      </c>
      <c r="AB1089" t="s">
        <v>384</v>
      </c>
      <c r="AC1089" t="s">
        <v>41</v>
      </c>
      <c r="AD1089" t="s">
        <v>41</v>
      </c>
      <c r="AE1089" t="s">
        <v>41</v>
      </c>
      <c r="AF1089" t="s">
        <v>41</v>
      </c>
      <c r="AK1089"/>
    </row>
    <row r="1090" spans="1:38" x14ac:dyDescent="0.25">
      <c r="A1090" t="s">
        <v>38</v>
      </c>
      <c r="B1090">
        <v>46010.440358796295</v>
      </c>
      <c r="C1090">
        <v>90765</v>
      </c>
      <c r="D1090" t="s">
        <v>457</v>
      </c>
      <c r="E1090">
        <v>4506155</v>
      </c>
      <c r="F1090">
        <v>2304174</v>
      </c>
      <c r="G1090" t="s">
        <v>1235</v>
      </c>
      <c r="H1090" t="s">
        <v>1400</v>
      </c>
      <c r="I1090">
        <v>5.5</v>
      </c>
      <c r="J1090" t="b">
        <v>1</v>
      </c>
      <c r="K1090">
        <v>0.45833333333333331</v>
      </c>
      <c r="L1090">
        <v>2304175</v>
      </c>
      <c r="M1090" t="s">
        <v>1236</v>
      </c>
      <c r="N1090">
        <v>12</v>
      </c>
      <c r="O1090">
        <v>12</v>
      </c>
      <c r="P1090"/>
      <c r="Q1090">
        <v>134971</v>
      </c>
      <c r="R1090">
        <v>1</v>
      </c>
      <c r="S1090" t="s">
        <v>40</v>
      </c>
      <c r="T1090">
        <v>261</v>
      </c>
      <c r="U1090">
        <v>147664</v>
      </c>
      <c r="V1090">
        <v>24</v>
      </c>
      <c r="W1090" t="s">
        <v>40</v>
      </c>
      <c r="X1090">
        <v>261</v>
      </c>
      <c r="Y1090" t="s">
        <v>377</v>
      </c>
      <c r="Z1090" t="s">
        <v>378</v>
      </c>
      <c r="AA1090" t="s">
        <v>379</v>
      </c>
      <c r="AB1090" t="s">
        <v>409</v>
      </c>
      <c r="AC1090" t="s">
        <v>41</v>
      </c>
      <c r="AD1090" t="s">
        <v>41</v>
      </c>
      <c r="AE1090" t="s">
        <v>41</v>
      </c>
      <c r="AF1090" t="s">
        <v>41</v>
      </c>
      <c r="AK1090"/>
    </row>
    <row r="1091" spans="1:38" x14ac:dyDescent="0.25">
      <c r="A1091" t="s">
        <v>38</v>
      </c>
      <c r="B1091">
        <v>46010.441296296296</v>
      </c>
      <c r="C1091">
        <v>90765</v>
      </c>
      <c r="D1091" t="s">
        <v>457</v>
      </c>
      <c r="E1091">
        <v>4506154</v>
      </c>
      <c r="F1091">
        <v>2304174</v>
      </c>
      <c r="G1091" t="s">
        <v>1235</v>
      </c>
      <c r="H1091" t="s">
        <v>1400</v>
      </c>
      <c r="I1091">
        <v>2</v>
      </c>
      <c r="J1091" t="b">
        <v>1</v>
      </c>
      <c r="K1091">
        <v>0.5</v>
      </c>
      <c r="L1091">
        <v>2304175</v>
      </c>
      <c r="M1091" t="s">
        <v>1236</v>
      </c>
      <c r="N1091">
        <v>4</v>
      </c>
      <c r="O1091">
        <v>4</v>
      </c>
      <c r="P1091"/>
      <c r="Q1091">
        <v>134971</v>
      </c>
      <c r="R1091">
        <v>1</v>
      </c>
      <c r="S1091" t="s">
        <v>40</v>
      </c>
      <c r="T1091">
        <v>261</v>
      </c>
      <c r="U1091">
        <v>147664</v>
      </c>
      <c r="V1091">
        <v>24</v>
      </c>
      <c r="W1091" t="s">
        <v>40</v>
      </c>
      <c r="X1091">
        <v>261</v>
      </c>
      <c r="Y1091" t="s">
        <v>377</v>
      </c>
      <c r="Z1091" t="s">
        <v>378</v>
      </c>
      <c r="AA1091" t="s">
        <v>379</v>
      </c>
      <c r="AB1091" t="s">
        <v>384</v>
      </c>
      <c r="AC1091" t="s">
        <v>41</v>
      </c>
      <c r="AD1091" t="s">
        <v>41</v>
      </c>
      <c r="AE1091" t="s">
        <v>41</v>
      </c>
      <c r="AF1091" t="s">
        <v>41</v>
      </c>
      <c r="AK1091"/>
    </row>
    <row r="1092" spans="1:38" x14ac:dyDescent="0.25">
      <c r="A1092" t="s">
        <v>37</v>
      </c>
      <c r="B1092">
        <v>46010.96130787037</v>
      </c>
      <c r="C1092">
        <v>90766</v>
      </c>
      <c r="D1092" t="s">
        <v>843</v>
      </c>
      <c r="E1092">
        <v>4506157</v>
      </c>
      <c r="F1092">
        <v>2304174</v>
      </c>
      <c r="G1092" t="s">
        <v>1235</v>
      </c>
      <c r="H1092" t="s">
        <v>1401</v>
      </c>
      <c r="I1092">
        <v>5.625</v>
      </c>
      <c r="J1092" t="b">
        <v>1</v>
      </c>
      <c r="K1092">
        <v>0.46875</v>
      </c>
      <c r="L1092">
        <v>2304175</v>
      </c>
      <c r="M1092" t="s">
        <v>1236</v>
      </c>
      <c r="N1092">
        <v>12</v>
      </c>
      <c r="O1092">
        <v>16</v>
      </c>
      <c r="P1092"/>
      <c r="Q1092">
        <v>134906</v>
      </c>
      <c r="R1092">
        <v>1</v>
      </c>
      <c r="S1092" t="s">
        <v>40</v>
      </c>
      <c r="T1092">
        <v>261</v>
      </c>
      <c r="U1092">
        <v>147664</v>
      </c>
      <c r="V1092">
        <v>24</v>
      </c>
      <c r="W1092" t="s">
        <v>40</v>
      </c>
      <c r="X1092">
        <v>261</v>
      </c>
      <c r="Y1092" t="s">
        <v>377</v>
      </c>
      <c r="Z1092" t="s">
        <v>378</v>
      </c>
      <c r="AA1092" t="s">
        <v>379</v>
      </c>
      <c r="AB1092" t="s">
        <v>409</v>
      </c>
      <c r="AC1092" t="s">
        <v>41</v>
      </c>
      <c r="AD1092" t="s">
        <v>41</v>
      </c>
      <c r="AE1092" t="s">
        <v>41</v>
      </c>
      <c r="AF1092" t="s">
        <v>41</v>
      </c>
      <c r="AK1092"/>
    </row>
    <row r="1093" spans="1:38" x14ac:dyDescent="0.25">
      <c r="A1093" t="s">
        <v>37</v>
      </c>
      <c r="B1093">
        <v>46010.96230324074</v>
      </c>
      <c r="C1093">
        <v>90766</v>
      </c>
      <c r="D1093" t="s">
        <v>843</v>
      </c>
      <c r="E1093">
        <v>4506156</v>
      </c>
      <c r="F1093">
        <v>2304174</v>
      </c>
      <c r="G1093" t="s">
        <v>1235</v>
      </c>
      <c r="H1093" t="s">
        <v>1401</v>
      </c>
      <c r="I1093">
        <v>1.875</v>
      </c>
      <c r="J1093" t="b">
        <v>1</v>
      </c>
      <c r="K1093">
        <v>0.46875</v>
      </c>
      <c r="L1093">
        <v>2304175</v>
      </c>
      <c r="M1093" t="s">
        <v>1236</v>
      </c>
      <c r="N1093">
        <v>4</v>
      </c>
      <c r="O1093">
        <v>4</v>
      </c>
      <c r="P1093"/>
      <c r="Q1093">
        <v>134906</v>
      </c>
      <c r="R1093">
        <v>1</v>
      </c>
      <c r="S1093" t="s">
        <v>40</v>
      </c>
      <c r="T1093">
        <v>261</v>
      </c>
      <c r="U1093">
        <v>147664</v>
      </c>
      <c r="V1093">
        <v>24</v>
      </c>
      <c r="W1093" t="s">
        <v>40</v>
      </c>
      <c r="X1093">
        <v>261</v>
      </c>
      <c r="Y1093" t="s">
        <v>377</v>
      </c>
      <c r="Z1093" t="s">
        <v>378</v>
      </c>
      <c r="AA1093" t="s">
        <v>379</v>
      </c>
      <c r="AB1093" t="s">
        <v>384</v>
      </c>
      <c r="AC1093" t="s">
        <v>41</v>
      </c>
      <c r="AD1093" t="s">
        <v>41</v>
      </c>
      <c r="AE1093" t="s">
        <v>41</v>
      </c>
      <c r="AF1093" t="s">
        <v>41</v>
      </c>
      <c r="AK1093"/>
    </row>
    <row r="1094" spans="1:38" x14ac:dyDescent="0.25">
      <c r="A1094" t="s">
        <v>44</v>
      </c>
      <c r="B1094">
        <v>46011.025405092594</v>
      </c>
      <c r="C1094">
        <v>92018</v>
      </c>
      <c r="D1094" t="s">
        <v>843</v>
      </c>
      <c r="E1094">
        <v>4495238</v>
      </c>
      <c r="F1094">
        <v>107142</v>
      </c>
      <c r="G1094" t="s">
        <v>741</v>
      </c>
      <c r="H1094" t="s">
        <v>1402</v>
      </c>
      <c r="I1094">
        <v>10</v>
      </c>
      <c r="J1094" t="b">
        <v>1</v>
      </c>
      <c r="K1094">
        <v>1.25</v>
      </c>
      <c r="L1094">
        <v>107143</v>
      </c>
      <c r="M1094" t="s">
        <v>743</v>
      </c>
      <c r="N1094">
        <v>8</v>
      </c>
      <c r="O1094">
        <v>8</v>
      </c>
      <c r="P1094"/>
      <c r="Q1094">
        <v>134906</v>
      </c>
      <c r="R1094">
        <v>2</v>
      </c>
      <c r="S1094" t="s">
        <v>40</v>
      </c>
      <c r="T1094">
        <v>261</v>
      </c>
      <c r="U1094">
        <v>147664</v>
      </c>
      <c r="V1094">
        <v>48</v>
      </c>
      <c r="W1094" t="s">
        <v>40</v>
      </c>
      <c r="X1094">
        <v>261</v>
      </c>
      <c r="Y1094" t="s">
        <v>377</v>
      </c>
      <c r="Z1094" t="s">
        <v>378</v>
      </c>
      <c r="AA1094" t="s">
        <v>384</v>
      </c>
      <c r="AB1094" t="s">
        <v>384</v>
      </c>
      <c r="AC1094" t="s">
        <v>41</v>
      </c>
      <c r="AD1094" t="s">
        <v>41</v>
      </c>
      <c r="AE1094" t="s">
        <v>41</v>
      </c>
      <c r="AF1094" t="s">
        <v>41</v>
      </c>
      <c r="AK1094"/>
    </row>
    <row r="1095" spans="1:38" x14ac:dyDescent="0.25">
      <c r="A1095" t="s">
        <v>38</v>
      </c>
      <c r="B1095">
        <v>46011.224560185183</v>
      </c>
      <c r="C1095">
        <v>91339</v>
      </c>
      <c r="D1095" t="s">
        <v>843</v>
      </c>
      <c r="E1095">
        <v>4501490</v>
      </c>
      <c r="F1095">
        <v>2304758</v>
      </c>
      <c r="G1095" t="s">
        <v>402</v>
      </c>
      <c r="H1095" t="s">
        <v>1403</v>
      </c>
      <c r="I1095">
        <v>14</v>
      </c>
      <c r="J1095" t="b">
        <v>1</v>
      </c>
      <c r="K1095">
        <v>1.75</v>
      </c>
      <c r="L1095">
        <v>2304759</v>
      </c>
      <c r="M1095" t="s">
        <v>404</v>
      </c>
      <c r="N1095">
        <v>8</v>
      </c>
      <c r="O1095">
        <v>8</v>
      </c>
      <c r="P1095"/>
      <c r="Q1095">
        <v>155687</v>
      </c>
      <c r="R1095">
        <v>2</v>
      </c>
      <c r="S1095" t="s">
        <v>40</v>
      </c>
      <c r="T1095">
        <v>261</v>
      </c>
      <c r="U1095">
        <v>147664</v>
      </c>
      <c r="V1095">
        <v>48</v>
      </c>
      <c r="W1095" t="s">
        <v>40</v>
      </c>
      <c r="X1095">
        <v>261</v>
      </c>
      <c r="Y1095" t="s">
        <v>377</v>
      </c>
      <c r="Z1095" t="s">
        <v>378</v>
      </c>
      <c r="AA1095" t="s">
        <v>384</v>
      </c>
      <c r="AB1095" t="s">
        <v>384</v>
      </c>
      <c r="AC1095" t="s">
        <v>41</v>
      </c>
      <c r="AD1095" t="s">
        <v>41</v>
      </c>
      <c r="AE1095" t="s">
        <v>41</v>
      </c>
      <c r="AF1095" t="s">
        <v>41</v>
      </c>
      <c r="AK1095"/>
    </row>
    <row r="1096" spans="1:38" x14ac:dyDescent="0.25">
      <c r="A1096" t="s">
        <v>47</v>
      </c>
      <c r="B1096">
        <v>46011.306898148148</v>
      </c>
      <c r="C1096">
        <v>92605</v>
      </c>
      <c r="D1096" t="s">
        <v>560</v>
      </c>
      <c r="E1096">
        <v>4502356</v>
      </c>
      <c r="F1096">
        <v>2310544</v>
      </c>
      <c r="G1096" t="s">
        <v>1404</v>
      </c>
      <c r="H1096" t="s">
        <v>1311</v>
      </c>
      <c r="I1096">
        <v>81.3</v>
      </c>
      <c r="J1096" t="b">
        <v>1</v>
      </c>
      <c r="K1096">
        <v>0.54563758389261741</v>
      </c>
      <c r="L1096">
        <v>2310545</v>
      </c>
      <c r="M1096" t="s">
        <v>1405</v>
      </c>
      <c r="N1096">
        <v>149</v>
      </c>
      <c r="O1096">
        <v>140</v>
      </c>
      <c r="P1096"/>
      <c r="Q1096">
        <v>134974</v>
      </c>
      <c r="R1096">
        <v>1</v>
      </c>
      <c r="S1096" t="s">
        <v>40</v>
      </c>
      <c r="T1096">
        <v>261</v>
      </c>
      <c r="W1096"/>
      <c r="Y1096" t="s">
        <v>377</v>
      </c>
      <c r="Z1096" t="s">
        <v>378</v>
      </c>
      <c r="AA1096" t="s">
        <v>379</v>
      </c>
      <c r="AB1096" t="s">
        <v>1406</v>
      </c>
      <c r="AC1096" t="s">
        <v>41</v>
      </c>
      <c r="AD1096" t="s">
        <v>41</v>
      </c>
      <c r="AE1096" t="s">
        <v>41</v>
      </c>
      <c r="AF1096" t="s">
        <v>41</v>
      </c>
      <c r="AK1096"/>
    </row>
    <row r="1097" spans="1:38" x14ac:dyDescent="0.25">
      <c r="A1097" t="s">
        <v>39</v>
      </c>
      <c r="B1097">
        <v>46011.321145833332</v>
      </c>
      <c r="C1097">
        <v>92609</v>
      </c>
      <c r="D1097" t="s">
        <v>560</v>
      </c>
      <c r="E1097">
        <v>4491169</v>
      </c>
      <c r="F1097">
        <v>2104747</v>
      </c>
      <c r="G1097" t="s">
        <v>1281</v>
      </c>
      <c r="H1097" t="s">
        <v>1298</v>
      </c>
      <c r="I1097">
        <v>48</v>
      </c>
      <c r="J1097" t="b">
        <v>1</v>
      </c>
      <c r="K1097">
        <v>0.15737704918032788</v>
      </c>
      <c r="L1097">
        <v>2106071</v>
      </c>
      <c r="M1097" t="s">
        <v>1282</v>
      </c>
      <c r="N1097">
        <v>305</v>
      </c>
      <c r="O1097">
        <v>305</v>
      </c>
      <c r="P1097"/>
      <c r="Q1097">
        <v>134974</v>
      </c>
      <c r="R1097">
        <v>1</v>
      </c>
      <c r="S1097" t="s">
        <v>40</v>
      </c>
      <c r="T1097">
        <v>261</v>
      </c>
      <c r="W1097"/>
      <c r="Y1097" t="s">
        <v>377</v>
      </c>
      <c r="Z1097" t="s">
        <v>378</v>
      </c>
      <c r="AA1097" t="s">
        <v>379</v>
      </c>
      <c r="AB1097" t="s">
        <v>1407</v>
      </c>
      <c r="AC1097" t="s">
        <v>41</v>
      </c>
      <c r="AD1097" t="s">
        <v>41</v>
      </c>
      <c r="AE1097" t="s">
        <v>41</v>
      </c>
      <c r="AF1097" t="s">
        <v>41</v>
      </c>
      <c r="AK1097"/>
    </row>
    <row r="1098" spans="1:38" x14ac:dyDescent="0.25">
      <c r="A1098" t="s">
        <v>42</v>
      </c>
      <c r="B1098">
        <v>46011.498645833337</v>
      </c>
      <c r="C1098">
        <v>90768</v>
      </c>
      <c r="D1098" t="s">
        <v>560</v>
      </c>
      <c r="E1098">
        <v>4506158</v>
      </c>
      <c r="F1098">
        <v>2304174</v>
      </c>
      <c r="G1098" t="s">
        <v>1235</v>
      </c>
      <c r="H1098" t="s">
        <v>1380</v>
      </c>
      <c r="I1098">
        <v>1.875</v>
      </c>
      <c r="J1098" t="b">
        <v>1</v>
      </c>
      <c r="K1098">
        <v>0.46875</v>
      </c>
      <c r="L1098">
        <v>2304175</v>
      </c>
      <c r="M1098" t="s">
        <v>1236</v>
      </c>
      <c r="N1098">
        <v>4</v>
      </c>
      <c r="O1098">
        <v>4</v>
      </c>
      <c r="P1098"/>
      <c r="Q1098">
        <v>134906</v>
      </c>
      <c r="R1098">
        <v>1</v>
      </c>
      <c r="S1098" t="s">
        <v>40</v>
      </c>
      <c r="T1098">
        <v>261</v>
      </c>
      <c r="U1098">
        <v>147664</v>
      </c>
      <c r="V1098">
        <v>24</v>
      </c>
      <c r="W1098" t="s">
        <v>40</v>
      </c>
      <c r="X1098">
        <v>261</v>
      </c>
      <c r="Y1098" t="s">
        <v>377</v>
      </c>
      <c r="Z1098" t="s">
        <v>378</v>
      </c>
      <c r="AA1098" t="s">
        <v>379</v>
      </c>
      <c r="AB1098" t="s">
        <v>384</v>
      </c>
      <c r="AC1098" t="s">
        <v>41</v>
      </c>
      <c r="AD1098" t="s">
        <v>41</v>
      </c>
      <c r="AE1098" t="s">
        <v>41</v>
      </c>
      <c r="AF1098" t="s">
        <v>41</v>
      </c>
      <c r="AK1098"/>
    </row>
    <row r="1099" spans="1:38" x14ac:dyDescent="0.25">
      <c r="A1099" t="s">
        <v>42</v>
      </c>
      <c r="B1099">
        <v>46011.499664351853</v>
      </c>
      <c r="C1099">
        <v>90768</v>
      </c>
      <c r="D1099" t="s">
        <v>560</v>
      </c>
      <c r="E1099">
        <v>4506159</v>
      </c>
      <c r="F1099">
        <v>2304174</v>
      </c>
      <c r="G1099" t="s">
        <v>1235</v>
      </c>
      <c r="H1099" t="s">
        <v>1380</v>
      </c>
      <c r="I1099">
        <v>5.625</v>
      </c>
      <c r="J1099" t="b">
        <v>1</v>
      </c>
      <c r="K1099">
        <v>0.46875</v>
      </c>
      <c r="L1099">
        <v>2304175</v>
      </c>
      <c r="M1099" t="s">
        <v>1236</v>
      </c>
      <c r="N1099">
        <v>12</v>
      </c>
      <c r="O1099">
        <v>12</v>
      </c>
      <c r="P1099"/>
      <c r="Q1099">
        <v>134906</v>
      </c>
      <c r="R1099">
        <v>1</v>
      </c>
      <c r="S1099" t="s">
        <v>40</v>
      </c>
      <c r="T1099">
        <v>261</v>
      </c>
      <c r="U1099">
        <v>147664</v>
      </c>
      <c r="V1099">
        <v>24</v>
      </c>
      <c r="W1099" t="s">
        <v>40</v>
      </c>
      <c r="X1099">
        <v>261</v>
      </c>
      <c r="Y1099" t="s">
        <v>377</v>
      </c>
      <c r="Z1099" t="s">
        <v>378</v>
      </c>
      <c r="AA1099" t="s">
        <v>379</v>
      </c>
      <c r="AB1099" t="s">
        <v>409</v>
      </c>
      <c r="AC1099" t="s">
        <v>41</v>
      </c>
      <c r="AD1099" t="s">
        <v>41</v>
      </c>
      <c r="AE1099" t="s">
        <v>41</v>
      </c>
      <c r="AF1099" t="s">
        <v>41</v>
      </c>
      <c r="AK1099"/>
    </row>
    <row r="1100" spans="1:38" x14ac:dyDescent="0.25">
      <c r="A1100" t="s">
        <v>45</v>
      </c>
      <c r="B1100">
        <v>46011.615729166668</v>
      </c>
      <c r="C1100">
        <v>92099</v>
      </c>
      <c r="D1100" t="s">
        <v>560</v>
      </c>
      <c r="E1100">
        <v>4502894</v>
      </c>
      <c r="F1100">
        <v>2105418</v>
      </c>
      <c r="G1100" t="s">
        <v>1408</v>
      </c>
      <c r="H1100" t="s">
        <v>1128</v>
      </c>
      <c r="I1100">
        <v>40</v>
      </c>
      <c r="J1100" t="b">
        <v>1</v>
      </c>
      <c r="K1100">
        <v>0.18018018018018017</v>
      </c>
      <c r="L1100">
        <v>2106680</v>
      </c>
      <c r="M1100" t="s">
        <v>1409</v>
      </c>
      <c r="N1100">
        <v>222</v>
      </c>
      <c r="O1100">
        <v>212</v>
      </c>
      <c r="P1100"/>
      <c r="Q1100">
        <v>134974</v>
      </c>
      <c r="R1100">
        <v>1</v>
      </c>
      <c r="S1100" t="s">
        <v>40</v>
      </c>
      <c r="T1100">
        <v>261</v>
      </c>
      <c r="W1100"/>
      <c r="Y1100" t="s">
        <v>377</v>
      </c>
      <c r="Z1100" t="s">
        <v>378</v>
      </c>
      <c r="AA1100" t="s">
        <v>379</v>
      </c>
      <c r="AB1100" t="s">
        <v>632</v>
      </c>
      <c r="AC1100" t="s">
        <v>41</v>
      </c>
      <c r="AD1100" t="s">
        <v>41</v>
      </c>
      <c r="AE1100" t="s">
        <v>41</v>
      </c>
      <c r="AF1100" t="s">
        <v>41</v>
      </c>
      <c r="AK1100"/>
    </row>
    <row r="1101" spans="1:38" x14ac:dyDescent="0.25">
      <c r="A1101" t="s">
        <v>43</v>
      </c>
      <c r="B1101">
        <v>46011.974421296298</v>
      </c>
      <c r="C1101">
        <v>92021</v>
      </c>
      <c r="D1101" t="s">
        <v>682</v>
      </c>
      <c r="E1101">
        <v>4495239</v>
      </c>
      <c r="F1101">
        <v>107142</v>
      </c>
      <c r="G1101" t="s">
        <v>741</v>
      </c>
      <c r="H1101" t="s">
        <v>1410</v>
      </c>
      <c r="I1101">
        <v>10</v>
      </c>
      <c r="J1101" t="b">
        <v>1</v>
      </c>
      <c r="K1101">
        <v>1.25</v>
      </c>
      <c r="L1101">
        <v>107143</v>
      </c>
      <c r="M1101" t="s">
        <v>743</v>
      </c>
      <c r="N1101">
        <v>8</v>
      </c>
      <c r="O1101">
        <v>8</v>
      </c>
      <c r="P1101"/>
      <c r="Q1101">
        <v>143538</v>
      </c>
      <c r="R1101">
        <v>1</v>
      </c>
      <c r="S1101" t="s">
        <v>40</v>
      </c>
      <c r="T1101">
        <v>261</v>
      </c>
      <c r="U1101">
        <v>147664</v>
      </c>
      <c r="V1101">
        <v>48</v>
      </c>
      <c r="W1101" t="s">
        <v>40</v>
      </c>
      <c r="X1101">
        <v>261</v>
      </c>
      <c r="Y1101" t="s">
        <v>377</v>
      </c>
      <c r="Z1101" t="s">
        <v>378</v>
      </c>
      <c r="AA1101" t="s">
        <v>379</v>
      </c>
      <c r="AB1101" t="s">
        <v>384</v>
      </c>
      <c r="AC1101" t="s">
        <v>379</v>
      </c>
      <c r="AD1101" t="s">
        <v>384</v>
      </c>
      <c r="AE1101" t="s">
        <v>41</v>
      </c>
      <c r="AF1101" t="s">
        <v>41</v>
      </c>
      <c r="AI1101">
        <v>143538</v>
      </c>
      <c r="AJ1101">
        <v>1</v>
      </c>
      <c r="AK1101" t="s">
        <v>40</v>
      </c>
      <c r="AL1101">
        <v>261</v>
      </c>
    </row>
    <row r="1102" spans="1:38" x14ac:dyDescent="0.25">
      <c r="A1102" t="s">
        <v>39</v>
      </c>
      <c r="B1102">
        <v>46012.082673611112</v>
      </c>
      <c r="C1102">
        <v>90769</v>
      </c>
      <c r="D1102" t="s">
        <v>682</v>
      </c>
      <c r="E1102">
        <v>4506160</v>
      </c>
      <c r="F1102">
        <v>2304174</v>
      </c>
      <c r="G1102" t="s">
        <v>1235</v>
      </c>
      <c r="H1102" t="s">
        <v>1391</v>
      </c>
      <c r="I1102">
        <v>3.75</v>
      </c>
      <c r="J1102" t="b">
        <v>1</v>
      </c>
      <c r="K1102">
        <v>0.9375</v>
      </c>
      <c r="L1102">
        <v>2304175</v>
      </c>
      <c r="M1102" t="s">
        <v>1236</v>
      </c>
      <c r="N1102">
        <v>4</v>
      </c>
      <c r="O1102">
        <v>4</v>
      </c>
      <c r="P1102"/>
      <c r="Q1102">
        <v>134906</v>
      </c>
      <c r="R1102">
        <v>1</v>
      </c>
      <c r="S1102" t="s">
        <v>40</v>
      </c>
      <c r="T1102">
        <v>261</v>
      </c>
      <c r="U1102">
        <v>147664</v>
      </c>
      <c r="V1102">
        <v>24</v>
      </c>
      <c r="W1102" t="s">
        <v>40</v>
      </c>
      <c r="X1102">
        <v>261</v>
      </c>
      <c r="Y1102" t="s">
        <v>377</v>
      </c>
      <c r="Z1102" t="s">
        <v>378</v>
      </c>
      <c r="AA1102" t="s">
        <v>379</v>
      </c>
      <c r="AB1102" t="s">
        <v>384</v>
      </c>
      <c r="AC1102" t="s">
        <v>41</v>
      </c>
      <c r="AD1102" t="s">
        <v>41</v>
      </c>
      <c r="AE1102" t="s">
        <v>41</v>
      </c>
      <c r="AF1102" t="s">
        <v>41</v>
      </c>
      <c r="AK1102"/>
    </row>
    <row r="1103" spans="1:38" x14ac:dyDescent="0.25">
      <c r="A1103" t="s">
        <v>39</v>
      </c>
      <c r="B1103">
        <v>46012.084363425929</v>
      </c>
      <c r="C1103">
        <v>90769</v>
      </c>
      <c r="D1103" t="s">
        <v>682</v>
      </c>
      <c r="E1103">
        <v>4506201</v>
      </c>
      <c r="F1103">
        <v>2304174</v>
      </c>
      <c r="G1103" t="s">
        <v>1235</v>
      </c>
      <c r="H1103" t="s">
        <v>1391</v>
      </c>
      <c r="I1103">
        <v>3.75</v>
      </c>
      <c r="J1103" t="b">
        <v>1</v>
      </c>
      <c r="K1103">
        <v>0.3125</v>
      </c>
      <c r="L1103">
        <v>2304175</v>
      </c>
      <c r="M1103" t="s">
        <v>1236</v>
      </c>
      <c r="N1103">
        <v>12</v>
      </c>
      <c r="O1103">
        <v>12</v>
      </c>
      <c r="P1103"/>
      <c r="Q1103">
        <v>134906</v>
      </c>
      <c r="R1103">
        <v>1</v>
      </c>
      <c r="S1103" t="s">
        <v>40</v>
      </c>
      <c r="T1103">
        <v>261</v>
      </c>
      <c r="U1103">
        <v>147664</v>
      </c>
      <c r="V1103">
        <v>24</v>
      </c>
      <c r="W1103" t="s">
        <v>40</v>
      </c>
      <c r="X1103">
        <v>261</v>
      </c>
      <c r="Y1103" t="s">
        <v>377</v>
      </c>
      <c r="Z1103" t="s">
        <v>378</v>
      </c>
      <c r="AA1103" t="s">
        <v>379</v>
      </c>
      <c r="AB1103" t="s">
        <v>409</v>
      </c>
      <c r="AC1103" t="s">
        <v>41</v>
      </c>
      <c r="AD1103" t="s">
        <v>41</v>
      </c>
      <c r="AE1103" t="s">
        <v>41</v>
      </c>
      <c r="AF1103" t="s">
        <v>41</v>
      </c>
      <c r="AK1103"/>
    </row>
    <row r="1104" spans="1:38" x14ac:dyDescent="0.25">
      <c r="A1104" t="s">
        <v>44</v>
      </c>
      <c r="B1104">
        <v>46012.290891203702</v>
      </c>
      <c r="C1104">
        <v>91340</v>
      </c>
      <c r="D1104" t="s">
        <v>560</v>
      </c>
      <c r="E1104">
        <v>4495167</v>
      </c>
      <c r="F1104">
        <v>113677</v>
      </c>
      <c r="G1104" t="s">
        <v>687</v>
      </c>
      <c r="H1104" t="s">
        <v>1094</v>
      </c>
      <c r="I1104">
        <v>14</v>
      </c>
      <c r="J1104" t="b">
        <v>1</v>
      </c>
      <c r="K1104">
        <v>1.75</v>
      </c>
      <c r="L1104">
        <v>113679</v>
      </c>
      <c r="M1104" t="s">
        <v>689</v>
      </c>
      <c r="N1104">
        <v>8</v>
      </c>
      <c r="O1104">
        <v>8</v>
      </c>
      <c r="P1104"/>
      <c r="Q1104">
        <v>134905</v>
      </c>
      <c r="R1104">
        <v>2</v>
      </c>
      <c r="S1104" t="s">
        <v>40</v>
      </c>
      <c r="T1104">
        <v>261</v>
      </c>
      <c r="U1104">
        <v>147664</v>
      </c>
      <c r="V1104">
        <v>48</v>
      </c>
      <c r="W1104" t="s">
        <v>40</v>
      </c>
      <c r="X1104">
        <v>261</v>
      </c>
      <c r="Y1104" t="s">
        <v>377</v>
      </c>
      <c r="Z1104" t="s">
        <v>378</v>
      </c>
      <c r="AA1104" t="s">
        <v>384</v>
      </c>
      <c r="AB1104" t="s">
        <v>384</v>
      </c>
      <c r="AC1104" t="s">
        <v>41</v>
      </c>
      <c r="AD1104" t="s">
        <v>41</v>
      </c>
      <c r="AE1104" t="s">
        <v>41</v>
      </c>
      <c r="AF1104" t="s">
        <v>41</v>
      </c>
      <c r="AK1104"/>
    </row>
    <row r="1105" spans="1:37" x14ac:dyDescent="0.25">
      <c r="A1105" t="s">
        <v>38</v>
      </c>
      <c r="B1105">
        <v>46012.342523148145</v>
      </c>
      <c r="C1105">
        <v>92023</v>
      </c>
      <c r="D1105" t="s">
        <v>560</v>
      </c>
      <c r="E1105">
        <v>4495241</v>
      </c>
      <c r="F1105">
        <v>107142</v>
      </c>
      <c r="G1105" t="s">
        <v>741</v>
      </c>
      <c r="H1105" t="s">
        <v>1411</v>
      </c>
      <c r="I1105">
        <v>10</v>
      </c>
      <c r="J1105" t="b">
        <v>1</v>
      </c>
      <c r="K1105">
        <v>1.25</v>
      </c>
      <c r="L1105">
        <v>107143</v>
      </c>
      <c r="M1105" t="s">
        <v>743</v>
      </c>
      <c r="N1105">
        <v>8</v>
      </c>
      <c r="O1105">
        <v>8</v>
      </c>
      <c r="P1105"/>
      <c r="Q1105">
        <v>134905</v>
      </c>
      <c r="R1105">
        <v>2</v>
      </c>
      <c r="S1105" t="s">
        <v>40</v>
      </c>
      <c r="T1105">
        <v>261</v>
      </c>
      <c r="U1105">
        <v>147664</v>
      </c>
      <c r="V1105">
        <v>48</v>
      </c>
      <c r="W1105" t="s">
        <v>40</v>
      </c>
      <c r="X1105">
        <v>261</v>
      </c>
      <c r="Y1105" t="s">
        <v>377</v>
      </c>
      <c r="Z1105" t="s">
        <v>378</v>
      </c>
      <c r="AA1105" t="s">
        <v>384</v>
      </c>
      <c r="AB1105" t="s">
        <v>384</v>
      </c>
      <c r="AC1105" t="s">
        <v>41</v>
      </c>
      <c r="AD1105" t="s">
        <v>41</v>
      </c>
      <c r="AE1105" t="s">
        <v>41</v>
      </c>
      <c r="AF1105" t="s">
        <v>41</v>
      </c>
      <c r="AK1105"/>
    </row>
    <row r="1106" spans="1:37" x14ac:dyDescent="0.25">
      <c r="A1106" t="s">
        <v>39</v>
      </c>
      <c r="B1106">
        <v>46012.561990740738</v>
      </c>
      <c r="C1106">
        <v>90770</v>
      </c>
      <c r="D1106" t="s">
        <v>560</v>
      </c>
      <c r="E1106">
        <v>4506202</v>
      </c>
      <c r="F1106">
        <v>2304174</v>
      </c>
      <c r="G1106" t="s">
        <v>1235</v>
      </c>
      <c r="H1106" t="s">
        <v>1412</v>
      </c>
      <c r="I1106">
        <v>1.875</v>
      </c>
      <c r="J1106" t="b">
        <v>1</v>
      </c>
      <c r="K1106">
        <v>0.46875</v>
      </c>
      <c r="L1106">
        <v>2304175</v>
      </c>
      <c r="M1106" t="s">
        <v>1236</v>
      </c>
      <c r="N1106">
        <v>4</v>
      </c>
      <c r="O1106">
        <v>4</v>
      </c>
      <c r="P1106"/>
      <c r="Q1106">
        <v>134906</v>
      </c>
      <c r="R1106">
        <v>1</v>
      </c>
      <c r="S1106" t="s">
        <v>40</v>
      </c>
      <c r="T1106">
        <v>261</v>
      </c>
      <c r="U1106">
        <v>147664</v>
      </c>
      <c r="V1106">
        <v>24</v>
      </c>
      <c r="W1106" t="s">
        <v>40</v>
      </c>
      <c r="X1106">
        <v>261</v>
      </c>
      <c r="Y1106" t="s">
        <v>377</v>
      </c>
      <c r="Z1106" t="s">
        <v>378</v>
      </c>
      <c r="AA1106" t="s">
        <v>379</v>
      </c>
      <c r="AB1106" t="s">
        <v>384</v>
      </c>
      <c r="AC1106" t="s">
        <v>41</v>
      </c>
      <c r="AD1106" t="s">
        <v>41</v>
      </c>
      <c r="AE1106" t="s">
        <v>41</v>
      </c>
      <c r="AF1106" t="s">
        <v>41</v>
      </c>
      <c r="AK1106"/>
    </row>
    <row r="1107" spans="1:37" x14ac:dyDescent="0.25">
      <c r="A1107" t="s">
        <v>39</v>
      </c>
      <c r="B1107">
        <v>46012.562627314815</v>
      </c>
      <c r="C1107">
        <v>90770</v>
      </c>
      <c r="D1107" t="s">
        <v>560</v>
      </c>
      <c r="E1107">
        <v>4506203</v>
      </c>
      <c r="F1107">
        <v>2304174</v>
      </c>
      <c r="G1107" t="s">
        <v>1235</v>
      </c>
      <c r="H1107" t="s">
        <v>1412</v>
      </c>
      <c r="I1107">
        <v>1.875</v>
      </c>
      <c r="J1107" t="b">
        <v>1</v>
      </c>
      <c r="K1107">
        <v>0.15625</v>
      </c>
      <c r="L1107">
        <v>2304175</v>
      </c>
      <c r="M1107" t="s">
        <v>1236</v>
      </c>
      <c r="N1107">
        <v>12</v>
      </c>
      <c r="O1107">
        <v>12</v>
      </c>
      <c r="P1107"/>
      <c r="Q1107">
        <v>134906</v>
      </c>
      <c r="R1107">
        <v>1</v>
      </c>
      <c r="S1107" t="s">
        <v>40</v>
      </c>
      <c r="T1107">
        <v>261</v>
      </c>
      <c r="U1107">
        <v>147664</v>
      </c>
      <c r="V1107">
        <v>24</v>
      </c>
      <c r="W1107" t="s">
        <v>40</v>
      </c>
      <c r="X1107">
        <v>261</v>
      </c>
      <c r="Y1107" t="s">
        <v>377</v>
      </c>
      <c r="Z1107" t="s">
        <v>378</v>
      </c>
      <c r="AA1107" t="s">
        <v>379</v>
      </c>
      <c r="AB1107" t="s">
        <v>409</v>
      </c>
      <c r="AC1107" t="s">
        <v>41</v>
      </c>
      <c r="AD1107" t="s">
        <v>41</v>
      </c>
      <c r="AE1107" t="s">
        <v>41</v>
      </c>
      <c r="AF1107" t="s">
        <v>41</v>
      </c>
      <c r="AK1107"/>
    </row>
    <row r="1108" spans="1:37" x14ac:dyDescent="0.25">
      <c r="A1108" t="s">
        <v>48</v>
      </c>
      <c r="B1108">
        <v>46012.702152777776</v>
      </c>
      <c r="C1108">
        <v>92610</v>
      </c>
      <c r="D1108" t="s">
        <v>563</v>
      </c>
      <c r="E1108">
        <v>4506393</v>
      </c>
      <c r="F1108">
        <v>159934</v>
      </c>
      <c r="G1108" t="s">
        <v>1413</v>
      </c>
      <c r="H1108" t="s">
        <v>1311</v>
      </c>
      <c r="I1108">
        <v>49.7</v>
      </c>
      <c r="J1108" t="b">
        <v>0</v>
      </c>
      <c r="K1108">
        <v>0.14322766570605189</v>
      </c>
      <c r="L1108">
        <v>121051</v>
      </c>
      <c r="M1108" t="s">
        <v>1414</v>
      </c>
      <c r="N1108">
        <v>347</v>
      </c>
      <c r="O1108">
        <v>347</v>
      </c>
      <c r="P1108"/>
      <c r="Q1108">
        <v>134974</v>
      </c>
      <c r="R1108">
        <v>1</v>
      </c>
      <c r="S1108" t="s">
        <v>40</v>
      </c>
      <c r="T1108">
        <v>261</v>
      </c>
      <c r="W1108"/>
      <c r="Y1108" t="s">
        <v>377</v>
      </c>
      <c r="Z1108" t="s">
        <v>378</v>
      </c>
      <c r="AA1108" t="s">
        <v>379</v>
      </c>
      <c r="AB1108" t="s">
        <v>1415</v>
      </c>
      <c r="AC1108" t="s">
        <v>41</v>
      </c>
      <c r="AD1108" t="s">
        <v>41</v>
      </c>
      <c r="AE1108" t="s">
        <v>41</v>
      </c>
      <c r="AF1108" t="s">
        <v>41</v>
      </c>
      <c r="AK1108"/>
    </row>
    <row r="1109" spans="1:37" x14ac:dyDescent="0.25">
      <c r="A1109" t="s">
        <v>43</v>
      </c>
      <c r="B1109">
        <v>46013.374780092592</v>
      </c>
      <c r="C1109">
        <v>92024</v>
      </c>
      <c r="D1109" t="s">
        <v>646</v>
      </c>
      <c r="E1109">
        <v>4507074</v>
      </c>
      <c r="F1109">
        <v>2104881</v>
      </c>
      <c r="G1109" t="s">
        <v>600</v>
      </c>
      <c r="H1109" t="s">
        <v>1416</v>
      </c>
      <c r="I1109">
        <v>5</v>
      </c>
      <c r="J1109" t="b">
        <v>1</v>
      </c>
      <c r="K1109">
        <v>1.25</v>
      </c>
      <c r="L1109">
        <v>2106201</v>
      </c>
      <c r="M1109" t="s">
        <v>602</v>
      </c>
      <c r="N1109">
        <v>4</v>
      </c>
      <c r="O1109">
        <v>4</v>
      </c>
      <c r="P1109"/>
      <c r="Q1109">
        <v>134905</v>
      </c>
      <c r="R1109">
        <v>1</v>
      </c>
      <c r="S1109" t="s">
        <v>40</v>
      </c>
      <c r="T1109">
        <v>261</v>
      </c>
      <c r="U1109">
        <v>147664</v>
      </c>
      <c r="V1109">
        <v>24</v>
      </c>
      <c r="W1109" t="s">
        <v>40</v>
      </c>
      <c r="X1109">
        <v>261</v>
      </c>
      <c r="Y1109" t="s">
        <v>377</v>
      </c>
      <c r="Z1109" t="s">
        <v>378</v>
      </c>
      <c r="AA1109" t="s">
        <v>379</v>
      </c>
      <c r="AB1109" t="s">
        <v>384</v>
      </c>
      <c r="AC1109" t="s">
        <v>41</v>
      </c>
      <c r="AD1109" t="s">
        <v>41</v>
      </c>
      <c r="AE1109" t="s">
        <v>41</v>
      </c>
      <c r="AF1109" t="s">
        <v>41</v>
      </c>
      <c r="AK1109"/>
    </row>
    <row r="1110" spans="1:37" x14ac:dyDescent="0.25">
      <c r="A1110" t="s">
        <v>43</v>
      </c>
      <c r="B1110">
        <v>46013.37604166667</v>
      </c>
      <c r="C1110">
        <v>92024</v>
      </c>
      <c r="D1110" t="s">
        <v>646</v>
      </c>
      <c r="E1110">
        <v>4507075</v>
      </c>
      <c r="F1110">
        <v>2104881</v>
      </c>
      <c r="G1110" t="s">
        <v>600</v>
      </c>
      <c r="H1110" t="s">
        <v>1416</v>
      </c>
      <c r="I1110">
        <v>5</v>
      </c>
      <c r="J1110" t="b">
        <v>1</v>
      </c>
      <c r="K1110">
        <v>1</v>
      </c>
      <c r="L1110">
        <v>2106201</v>
      </c>
      <c r="M1110" t="s">
        <v>602</v>
      </c>
      <c r="N1110">
        <v>5</v>
      </c>
      <c r="O1110">
        <v>5</v>
      </c>
      <c r="P1110"/>
      <c r="Q1110">
        <v>134905</v>
      </c>
      <c r="R1110">
        <v>1</v>
      </c>
      <c r="S1110" t="s">
        <v>40</v>
      </c>
      <c r="T1110">
        <v>261</v>
      </c>
      <c r="U1110">
        <v>147664</v>
      </c>
      <c r="V1110">
        <v>24</v>
      </c>
      <c r="W1110" t="s">
        <v>40</v>
      </c>
      <c r="X1110">
        <v>261</v>
      </c>
      <c r="Y1110" t="s">
        <v>377</v>
      </c>
      <c r="Z1110" t="s">
        <v>378</v>
      </c>
      <c r="AA1110" t="s">
        <v>379</v>
      </c>
      <c r="AB1110" t="s">
        <v>559</v>
      </c>
      <c r="AC1110" t="s">
        <v>41</v>
      </c>
      <c r="AD1110" t="s">
        <v>41</v>
      </c>
      <c r="AE1110" t="s">
        <v>41</v>
      </c>
      <c r="AF1110" t="s">
        <v>41</v>
      </c>
      <c r="AK1110"/>
    </row>
    <row r="1111" spans="1:37" x14ac:dyDescent="0.25">
      <c r="A1111" t="s">
        <v>37</v>
      </c>
      <c r="B1111">
        <v>46013.463437500002</v>
      </c>
      <c r="C1111">
        <v>92612</v>
      </c>
      <c r="D1111" t="s">
        <v>646</v>
      </c>
      <c r="E1111">
        <v>4506468</v>
      </c>
      <c r="F1111">
        <v>2104773</v>
      </c>
      <c r="G1111" t="s">
        <v>1278</v>
      </c>
      <c r="H1111" t="s">
        <v>1339</v>
      </c>
      <c r="I1111">
        <v>57.3</v>
      </c>
      <c r="J1111" t="b">
        <v>1</v>
      </c>
      <c r="K1111">
        <v>0.38979591836734689</v>
      </c>
      <c r="L1111">
        <v>2106102</v>
      </c>
      <c r="M1111" t="s">
        <v>1279</v>
      </c>
      <c r="N1111">
        <v>147</v>
      </c>
      <c r="O1111">
        <v>86</v>
      </c>
      <c r="P1111"/>
      <c r="Q1111">
        <v>134975</v>
      </c>
      <c r="R1111">
        <v>1</v>
      </c>
      <c r="S1111" t="s">
        <v>40</v>
      </c>
      <c r="T1111">
        <v>261</v>
      </c>
      <c r="W1111"/>
      <c r="Y1111" t="s">
        <v>377</v>
      </c>
      <c r="Z1111" t="s">
        <v>378</v>
      </c>
      <c r="AA1111" t="s">
        <v>379</v>
      </c>
      <c r="AB1111" t="s">
        <v>1417</v>
      </c>
      <c r="AC1111" t="s">
        <v>41</v>
      </c>
      <c r="AD1111" t="s">
        <v>41</v>
      </c>
      <c r="AE1111" t="s">
        <v>41</v>
      </c>
      <c r="AF1111" t="s">
        <v>41</v>
      </c>
      <c r="AK1111"/>
    </row>
    <row r="1112" spans="1:37" x14ac:dyDescent="0.25">
      <c r="A1112" t="s">
        <v>39</v>
      </c>
      <c r="B1112">
        <v>46013.484918981485</v>
      </c>
      <c r="C1112">
        <v>90771</v>
      </c>
      <c r="D1112" t="s">
        <v>646</v>
      </c>
      <c r="E1112">
        <v>4506204</v>
      </c>
      <c r="F1112">
        <v>2304174</v>
      </c>
      <c r="G1112" t="s">
        <v>1235</v>
      </c>
      <c r="H1112" t="s">
        <v>1418</v>
      </c>
      <c r="I1112">
        <v>3.75</v>
      </c>
      <c r="J1112" t="b">
        <v>1</v>
      </c>
      <c r="K1112">
        <v>0.9375</v>
      </c>
      <c r="L1112">
        <v>2304175</v>
      </c>
      <c r="M1112" t="s">
        <v>1236</v>
      </c>
      <c r="N1112">
        <v>4</v>
      </c>
      <c r="O1112">
        <v>4</v>
      </c>
      <c r="P1112"/>
      <c r="Q1112">
        <v>134905</v>
      </c>
      <c r="R1112">
        <v>1</v>
      </c>
      <c r="S1112" t="s">
        <v>40</v>
      </c>
      <c r="T1112">
        <v>261</v>
      </c>
      <c r="U1112">
        <v>147664</v>
      </c>
      <c r="V1112">
        <v>24</v>
      </c>
      <c r="W1112" t="s">
        <v>40</v>
      </c>
      <c r="X1112">
        <v>261</v>
      </c>
      <c r="Y1112" t="s">
        <v>377</v>
      </c>
      <c r="Z1112" t="s">
        <v>378</v>
      </c>
      <c r="AA1112" t="s">
        <v>379</v>
      </c>
      <c r="AB1112" t="s">
        <v>384</v>
      </c>
      <c r="AC1112" t="s">
        <v>41</v>
      </c>
      <c r="AD1112" t="s">
        <v>41</v>
      </c>
      <c r="AE1112" t="s">
        <v>41</v>
      </c>
      <c r="AF1112" t="s">
        <v>41</v>
      </c>
      <c r="AK1112"/>
    </row>
    <row r="1113" spans="1:37" x14ac:dyDescent="0.25">
      <c r="A1113" t="s">
        <v>39</v>
      </c>
      <c r="B1113">
        <v>46013.486145833333</v>
      </c>
      <c r="C1113">
        <v>90771</v>
      </c>
      <c r="D1113" t="s">
        <v>646</v>
      </c>
      <c r="E1113">
        <v>4506205</v>
      </c>
      <c r="F1113">
        <v>2304174</v>
      </c>
      <c r="G1113" t="s">
        <v>1235</v>
      </c>
      <c r="H1113" t="s">
        <v>1418</v>
      </c>
      <c r="I1113">
        <v>3.75</v>
      </c>
      <c r="J1113" t="b">
        <v>1</v>
      </c>
      <c r="K1113">
        <v>0.3125</v>
      </c>
      <c r="L1113">
        <v>2304175</v>
      </c>
      <c r="M1113" t="s">
        <v>1236</v>
      </c>
      <c r="N1113">
        <v>12</v>
      </c>
      <c r="O1113">
        <v>12</v>
      </c>
      <c r="P1113"/>
      <c r="Q1113">
        <v>134905</v>
      </c>
      <c r="R1113">
        <v>1</v>
      </c>
      <c r="S1113" t="s">
        <v>40</v>
      </c>
      <c r="T1113">
        <v>261</v>
      </c>
      <c r="U1113">
        <v>147664</v>
      </c>
      <c r="V1113">
        <v>24</v>
      </c>
      <c r="W1113" t="s">
        <v>40</v>
      </c>
      <c r="X1113">
        <v>261</v>
      </c>
      <c r="Y1113" t="s">
        <v>377</v>
      </c>
      <c r="Z1113" t="s">
        <v>378</v>
      </c>
      <c r="AA1113" t="s">
        <v>379</v>
      </c>
      <c r="AB1113" t="s">
        <v>409</v>
      </c>
      <c r="AC1113" t="s">
        <v>41</v>
      </c>
      <c r="AD1113" t="s">
        <v>41</v>
      </c>
      <c r="AE1113" t="s">
        <v>41</v>
      </c>
      <c r="AF1113" t="s">
        <v>41</v>
      </c>
      <c r="AK1113"/>
    </row>
    <row r="1114" spans="1:37" x14ac:dyDescent="0.25">
      <c r="A1114" t="s">
        <v>44</v>
      </c>
      <c r="B1114">
        <v>46013.523842592593</v>
      </c>
      <c r="C1114">
        <v>91341</v>
      </c>
      <c r="D1114" t="s">
        <v>646</v>
      </c>
      <c r="E1114">
        <v>4501468</v>
      </c>
      <c r="F1114">
        <v>2304718</v>
      </c>
      <c r="G1114" t="s">
        <v>627</v>
      </c>
      <c r="H1114" t="s">
        <v>1412</v>
      </c>
      <c r="I1114">
        <v>14</v>
      </c>
      <c r="J1114" t="b">
        <v>1</v>
      </c>
      <c r="K1114">
        <v>1.75</v>
      </c>
      <c r="L1114">
        <v>2304719</v>
      </c>
      <c r="M1114" t="s">
        <v>628</v>
      </c>
      <c r="N1114">
        <v>8</v>
      </c>
      <c r="O1114">
        <v>8</v>
      </c>
      <c r="P1114"/>
      <c r="Q1114">
        <v>134906</v>
      </c>
      <c r="R1114">
        <v>2</v>
      </c>
      <c r="S1114" t="s">
        <v>40</v>
      </c>
      <c r="T1114">
        <v>261</v>
      </c>
      <c r="U1114">
        <v>147664</v>
      </c>
      <c r="V1114">
        <v>48</v>
      </c>
      <c r="W1114" t="s">
        <v>40</v>
      </c>
      <c r="X1114">
        <v>261</v>
      </c>
      <c r="Y1114" t="s">
        <v>377</v>
      </c>
      <c r="Z1114" t="s">
        <v>378</v>
      </c>
      <c r="AA1114" t="s">
        <v>384</v>
      </c>
      <c r="AB1114" t="s">
        <v>400</v>
      </c>
      <c r="AC1114" t="s">
        <v>41</v>
      </c>
      <c r="AD1114" t="s">
        <v>41</v>
      </c>
      <c r="AE1114" t="s">
        <v>41</v>
      </c>
      <c r="AF1114" t="s">
        <v>41</v>
      </c>
      <c r="AK1114"/>
    </row>
    <row r="1115" spans="1:37" x14ac:dyDescent="0.25">
      <c r="A1115" t="s">
        <v>39</v>
      </c>
      <c r="B1115">
        <v>46014.139178240737</v>
      </c>
      <c r="C1115">
        <v>90772</v>
      </c>
      <c r="D1115" t="s">
        <v>563</v>
      </c>
      <c r="E1115">
        <v>4506207</v>
      </c>
      <c r="F1115">
        <v>2304174</v>
      </c>
      <c r="G1115" t="s">
        <v>1235</v>
      </c>
      <c r="H1115" t="s">
        <v>1419</v>
      </c>
      <c r="I1115">
        <v>6</v>
      </c>
      <c r="J1115" t="b">
        <v>1</v>
      </c>
      <c r="K1115">
        <v>0.5</v>
      </c>
      <c r="L1115">
        <v>2304175</v>
      </c>
      <c r="M1115" t="s">
        <v>1236</v>
      </c>
      <c r="N1115">
        <v>12</v>
      </c>
      <c r="O1115">
        <v>12</v>
      </c>
      <c r="P1115"/>
      <c r="Q1115">
        <v>134906</v>
      </c>
      <c r="R1115">
        <v>1</v>
      </c>
      <c r="S1115" t="s">
        <v>40</v>
      </c>
      <c r="T1115">
        <v>261</v>
      </c>
      <c r="U1115">
        <v>147664</v>
      </c>
      <c r="V1115">
        <v>24</v>
      </c>
      <c r="W1115" t="s">
        <v>40</v>
      </c>
      <c r="X1115">
        <v>261</v>
      </c>
      <c r="Y1115" t="s">
        <v>377</v>
      </c>
      <c r="Z1115" t="s">
        <v>378</v>
      </c>
      <c r="AA1115" t="s">
        <v>379</v>
      </c>
      <c r="AB1115" t="s">
        <v>409</v>
      </c>
      <c r="AC1115" t="s">
        <v>41</v>
      </c>
      <c r="AD1115" t="s">
        <v>41</v>
      </c>
      <c r="AE1115" t="s">
        <v>41</v>
      </c>
      <c r="AF1115" t="s">
        <v>41</v>
      </c>
      <c r="AK1115"/>
    </row>
    <row r="1116" spans="1:37" x14ac:dyDescent="0.25">
      <c r="A1116" t="s">
        <v>39</v>
      </c>
      <c r="B1116">
        <v>46014.139988425923</v>
      </c>
      <c r="C1116">
        <v>90772</v>
      </c>
      <c r="D1116" t="s">
        <v>563</v>
      </c>
      <c r="E1116">
        <v>4506206</v>
      </c>
      <c r="F1116">
        <v>2304174</v>
      </c>
      <c r="G1116" t="s">
        <v>1235</v>
      </c>
      <c r="H1116" t="s">
        <v>1419</v>
      </c>
      <c r="I1116">
        <v>1.5</v>
      </c>
      <c r="J1116" t="b">
        <v>1</v>
      </c>
      <c r="K1116">
        <v>0.375</v>
      </c>
      <c r="L1116">
        <v>2304175</v>
      </c>
      <c r="M1116" t="s">
        <v>1236</v>
      </c>
      <c r="N1116">
        <v>4</v>
      </c>
      <c r="O1116">
        <v>4</v>
      </c>
      <c r="P1116"/>
      <c r="Q1116">
        <v>134905</v>
      </c>
      <c r="R1116">
        <v>1</v>
      </c>
      <c r="S1116" t="s">
        <v>40</v>
      </c>
      <c r="T1116">
        <v>261</v>
      </c>
      <c r="U1116">
        <v>147664</v>
      </c>
      <c r="V1116">
        <v>24</v>
      </c>
      <c r="W1116" t="s">
        <v>40</v>
      </c>
      <c r="X1116">
        <v>261</v>
      </c>
      <c r="Y1116" t="s">
        <v>377</v>
      </c>
      <c r="Z1116" t="s">
        <v>378</v>
      </c>
      <c r="AA1116" t="s">
        <v>379</v>
      </c>
      <c r="AB1116" t="s">
        <v>384</v>
      </c>
      <c r="AC1116" t="s">
        <v>41</v>
      </c>
      <c r="AD1116" t="s">
        <v>41</v>
      </c>
      <c r="AE1116" t="s">
        <v>41</v>
      </c>
      <c r="AF1116" t="s">
        <v>41</v>
      </c>
      <c r="AK1116"/>
    </row>
    <row r="1117" spans="1:37" x14ac:dyDescent="0.25">
      <c r="A1117" t="s">
        <v>37</v>
      </c>
      <c r="B1117">
        <v>46014.294699074075</v>
      </c>
      <c r="C1117">
        <v>91342</v>
      </c>
      <c r="D1117" t="s">
        <v>646</v>
      </c>
      <c r="E1117">
        <v>4501469</v>
      </c>
      <c r="F1117">
        <v>2304718</v>
      </c>
      <c r="G1117" t="s">
        <v>627</v>
      </c>
      <c r="H1117" t="s">
        <v>1418</v>
      </c>
      <c r="I1117">
        <v>14</v>
      </c>
      <c r="J1117" t="b">
        <v>1</v>
      </c>
      <c r="K1117">
        <v>1.75</v>
      </c>
      <c r="L1117">
        <v>2304719</v>
      </c>
      <c r="M1117" t="s">
        <v>628</v>
      </c>
      <c r="N1117">
        <v>8</v>
      </c>
      <c r="O1117">
        <v>8</v>
      </c>
      <c r="P1117"/>
      <c r="Q1117">
        <v>134906</v>
      </c>
      <c r="R1117">
        <v>2</v>
      </c>
      <c r="S1117" t="s">
        <v>40</v>
      </c>
      <c r="T1117">
        <v>261</v>
      </c>
      <c r="U1117">
        <v>147664</v>
      </c>
      <c r="V1117">
        <v>48</v>
      </c>
      <c r="W1117" t="s">
        <v>40</v>
      </c>
      <c r="X1117">
        <v>261</v>
      </c>
      <c r="Y1117" t="s">
        <v>377</v>
      </c>
      <c r="Z1117" t="s">
        <v>378</v>
      </c>
      <c r="AA1117" t="s">
        <v>384</v>
      </c>
      <c r="AB1117" t="s">
        <v>384</v>
      </c>
      <c r="AC1117" t="s">
        <v>41</v>
      </c>
      <c r="AD1117" t="s">
        <v>41</v>
      </c>
      <c r="AE1117" t="s">
        <v>41</v>
      </c>
      <c r="AF1117" t="s">
        <v>41</v>
      </c>
      <c r="AK1117"/>
    </row>
    <row r="1118" spans="1:37" x14ac:dyDescent="0.25">
      <c r="A1118" t="s">
        <v>44</v>
      </c>
      <c r="B1118">
        <v>46014.533449074072</v>
      </c>
      <c r="C1118">
        <v>92025</v>
      </c>
      <c r="D1118" t="s">
        <v>646</v>
      </c>
      <c r="E1118">
        <v>4507076</v>
      </c>
      <c r="F1118">
        <v>2104881</v>
      </c>
      <c r="G1118" t="s">
        <v>600</v>
      </c>
      <c r="H1118" t="s">
        <v>1297</v>
      </c>
      <c r="I1118">
        <v>5</v>
      </c>
      <c r="J1118" t="b">
        <v>1</v>
      </c>
      <c r="K1118">
        <v>1.25</v>
      </c>
      <c r="L1118">
        <v>2106201</v>
      </c>
      <c r="M1118" t="s">
        <v>602</v>
      </c>
      <c r="N1118">
        <v>4</v>
      </c>
      <c r="O1118">
        <v>4</v>
      </c>
      <c r="P1118"/>
      <c r="Q1118">
        <v>134906</v>
      </c>
      <c r="R1118">
        <v>1</v>
      </c>
      <c r="S1118" t="s">
        <v>40</v>
      </c>
      <c r="T1118">
        <v>261</v>
      </c>
      <c r="U1118">
        <v>147664</v>
      </c>
      <c r="V1118">
        <v>24</v>
      </c>
      <c r="W1118" t="s">
        <v>40</v>
      </c>
      <c r="X1118">
        <v>261</v>
      </c>
      <c r="Y1118" t="s">
        <v>377</v>
      </c>
      <c r="Z1118" t="s">
        <v>378</v>
      </c>
      <c r="AA1118" t="s">
        <v>379</v>
      </c>
      <c r="AB1118" t="s">
        <v>384</v>
      </c>
      <c r="AC1118" t="s">
        <v>41</v>
      </c>
      <c r="AD1118" t="s">
        <v>41</v>
      </c>
      <c r="AE1118" t="s">
        <v>41</v>
      </c>
      <c r="AF1118" t="s">
        <v>41</v>
      </c>
      <c r="AK1118"/>
    </row>
    <row r="1119" spans="1:37" x14ac:dyDescent="0.25">
      <c r="A1119" t="s">
        <v>44</v>
      </c>
      <c r="B1119">
        <v>46014.534513888888</v>
      </c>
      <c r="C1119">
        <v>92025</v>
      </c>
      <c r="D1119" t="s">
        <v>646</v>
      </c>
      <c r="E1119">
        <v>4507077</v>
      </c>
      <c r="F1119">
        <v>2104881</v>
      </c>
      <c r="G1119" t="s">
        <v>600</v>
      </c>
      <c r="H1119" t="s">
        <v>1297</v>
      </c>
      <c r="I1119">
        <v>5</v>
      </c>
      <c r="J1119" t="b">
        <v>1</v>
      </c>
      <c r="K1119">
        <v>1</v>
      </c>
      <c r="L1119">
        <v>2106201</v>
      </c>
      <c r="M1119" t="s">
        <v>602</v>
      </c>
      <c r="N1119">
        <v>5</v>
      </c>
      <c r="O1119">
        <v>5</v>
      </c>
      <c r="P1119"/>
      <c r="Q1119">
        <v>134906</v>
      </c>
      <c r="R1119">
        <v>1</v>
      </c>
      <c r="S1119" t="s">
        <v>40</v>
      </c>
      <c r="T1119">
        <v>261</v>
      </c>
      <c r="U1119">
        <v>147664</v>
      </c>
      <c r="V1119">
        <v>24</v>
      </c>
      <c r="W1119" t="s">
        <v>40</v>
      </c>
      <c r="X1119">
        <v>261</v>
      </c>
      <c r="Y1119" t="s">
        <v>377</v>
      </c>
      <c r="Z1119" t="s">
        <v>378</v>
      </c>
      <c r="AA1119" t="s">
        <v>379</v>
      </c>
      <c r="AB1119" t="s">
        <v>559</v>
      </c>
      <c r="AC1119" t="s">
        <v>41</v>
      </c>
      <c r="AD1119" t="s">
        <v>41</v>
      </c>
      <c r="AE1119" t="s">
        <v>41</v>
      </c>
      <c r="AF1119" t="s">
        <v>41</v>
      </c>
      <c r="AK1119"/>
    </row>
    <row r="1120" spans="1:37" x14ac:dyDescent="0.25">
      <c r="A1120" t="s">
        <v>39</v>
      </c>
      <c r="B1120">
        <v>46014.718553240738</v>
      </c>
      <c r="C1120">
        <v>90773</v>
      </c>
      <c r="D1120" t="s">
        <v>531</v>
      </c>
      <c r="E1120">
        <v>4506209</v>
      </c>
      <c r="F1120">
        <v>2304174</v>
      </c>
      <c r="G1120" t="s">
        <v>1235</v>
      </c>
      <c r="H1120" t="s">
        <v>1420</v>
      </c>
      <c r="I1120">
        <v>3.5</v>
      </c>
      <c r="J1120" t="b">
        <v>1</v>
      </c>
      <c r="K1120">
        <v>0.29166666666666669</v>
      </c>
      <c r="L1120">
        <v>2304175</v>
      </c>
      <c r="M1120" t="s">
        <v>1236</v>
      </c>
      <c r="N1120">
        <v>12</v>
      </c>
      <c r="O1120">
        <v>12</v>
      </c>
      <c r="P1120"/>
      <c r="Q1120">
        <v>134906</v>
      </c>
      <c r="R1120">
        <v>1</v>
      </c>
      <c r="S1120" t="s">
        <v>40</v>
      </c>
      <c r="T1120">
        <v>261</v>
      </c>
      <c r="U1120">
        <v>147664</v>
      </c>
      <c r="V1120">
        <v>24</v>
      </c>
      <c r="W1120" t="s">
        <v>40</v>
      </c>
      <c r="X1120">
        <v>261</v>
      </c>
      <c r="Y1120" t="s">
        <v>377</v>
      </c>
      <c r="Z1120" t="s">
        <v>378</v>
      </c>
      <c r="AA1120" t="s">
        <v>379</v>
      </c>
      <c r="AB1120" t="s">
        <v>409</v>
      </c>
      <c r="AC1120" t="s">
        <v>41</v>
      </c>
      <c r="AD1120" t="s">
        <v>41</v>
      </c>
      <c r="AE1120" t="s">
        <v>41</v>
      </c>
      <c r="AF1120" t="s">
        <v>41</v>
      </c>
      <c r="AK1120"/>
    </row>
    <row r="1121" spans="1:37" x14ac:dyDescent="0.25">
      <c r="A1121" t="s">
        <v>39</v>
      </c>
      <c r="B1121">
        <v>46014.719768518517</v>
      </c>
      <c r="C1121">
        <v>90773</v>
      </c>
      <c r="D1121" t="s">
        <v>531</v>
      </c>
      <c r="E1121">
        <v>4506208</v>
      </c>
      <c r="F1121">
        <v>2304174</v>
      </c>
      <c r="G1121" t="s">
        <v>1235</v>
      </c>
      <c r="H1121" t="s">
        <v>1420</v>
      </c>
      <c r="I1121">
        <v>3.5</v>
      </c>
      <c r="J1121" t="b">
        <v>1</v>
      </c>
      <c r="K1121">
        <v>0.875</v>
      </c>
      <c r="L1121">
        <v>2304175</v>
      </c>
      <c r="M1121" t="s">
        <v>1236</v>
      </c>
      <c r="N1121">
        <v>4</v>
      </c>
      <c r="O1121">
        <v>4</v>
      </c>
      <c r="P1121"/>
      <c r="Q1121">
        <v>134906</v>
      </c>
      <c r="R1121">
        <v>1</v>
      </c>
      <c r="S1121" t="s">
        <v>40</v>
      </c>
      <c r="T1121">
        <v>261</v>
      </c>
      <c r="U1121">
        <v>147664</v>
      </c>
      <c r="V1121">
        <v>24</v>
      </c>
      <c r="W1121" t="s">
        <v>40</v>
      </c>
      <c r="X1121">
        <v>261</v>
      </c>
      <c r="Y1121" t="s">
        <v>377</v>
      </c>
      <c r="Z1121" t="s">
        <v>378</v>
      </c>
      <c r="AA1121" t="s">
        <v>379</v>
      </c>
      <c r="AB1121" t="s">
        <v>384</v>
      </c>
      <c r="AC1121" t="s">
        <v>41</v>
      </c>
      <c r="AD1121" t="s">
        <v>41</v>
      </c>
      <c r="AE1121" t="s">
        <v>41</v>
      </c>
      <c r="AF1121" t="s">
        <v>41</v>
      </c>
      <c r="AK1121"/>
    </row>
    <row r="1122" spans="1:37" x14ac:dyDescent="0.25">
      <c r="A1122" t="s">
        <v>45</v>
      </c>
      <c r="B1122">
        <v>46015.552662037036</v>
      </c>
      <c r="C1122">
        <v>92614</v>
      </c>
      <c r="D1122" t="s">
        <v>401</v>
      </c>
      <c r="E1122">
        <v>4505740</v>
      </c>
      <c r="F1122">
        <v>2310135</v>
      </c>
      <c r="G1122" t="s">
        <v>1052</v>
      </c>
      <c r="H1122" t="s">
        <v>1389</v>
      </c>
      <c r="I1122">
        <v>64.3</v>
      </c>
      <c r="J1122" t="b">
        <v>1</v>
      </c>
      <c r="K1122">
        <v>0.15915841584158416</v>
      </c>
      <c r="L1122">
        <v>2310136</v>
      </c>
      <c r="M1122" t="s">
        <v>1053</v>
      </c>
      <c r="N1122">
        <v>404</v>
      </c>
      <c r="O1122">
        <v>404</v>
      </c>
      <c r="P1122"/>
      <c r="Q1122">
        <v>134974</v>
      </c>
      <c r="R1122">
        <v>1</v>
      </c>
      <c r="S1122" t="s">
        <v>40</v>
      </c>
      <c r="T1122">
        <v>261</v>
      </c>
      <c r="W1122"/>
      <c r="Y1122" t="s">
        <v>377</v>
      </c>
      <c r="Z1122" t="s">
        <v>378</v>
      </c>
      <c r="AA1122" t="s">
        <v>379</v>
      </c>
      <c r="AB1122" t="s">
        <v>1309</v>
      </c>
      <c r="AC1122" t="s">
        <v>41</v>
      </c>
      <c r="AD1122" t="s">
        <v>41</v>
      </c>
      <c r="AE1122" t="s">
        <v>41</v>
      </c>
      <c r="AF1122" t="s">
        <v>41</v>
      </c>
      <c r="AK1122"/>
    </row>
    <row r="1123" spans="1:37" x14ac:dyDescent="0.25">
      <c r="A1123" t="s">
        <v>38</v>
      </c>
      <c r="B1123">
        <v>46015.575324074074</v>
      </c>
      <c r="C1123">
        <v>92026</v>
      </c>
      <c r="D1123" t="s">
        <v>401</v>
      </c>
      <c r="E1123">
        <v>4507079</v>
      </c>
      <c r="F1123">
        <v>2104881</v>
      </c>
      <c r="G1123" t="s">
        <v>600</v>
      </c>
      <c r="H1123" t="s">
        <v>1421</v>
      </c>
      <c r="I1123">
        <v>5.5</v>
      </c>
      <c r="J1123" t="b">
        <v>1</v>
      </c>
      <c r="K1123">
        <v>1.1000000000000001</v>
      </c>
      <c r="L1123">
        <v>2106201</v>
      </c>
      <c r="M1123" t="s">
        <v>602</v>
      </c>
      <c r="N1123">
        <v>5</v>
      </c>
      <c r="O1123">
        <v>5</v>
      </c>
      <c r="P1123"/>
      <c r="Q1123">
        <v>2301936</v>
      </c>
      <c r="R1123">
        <v>1</v>
      </c>
      <c r="S1123" t="s">
        <v>40</v>
      </c>
      <c r="T1123">
        <v>261</v>
      </c>
      <c r="U1123">
        <v>147664</v>
      </c>
      <c r="V1123">
        <v>24</v>
      </c>
      <c r="W1123" t="s">
        <v>40</v>
      </c>
      <c r="X1123">
        <v>261</v>
      </c>
      <c r="Y1123" t="s">
        <v>377</v>
      </c>
      <c r="Z1123" t="s">
        <v>378</v>
      </c>
      <c r="AA1123" t="s">
        <v>379</v>
      </c>
      <c r="AB1123" t="s">
        <v>559</v>
      </c>
      <c r="AC1123" t="s">
        <v>41</v>
      </c>
      <c r="AD1123" t="s">
        <v>41</v>
      </c>
      <c r="AE1123" t="s">
        <v>41</v>
      </c>
      <c r="AF1123" t="s">
        <v>41</v>
      </c>
      <c r="AK1123"/>
    </row>
    <row r="1124" spans="1:37" x14ac:dyDescent="0.25">
      <c r="A1124" t="s">
        <v>38</v>
      </c>
      <c r="B1124">
        <v>46015.576655092591</v>
      </c>
      <c r="C1124">
        <v>92026</v>
      </c>
      <c r="D1124" t="s">
        <v>401</v>
      </c>
      <c r="E1124">
        <v>4507078</v>
      </c>
      <c r="F1124">
        <v>2104881</v>
      </c>
      <c r="G1124" t="s">
        <v>600</v>
      </c>
      <c r="H1124" t="s">
        <v>1421</v>
      </c>
      <c r="I1124">
        <v>4.5</v>
      </c>
      <c r="J1124" t="b">
        <v>1</v>
      </c>
      <c r="K1124">
        <v>1.125</v>
      </c>
      <c r="L1124">
        <v>2106201</v>
      </c>
      <c r="M1124" t="s">
        <v>602</v>
      </c>
      <c r="N1124">
        <v>4</v>
      </c>
      <c r="O1124">
        <v>4</v>
      </c>
      <c r="P1124"/>
      <c r="Q1124">
        <v>2301936</v>
      </c>
      <c r="R1124">
        <v>1</v>
      </c>
      <c r="S1124" t="s">
        <v>40</v>
      </c>
      <c r="T1124">
        <v>261</v>
      </c>
      <c r="U1124">
        <v>147664</v>
      </c>
      <c r="V1124">
        <v>24</v>
      </c>
      <c r="W1124" t="s">
        <v>40</v>
      </c>
      <c r="X1124">
        <v>261</v>
      </c>
      <c r="Y1124" t="s">
        <v>377</v>
      </c>
      <c r="Z1124" t="s">
        <v>378</v>
      </c>
      <c r="AA1124" t="s">
        <v>379</v>
      </c>
      <c r="AB1124" t="s">
        <v>384</v>
      </c>
      <c r="AC1124" t="s">
        <v>41</v>
      </c>
      <c r="AD1124" t="s">
        <v>41</v>
      </c>
      <c r="AE1124" t="s">
        <v>41</v>
      </c>
      <c r="AF1124" t="s">
        <v>41</v>
      </c>
      <c r="AK1124"/>
    </row>
    <row r="1125" spans="1:37" x14ac:dyDescent="0.25">
      <c r="A1125" t="s">
        <v>37</v>
      </c>
      <c r="B1125">
        <v>46015.84039351852</v>
      </c>
      <c r="C1125">
        <v>90774</v>
      </c>
      <c r="D1125" t="s">
        <v>745</v>
      </c>
      <c r="E1125">
        <v>4506211</v>
      </c>
      <c r="F1125">
        <v>2304174</v>
      </c>
      <c r="G1125" t="s">
        <v>1235</v>
      </c>
      <c r="H1125" t="s">
        <v>1422</v>
      </c>
      <c r="I1125">
        <v>3.75</v>
      </c>
      <c r="J1125" t="b">
        <v>1</v>
      </c>
      <c r="K1125">
        <v>0.3125</v>
      </c>
      <c r="L1125">
        <v>2304175</v>
      </c>
      <c r="M1125" t="s">
        <v>1236</v>
      </c>
      <c r="N1125">
        <v>12</v>
      </c>
      <c r="O1125">
        <v>12</v>
      </c>
      <c r="P1125"/>
      <c r="Q1125">
        <v>134906</v>
      </c>
      <c r="R1125">
        <v>1</v>
      </c>
      <c r="S1125" t="s">
        <v>40</v>
      </c>
      <c r="T1125">
        <v>261</v>
      </c>
      <c r="U1125">
        <v>147664</v>
      </c>
      <c r="V1125">
        <v>24</v>
      </c>
      <c r="W1125" t="s">
        <v>40</v>
      </c>
      <c r="X1125">
        <v>261</v>
      </c>
      <c r="Y1125" t="s">
        <v>377</v>
      </c>
      <c r="Z1125" t="s">
        <v>378</v>
      </c>
      <c r="AA1125" t="s">
        <v>379</v>
      </c>
      <c r="AB1125" t="s">
        <v>409</v>
      </c>
      <c r="AC1125" t="s">
        <v>41</v>
      </c>
      <c r="AD1125" t="s">
        <v>41</v>
      </c>
      <c r="AE1125" t="s">
        <v>41</v>
      </c>
      <c r="AF1125" t="s">
        <v>41</v>
      </c>
      <c r="AK1125"/>
    </row>
    <row r="1126" spans="1:37" x14ac:dyDescent="0.25">
      <c r="A1126" t="s">
        <v>37</v>
      </c>
      <c r="B1126">
        <v>46015.84097222222</v>
      </c>
      <c r="C1126">
        <v>90774</v>
      </c>
      <c r="D1126" t="s">
        <v>745</v>
      </c>
      <c r="E1126">
        <v>4506210</v>
      </c>
      <c r="F1126">
        <v>2304174</v>
      </c>
      <c r="G1126" t="s">
        <v>1235</v>
      </c>
      <c r="H1126" t="s">
        <v>1422</v>
      </c>
      <c r="I1126">
        <v>3.75</v>
      </c>
      <c r="J1126" t="b">
        <v>1</v>
      </c>
      <c r="K1126">
        <v>0.9375</v>
      </c>
      <c r="L1126">
        <v>2304175</v>
      </c>
      <c r="M1126" t="s">
        <v>1236</v>
      </c>
      <c r="N1126">
        <v>4</v>
      </c>
      <c r="O1126">
        <v>4</v>
      </c>
      <c r="P1126"/>
      <c r="Q1126">
        <v>134906</v>
      </c>
      <c r="R1126">
        <v>1</v>
      </c>
      <c r="S1126" t="s">
        <v>40</v>
      </c>
      <c r="T1126">
        <v>261</v>
      </c>
      <c r="U1126">
        <v>147664</v>
      </c>
      <c r="V1126">
        <v>24</v>
      </c>
      <c r="W1126" t="s">
        <v>40</v>
      </c>
      <c r="X1126">
        <v>261</v>
      </c>
      <c r="Y1126" t="s">
        <v>377</v>
      </c>
      <c r="Z1126" t="s">
        <v>378</v>
      </c>
      <c r="AA1126" t="s">
        <v>379</v>
      </c>
      <c r="AB1126" t="s">
        <v>384</v>
      </c>
      <c r="AC1126" t="s">
        <v>41</v>
      </c>
      <c r="AD1126" t="s">
        <v>41</v>
      </c>
      <c r="AE1126" t="s">
        <v>41</v>
      </c>
      <c r="AF1126" t="s">
        <v>41</v>
      </c>
      <c r="AK1126"/>
    </row>
    <row r="1127" spans="1:37" x14ac:dyDescent="0.25">
      <c r="A1127" t="s">
        <v>39</v>
      </c>
      <c r="B1127">
        <v>46016.027407407404</v>
      </c>
      <c r="C1127">
        <v>92027</v>
      </c>
      <c r="D1127" t="s">
        <v>745</v>
      </c>
      <c r="E1127">
        <v>4507091</v>
      </c>
      <c r="F1127">
        <v>2104879</v>
      </c>
      <c r="G1127" t="s">
        <v>556</v>
      </c>
      <c r="H1127" t="s">
        <v>1423</v>
      </c>
      <c r="I1127">
        <v>5</v>
      </c>
      <c r="J1127" t="b">
        <v>1</v>
      </c>
      <c r="K1127">
        <v>1</v>
      </c>
      <c r="L1127">
        <v>2106199</v>
      </c>
      <c r="M1127" t="s">
        <v>558</v>
      </c>
      <c r="N1127">
        <v>5</v>
      </c>
      <c r="O1127">
        <v>5</v>
      </c>
      <c r="P1127"/>
      <c r="Q1127">
        <v>134971</v>
      </c>
      <c r="R1127">
        <v>1</v>
      </c>
      <c r="S1127" t="s">
        <v>40</v>
      </c>
      <c r="T1127">
        <v>261</v>
      </c>
      <c r="U1127">
        <v>147664</v>
      </c>
      <c r="V1127">
        <v>24</v>
      </c>
      <c r="W1127" t="s">
        <v>40</v>
      </c>
      <c r="X1127">
        <v>261</v>
      </c>
      <c r="Y1127" t="s">
        <v>377</v>
      </c>
      <c r="Z1127" t="s">
        <v>378</v>
      </c>
      <c r="AA1127" t="s">
        <v>379</v>
      </c>
      <c r="AB1127" t="s">
        <v>559</v>
      </c>
      <c r="AC1127" t="s">
        <v>41</v>
      </c>
      <c r="AD1127" t="s">
        <v>41</v>
      </c>
      <c r="AE1127" t="s">
        <v>41</v>
      </c>
      <c r="AF1127" t="s">
        <v>41</v>
      </c>
      <c r="AK1127"/>
    </row>
    <row r="1128" spans="1:37" x14ac:dyDescent="0.25">
      <c r="A1128" t="s">
        <v>39</v>
      </c>
      <c r="B1128">
        <v>46016.027916666666</v>
      </c>
      <c r="C1128">
        <v>92027</v>
      </c>
      <c r="D1128" t="s">
        <v>745</v>
      </c>
      <c r="E1128">
        <v>4507090</v>
      </c>
      <c r="F1128">
        <v>2104879</v>
      </c>
      <c r="G1128" t="s">
        <v>556</v>
      </c>
      <c r="H1128" t="s">
        <v>1423</v>
      </c>
      <c r="I1128">
        <v>5</v>
      </c>
      <c r="J1128" t="b">
        <v>1</v>
      </c>
      <c r="K1128">
        <v>1.25</v>
      </c>
      <c r="L1128">
        <v>2106199</v>
      </c>
      <c r="M1128" t="s">
        <v>558</v>
      </c>
      <c r="N1128">
        <v>4</v>
      </c>
      <c r="O1128">
        <v>4</v>
      </c>
      <c r="P1128"/>
      <c r="Q1128">
        <v>134971</v>
      </c>
      <c r="R1128">
        <v>1</v>
      </c>
      <c r="S1128" t="s">
        <v>40</v>
      </c>
      <c r="T1128">
        <v>261</v>
      </c>
      <c r="U1128">
        <v>147664</v>
      </c>
      <c r="V1128">
        <v>24</v>
      </c>
      <c r="W1128" t="s">
        <v>40</v>
      </c>
      <c r="X1128">
        <v>261</v>
      </c>
      <c r="Y1128" t="s">
        <v>377</v>
      </c>
      <c r="Z1128" t="s">
        <v>378</v>
      </c>
      <c r="AA1128" t="s">
        <v>379</v>
      </c>
      <c r="AB1128" t="s">
        <v>384</v>
      </c>
      <c r="AC1128" t="s">
        <v>41</v>
      </c>
      <c r="AD1128" t="s">
        <v>41</v>
      </c>
      <c r="AE1128" t="s">
        <v>41</v>
      </c>
      <c r="AF1128" t="s">
        <v>41</v>
      </c>
      <c r="AK1128"/>
    </row>
    <row r="1129" spans="1:37" x14ac:dyDescent="0.25">
      <c r="A1129" t="s">
        <v>47</v>
      </c>
      <c r="B1129">
        <v>46016.480000000003</v>
      </c>
      <c r="C1129">
        <v>92616</v>
      </c>
      <c r="D1129" t="s">
        <v>560</v>
      </c>
      <c r="E1129">
        <v>4505761</v>
      </c>
      <c r="F1129">
        <v>2310135</v>
      </c>
      <c r="G1129" t="s">
        <v>1052</v>
      </c>
      <c r="H1129" t="s">
        <v>1388</v>
      </c>
      <c r="I1129">
        <v>64.3</v>
      </c>
      <c r="J1129" t="b">
        <v>1</v>
      </c>
      <c r="K1129">
        <v>0.15309523809523809</v>
      </c>
      <c r="L1129">
        <v>2310136</v>
      </c>
      <c r="M1129" t="s">
        <v>1053</v>
      </c>
      <c r="N1129">
        <v>420</v>
      </c>
      <c r="O1129">
        <v>400</v>
      </c>
      <c r="P1129"/>
      <c r="Q1129">
        <v>134974</v>
      </c>
      <c r="R1129">
        <v>1</v>
      </c>
      <c r="S1129" t="s">
        <v>40</v>
      </c>
      <c r="T1129">
        <v>261</v>
      </c>
      <c r="W1129"/>
      <c r="Y1129" t="s">
        <v>377</v>
      </c>
      <c r="Z1129" t="s">
        <v>378</v>
      </c>
      <c r="AA1129" t="s">
        <v>379</v>
      </c>
      <c r="AB1129" t="s">
        <v>1242</v>
      </c>
      <c r="AC1129" t="s">
        <v>41</v>
      </c>
      <c r="AD1129" t="s">
        <v>41</v>
      </c>
      <c r="AE1129" t="s">
        <v>41</v>
      </c>
      <c r="AF1129" t="s">
        <v>41</v>
      </c>
      <c r="AK1129"/>
    </row>
    <row r="1130" spans="1:37" x14ac:dyDescent="0.25">
      <c r="A1130" t="s">
        <v>37</v>
      </c>
      <c r="B1130">
        <v>46016.483206018522</v>
      </c>
      <c r="C1130">
        <v>90775</v>
      </c>
      <c r="D1130" t="s">
        <v>560</v>
      </c>
      <c r="E1130">
        <v>4506212</v>
      </c>
      <c r="F1130">
        <v>2304174</v>
      </c>
      <c r="G1130" t="s">
        <v>1235</v>
      </c>
      <c r="H1130" t="s">
        <v>1424</v>
      </c>
      <c r="I1130">
        <v>1.875</v>
      </c>
      <c r="J1130" t="b">
        <v>1</v>
      </c>
      <c r="K1130">
        <v>0.46875</v>
      </c>
      <c r="L1130">
        <v>2304175</v>
      </c>
      <c r="M1130" t="s">
        <v>1236</v>
      </c>
      <c r="N1130">
        <v>4</v>
      </c>
      <c r="O1130">
        <v>4</v>
      </c>
      <c r="P1130"/>
      <c r="Q1130">
        <v>134906</v>
      </c>
      <c r="R1130">
        <v>1</v>
      </c>
      <c r="S1130" t="s">
        <v>40</v>
      </c>
      <c r="T1130">
        <v>261</v>
      </c>
      <c r="U1130">
        <v>147664</v>
      </c>
      <c r="V1130">
        <v>24</v>
      </c>
      <c r="W1130" t="s">
        <v>40</v>
      </c>
      <c r="X1130">
        <v>261</v>
      </c>
      <c r="Y1130" t="s">
        <v>377</v>
      </c>
      <c r="Z1130" t="s">
        <v>378</v>
      </c>
      <c r="AA1130" t="s">
        <v>379</v>
      </c>
      <c r="AB1130" t="s">
        <v>384</v>
      </c>
      <c r="AC1130" t="s">
        <v>41</v>
      </c>
      <c r="AD1130" t="s">
        <v>41</v>
      </c>
      <c r="AE1130" t="s">
        <v>41</v>
      </c>
      <c r="AF1130" t="s">
        <v>41</v>
      </c>
      <c r="AK1130"/>
    </row>
    <row r="1131" spans="1:37" x14ac:dyDescent="0.25">
      <c r="A1131" t="s">
        <v>37</v>
      </c>
      <c r="B1131">
        <v>46016.484166666669</v>
      </c>
      <c r="C1131">
        <v>90775</v>
      </c>
      <c r="D1131" t="s">
        <v>560</v>
      </c>
      <c r="E1131">
        <v>4506213</v>
      </c>
      <c r="F1131">
        <v>2304174</v>
      </c>
      <c r="G1131" t="s">
        <v>1235</v>
      </c>
      <c r="H1131" t="s">
        <v>1424</v>
      </c>
      <c r="I1131">
        <v>5.625</v>
      </c>
      <c r="J1131" t="b">
        <v>1</v>
      </c>
      <c r="K1131">
        <v>0.46875</v>
      </c>
      <c r="L1131">
        <v>2304175</v>
      </c>
      <c r="M1131" t="s">
        <v>1236</v>
      </c>
      <c r="N1131">
        <v>12</v>
      </c>
      <c r="O1131">
        <v>12</v>
      </c>
      <c r="P1131"/>
      <c r="Q1131">
        <v>134906</v>
      </c>
      <c r="R1131">
        <v>1</v>
      </c>
      <c r="S1131" t="s">
        <v>40</v>
      </c>
      <c r="T1131">
        <v>261</v>
      </c>
      <c r="U1131">
        <v>147664</v>
      </c>
      <c r="V1131">
        <v>24</v>
      </c>
      <c r="W1131" t="s">
        <v>40</v>
      </c>
      <c r="X1131">
        <v>261</v>
      </c>
      <c r="Y1131" t="s">
        <v>377</v>
      </c>
      <c r="Z1131" t="s">
        <v>378</v>
      </c>
      <c r="AA1131" t="s">
        <v>379</v>
      </c>
      <c r="AB1131" t="s">
        <v>409</v>
      </c>
      <c r="AC1131" t="s">
        <v>41</v>
      </c>
      <c r="AD1131" t="s">
        <v>41</v>
      </c>
      <c r="AE1131" t="s">
        <v>41</v>
      </c>
      <c r="AF1131" t="s">
        <v>41</v>
      </c>
      <c r="AK1131"/>
    </row>
    <row r="1132" spans="1:37" x14ac:dyDescent="0.25">
      <c r="A1132" t="s">
        <v>44</v>
      </c>
      <c r="B1132">
        <v>46016.70521990741</v>
      </c>
      <c r="C1132">
        <v>91343</v>
      </c>
      <c r="D1132" t="s">
        <v>560</v>
      </c>
      <c r="E1132">
        <v>4501491</v>
      </c>
      <c r="F1132">
        <v>2304758</v>
      </c>
      <c r="G1132" t="s">
        <v>402</v>
      </c>
      <c r="H1132" t="s">
        <v>1425</v>
      </c>
      <c r="I1132">
        <v>14</v>
      </c>
      <c r="J1132" t="b">
        <v>1</v>
      </c>
      <c r="K1132">
        <v>1.75</v>
      </c>
      <c r="L1132">
        <v>2304759</v>
      </c>
      <c r="M1132" t="s">
        <v>404</v>
      </c>
      <c r="N1132">
        <v>8</v>
      </c>
      <c r="O1132">
        <v>7</v>
      </c>
      <c r="P1132"/>
      <c r="Q1132">
        <v>155687</v>
      </c>
      <c r="R1132">
        <v>2</v>
      </c>
      <c r="S1132" t="s">
        <v>40</v>
      </c>
      <c r="T1132">
        <v>261</v>
      </c>
      <c r="U1132">
        <v>147664</v>
      </c>
      <c r="V1132">
        <v>48</v>
      </c>
      <c r="W1132" t="s">
        <v>40</v>
      </c>
      <c r="X1132">
        <v>261</v>
      </c>
      <c r="Y1132" t="s">
        <v>377</v>
      </c>
      <c r="Z1132" t="s">
        <v>378</v>
      </c>
      <c r="AA1132" t="s">
        <v>384</v>
      </c>
      <c r="AB1132" t="s">
        <v>384</v>
      </c>
      <c r="AC1132" t="s">
        <v>41</v>
      </c>
      <c r="AD1132" t="s">
        <v>41</v>
      </c>
      <c r="AE1132" t="s">
        <v>41</v>
      </c>
      <c r="AF1132" t="s">
        <v>41</v>
      </c>
      <c r="AK1132"/>
    </row>
    <row r="1133" spans="1:37" x14ac:dyDescent="0.25">
      <c r="A1133" t="s">
        <v>38</v>
      </c>
      <c r="B1133">
        <v>46016.945752314816</v>
      </c>
      <c r="C1133">
        <v>92028</v>
      </c>
      <c r="D1133" t="s">
        <v>682</v>
      </c>
      <c r="E1133">
        <v>4507093</v>
      </c>
      <c r="F1133">
        <v>2104879</v>
      </c>
      <c r="G1133" t="s">
        <v>556</v>
      </c>
      <c r="H1133" t="s">
        <v>1426</v>
      </c>
      <c r="I1133">
        <v>5</v>
      </c>
      <c r="J1133" t="b">
        <v>1</v>
      </c>
      <c r="K1133">
        <v>1</v>
      </c>
      <c r="L1133">
        <v>2106199</v>
      </c>
      <c r="M1133" t="s">
        <v>558</v>
      </c>
      <c r="N1133">
        <v>5</v>
      </c>
      <c r="O1133">
        <v>5</v>
      </c>
      <c r="P1133"/>
      <c r="Q1133">
        <v>134971</v>
      </c>
      <c r="R1133">
        <v>1</v>
      </c>
      <c r="S1133" t="s">
        <v>40</v>
      </c>
      <c r="T1133">
        <v>261</v>
      </c>
      <c r="U1133">
        <v>147664</v>
      </c>
      <c r="V1133">
        <v>24</v>
      </c>
      <c r="W1133" t="s">
        <v>40</v>
      </c>
      <c r="X1133">
        <v>261</v>
      </c>
      <c r="Y1133" t="s">
        <v>377</v>
      </c>
      <c r="Z1133" t="s">
        <v>378</v>
      </c>
      <c r="AA1133" t="s">
        <v>379</v>
      </c>
      <c r="AB1133" t="s">
        <v>559</v>
      </c>
      <c r="AC1133" t="s">
        <v>41</v>
      </c>
      <c r="AD1133" t="s">
        <v>41</v>
      </c>
      <c r="AE1133" t="s">
        <v>41</v>
      </c>
      <c r="AF1133" t="s">
        <v>41</v>
      </c>
      <c r="AK1133"/>
    </row>
    <row r="1134" spans="1:37" x14ac:dyDescent="0.25">
      <c r="A1134" t="s">
        <v>38</v>
      </c>
      <c r="B1134">
        <v>46016.951979166668</v>
      </c>
      <c r="C1134">
        <v>92028</v>
      </c>
      <c r="D1134" t="s">
        <v>682</v>
      </c>
      <c r="E1134">
        <v>4507092</v>
      </c>
      <c r="F1134">
        <v>2104879</v>
      </c>
      <c r="G1134" t="s">
        <v>556</v>
      </c>
      <c r="H1134" t="s">
        <v>1426</v>
      </c>
      <c r="I1134">
        <v>5</v>
      </c>
      <c r="J1134" t="b">
        <v>1</v>
      </c>
      <c r="K1134">
        <v>1.25</v>
      </c>
      <c r="L1134">
        <v>2106199</v>
      </c>
      <c r="M1134" t="s">
        <v>558</v>
      </c>
      <c r="N1134">
        <v>4</v>
      </c>
      <c r="O1134">
        <v>4</v>
      </c>
      <c r="P1134"/>
      <c r="Q1134">
        <v>134971</v>
      </c>
      <c r="R1134">
        <v>1</v>
      </c>
      <c r="S1134" t="s">
        <v>40</v>
      </c>
      <c r="T1134">
        <v>261</v>
      </c>
      <c r="U1134">
        <v>147664</v>
      </c>
      <c r="V1134">
        <v>24</v>
      </c>
      <c r="W1134" t="s">
        <v>40</v>
      </c>
      <c r="X1134">
        <v>261</v>
      </c>
      <c r="Y1134" t="s">
        <v>377</v>
      </c>
      <c r="Z1134" t="s">
        <v>378</v>
      </c>
      <c r="AA1134" t="s">
        <v>379</v>
      </c>
      <c r="AB1134" t="s">
        <v>384</v>
      </c>
      <c r="AC1134" t="s">
        <v>41</v>
      </c>
      <c r="AD1134" t="s">
        <v>41</v>
      </c>
      <c r="AE1134" t="s">
        <v>41</v>
      </c>
      <c r="AF1134" t="s">
        <v>41</v>
      </c>
      <c r="AK1134"/>
    </row>
    <row r="1135" spans="1:37" x14ac:dyDescent="0.25">
      <c r="A1135" t="s">
        <v>37</v>
      </c>
      <c r="B1135">
        <v>46017.221990740742</v>
      </c>
      <c r="C1135">
        <v>90776</v>
      </c>
      <c r="D1135" t="s">
        <v>682</v>
      </c>
      <c r="E1135">
        <v>4507370</v>
      </c>
      <c r="F1135">
        <v>2304174</v>
      </c>
      <c r="G1135" t="s">
        <v>1235</v>
      </c>
      <c r="H1135" t="s">
        <v>1427</v>
      </c>
      <c r="I1135">
        <v>7.5</v>
      </c>
      <c r="J1135" t="b">
        <v>1</v>
      </c>
      <c r="K1135">
        <v>0.46875</v>
      </c>
      <c r="L1135">
        <v>2304175</v>
      </c>
      <c r="M1135" t="s">
        <v>1236</v>
      </c>
      <c r="N1135">
        <v>16</v>
      </c>
      <c r="O1135">
        <v>16</v>
      </c>
      <c r="P1135"/>
      <c r="Q1135">
        <v>134905</v>
      </c>
      <c r="R1135">
        <v>1</v>
      </c>
      <c r="S1135" t="s">
        <v>40</v>
      </c>
      <c r="T1135">
        <v>261</v>
      </c>
      <c r="U1135">
        <v>147664</v>
      </c>
      <c r="V1135">
        <v>24</v>
      </c>
      <c r="W1135" t="s">
        <v>40</v>
      </c>
      <c r="X1135">
        <v>261</v>
      </c>
      <c r="Y1135" t="s">
        <v>377</v>
      </c>
      <c r="Z1135" t="s">
        <v>378</v>
      </c>
      <c r="AA1135" t="s">
        <v>379</v>
      </c>
      <c r="AB1135" t="s">
        <v>1264</v>
      </c>
      <c r="AC1135" t="s">
        <v>41</v>
      </c>
      <c r="AD1135" t="s">
        <v>41</v>
      </c>
      <c r="AE1135" t="s">
        <v>41</v>
      </c>
      <c r="AF1135" t="s">
        <v>41</v>
      </c>
      <c r="AK1135"/>
    </row>
    <row r="1136" spans="1:37" x14ac:dyDescent="0.25">
      <c r="A1136" t="s">
        <v>42</v>
      </c>
      <c r="B1136">
        <v>46017.430856481478</v>
      </c>
      <c r="C1136">
        <v>92617</v>
      </c>
      <c r="D1136" t="s">
        <v>373</v>
      </c>
      <c r="E1136">
        <v>4505762</v>
      </c>
      <c r="F1136">
        <v>2310135</v>
      </c>
      <c r="G1136" t="s">
        <v>1052</v>
      </c>
      <c r="H1136" t="s">
        <v>1396</v>
      </c>
      <c r="I1136">
        <v>64.25</v>
      </c>
      <c r="J1136" t="b">
        <v>1</v>
      </c>
      <c r="K1136">
        <v>0.15011682242990654</v>
      </c>
      <c r="L1136">
        <v>2310136</v>
      </c>
      <c r="M1136" t="s">
        <v>1053</v>
      </c>
      <c r="N1136">
        <v>428</v>
      </c>
      <c r="O1136">
        <v>400</v>
      </c>
      <c r="P1136"/>
      <c r="Q1136">
        <v>134974</v>
      </c>
      <c r="R1136">
        <v>1</v>
      </c>
      <c r="S1136" t="s">
        <v>40</v>
      </c>
      <c r="T1136">
        <v>261</v>
      </c>
      <c r="W1136"/>
      <c r="Y1136" t="s">
        <v>377</v>
      </c>
      <c r="Z1136" t="s">
        <v>378</v>
      </c>
      <c r="AA1136" t="s">
        <v>379</v>
      </c>
      <c r="AB1136" t="s">
        <v>1428</v>
      </c>
      <c r="AC1136" t="s">
        <v>41</v>
      </c>
      <c r="AD1136" t="s">
        <v>41</v>
      </c>
      <c r="AE1136" t="s">
        <v>41</v>
      </c>
      <c r="AF1136" t="s">
        <v>41</v>
      </c>
      <c r="AK1136"/>
    </row>
    <row r="1137" spans="1:37" x14ac:dyDescent="0.25">
      <c r="A1137" t="s">
        <v>39</v>
      </c>
      <c r="B1137">
        <v>46017.688148148147</v>
      </c>
      <c r="C1137">
        <v>92029</v>
      </c>
      <c r="D1137" t="s">
        <v>373</v>
      </c>
      <c r="E1137">
        <v>4507110</v>
      </c>
      <c r="F1137">
        <v>2104880</v>
      </c>
      <c r="G1137" t="s">
        <v>577</v>
      </c>
      <c r="H1137" t="s">
        <v>1429</v>
      </c>
      <c r="I1137">
        <v>5</v>
      </c>
      <c r="J1137" t="b">
        <v>1</v>
      </c>
      <c r="K1137">
        <v>1.25</v>
      </c>
      <c r="L1137">
        <v>2106200</v>
      </c>
      <c r="M1137" t="s">
        <v>579</v>
      </c>
      <c r="N1137">
        <v>4</v>
      </c>
      <c r="O1137">
        <v>4</v>
      </c>
      <c r="P1137"/>
      <c r="Q1137">
        <v>134905</v>
      </c>
      <c r="R1137">
        <v>1</v>
      </c>
      <c r="S1137" t="s">
        <v>40</v>
      </c>
      <c r="T1137">
        <v>261</v>
      </c>
      <c r="U1137">
        <v>147664</v>
      </c>
      <c r="V1137">
        <v>24</v>
      </c>
      <c r="W1137" t="s">
        <v>40</v>
      </c>
      <c r="X1137">
        <v>261</v>
      </c>
      <c r="Y1137" t="s">
        <v>377</v>
      </c>
      <c r="Z1137" t="s">
        <v>378</v>
      </c>
      <c r="AA1137" t="s">
        <v>379</v>
      </c>
      <c r="AB1137" t="s">
        <v>384</v>
      </c>
      <c r="AC1137" t="s">
        <v>41</v>
      </c>
      <c r="AD1137" t="s">
        <v>41</v>
      </c>
      <c r="AE1137" t="s">
        <v>41</v>
      </c>
      <c r="AF1137" t="s">
        <v>41</v>
      </c>
      <c r="AK1137"/>
    </row>
    <row r="1138" spans="1:37" x14ac:dyDescent="0.25">
      <c r="A1138" t="s">
        <v>39</v>
      </c>
      <c r="B1138">
        <v>46017.688761574071</v>
      </c>
      <c r="C1138">
        <v>92029</v>
      </c>
      <c r="D1138" t="s">
        <v>373</v>
      </c>
      <c r="E1138">
        <v>4507111</v>
      </c>
      <c r="F1138">
        <v>2104880</v>
      </c>
      <c r="G1138" t="s">
        <v>577</v>
      </c>
      <c r="H1138" t="s">
        <v>1429</v>
      </c>
      <c r="I1138">
        <v>5</v>
      </c>
      <c r="J1138" t="b">
        <v>1</v>
      </c>
      <c r="K1138">
        <v>1</v>
      </c>
      <c r="L1138">
        <v>2106200</v>
      </c>
      <c r="M1138" t="s">
        <v>579</v>
      </c>
      <c r="N1138">
        <v>5</v>
      </c>
      <c r="O1138">
        <v>5</v>
      </c>
      <c r="P1138"/>
      <c r="Q1138">
        <v>134905</v>
      </c>
      <c r="R1138">
        <v>1</v>
      </c>
      <c r="S1138" t="s">
        <v>40</v>
      </c>
      <c r="T1138">
        <v>261</v>
      </c>
      <c r="U1138">
        <v>147664</v>
      </c>
      <c r="V1138">
        <v>24</v>
      </c>
      <c r="W1138" t="s">
        <v>40</v>
      </c>
      <c r="X1138">
        <v>261</v>
      </c>
      <c r="Y1138" t="s">
        <v>377</v>
      </c>
      <c r="Z1138" t="s">
        <v>378</v>
      </c>
      <c r="AA1138" t="s">
        <v>379</v>
      </c>
      <c r="AB1138" t="s">
        <v>559</v>
      </c>
      <c r="AC1138" t="s">
        <v>41</v>
      </c>
      <c r="AD1138" t="s">
        <v>41</v>
      </c>
      <c r="AE1138" t="s">
        <v>41</v>
      </c>
      <c r="AF1138" t="s">
        <v>41</v>
      </c>
      <c r="AK1138"/>
    </row>
    <row r="1139" spans="1:37" x14ac:dyDescent="0.25">
      <c r="A1139" t="s">
        <v>37</v>
      </c>
      <c r="B1139">
        <v>46017.714178240742</v>
      </c>
      <c r="C1139">
        <v>90777</v>
      </c>
      <c r="D1139" t="s">
        <v>373</v>
      </c>
      <c r="E1139">
        <v>4507371</v>
      </c>
      <c r="F1139">
        <v>2304174</v>
      </c>
      <c r="G1139" t="s">
        <v>1235</v>
      </c>
      <c r="H1139" t="s">
        <v>1430</v>
      </c>
      <c r="I1139">
        <v>7.5</v>
      </c>
      <c r="J1139" t="b">
        <v>1</v>
      </c>
      <c r="K1139">
        <v>0.46875</v>
      </c>
      <c r="L1139">
        <v>2304175</v>
      </c>
      <c r="M1139" t="s">
        <v>1236</v>
      </c>
      <c r="N1139">
        <v>16</v>
      </c>
      <c r="O1139">
        <v>16</v>
      </c>
      <c r="P1139"/>
      <c r="Q1139">
        <v>134905</v>
      </c>
      <c r="R1139">
        <v>1</v>
      </c>
      <c r="S1139" t="s">
        <v>40</v>
      </c>
      <c r="T1139">
        <v>261</v>
      </c>
      <c r="U1139">
        <v>147664</v>
      </c>
      <c r="V1139">
        <v>24</v>
      </c>
      <c r="W1139" t="s">
        <v>40</v>
      </c>
      <c r="X1139">
        <v>261</v>
      </c>
      <c r="Y1139" t="s">
        <v>377</v>
      </c>
      <c r="Z1139" t="s">
        <v>378</v>
      </c>
      <c r="AA1139" t="s">
        <v>379</v>
      </c>
      <c r="AB1139" t="s">
        <v>1264</v>
      </c>
      <c r="AC1139" t="s">
        <v>41</v>
      </c>
      <c r="AD1139" t="s">
        <v>41</v>
      </c>
      <c r="AE1139" t="s">
        <v>41</v>
      </c>
      <c r="AF1139" t="s">
        <v>41</v>
      </c>
      <c r="AK1139"/>
    </row>
    <row r="1140" spans="1:37" x14ac:dyDescent="0.25">
      <c r="A1140" t="s">
        <v>44</v>
      </c>
      <c r="B1140">
        <v>46018.181041666663</v>
      </c>
      <c r="C1140">
        <v>91345</v>
      </c>
      <c r="D1140" t="s">
        <v>563</v>
      </c>
      <c r="E1140">
        <v>4507562</v>
      </c>
      <c r="F1140">
        <v>2304758</v>
      </c>
      <c r="G1140" t="s">
        <v>402</v>
      </c>
      <c r="H1140" t="s">
        <v>1431</v>
      </c>
      <c r="I1140">
        <v>14</v>
      </c>
      <c r="J1140" t="b">
        <v>1</v>
      </c>
      <c r="K1140">
        <v>1.75</v>
      </c>
      <c r="L1140">
        <v>2304759</v>
      </c>
      <c r="M1140" t="s">
        <v>404</v>
      </c>
      <c r="N1140">
        <v>8</v>
      </c>
      <c r="O1140">
        <v>8</v>
      </c>
      <c r="P1140"/>
      <c r="Q1140">
        <v>155687</v>
      </c>
      <c r="R1140">
        <v>2</v>
      </c>
      <c r="S1140" t="s">
        <v>40</v>
      </c>
      <c r="T1140">
        <v>261</v>
      </c>
      <c r="U1140">
        <v>147664</v>
      </c>
      <c r="V1140">
        <v>48</v>
      </c>
      <c r="W1140" t="s">
        <v>40</v>
      </c>
      <c r="X1140">
        <v>261</v>
      </c>
      <c r="Y1140" t="s">
        <v>377</v>
      </c>
      <c r="Z1140" t="s">
        <v>378</v>
      </c>
      <c r="AA1140" t="s">
        <v>384</v>
      </c>
      <c r="AB1140" t="s">
        <v>384</v>
      </c>
      <c r="AC1140" t="s">
        <v>41</v>
      </c>
      <c r="AD1140" t="s">
        <v>41</v>
      </c>
      <c r="AE1140" t="s">
        <v>41</v>
      </c>
      <c r="AF1140" t="s">
        <v>41</v>
      </c>
      <c r="AK1140"/>
    </row>
    <row r="1141" spans="1:37" x14ac:dyDescent="0.25">
      <c r="A1141" t="s">
        <v>37</v>
      </c>
      <c r="B1141">
        <v>46018.392060185186</v>
      </c>
      <c r="C1141">
        <v>90778</v>
      </c>
      <c r="D1141" t="s">
        <v>373</v>
      </c>
      <c r="E1141">
        <v>4507372</v>
      </c>
      <c r="F1141">
        <v>2304174</v>
      </c>
      <c r="G1141" t="s">
        <v>1235</v>
      </c>
      <c r="H1141" t="s">
        <v>1429</v>
      </c>
      <c r="I1141">
        <v>7.5</v>
      </c>
      <c r="J1141" t="b">
        <v>1</v>
      </c>
      <c r="K1141">
        <v>0.46875</v>
      </c>
      <c r="L1141">
        <v>2304175</v>
      </c>
      <c r="M1141" t="s">
        <v>1236</v>
      </c>
      <c r="N1141">
        <v>16</v>
      </c>
      <c r="O1141">
        <v>16</v>
      </c>
      <c r="P1141"/>
      <c r="Q1141">
        <v>134905</v>
      </c>
      <c r="R1141">
        <v>1</v>
      </c>
      <c r="S1141" t="s">
        <v>40</v>
      </c>
      <c r="T1141">
        <v>261</v>
      </c>
      <c r="U1141">
        <v>147664</v>
      </c>
      <c r="V1141">
        <v>24</v>
      </c>
      <c r="W1141" t="s">
        <v>40</v>
      </c>
      <c r="X1141">
        <v>261</v>
      </c>
      <c r="Y1141" t="s">
        <v>377</v>
      </c>
      <c r="Z1141" t="s">
        <v>378</v>
      </c>
      <c r="AA1141" t="s">
        <v>379</v>
      </c>
      <c r="AB1141" t="s">
        <v>1264</v>
      </c>
      <c r="AC1141" t="s">
        <v>41</v>
      </c>
      <c r="AD1141" t="s">
        <v>41</v>
      </c>
      <c r="AE1141" t="s">
        <v>41</v>
      </c>
      <c r="AF1141" t="s">
        <v>41</v>
      </c>
      <c r="AK1141"/>
    </row>
    <row r="1142" spans="1:37" x14ac:dyDescent="0.25">
      <c r="A1142" t="s">
        <v>39</v>
      </c>
      <c r="B1142">
        <v>46018.668368055558</v>
      </c>
      <c r="C1142">
        <v>92195</v>
      </c>
      <c r="D1142" t="s">
        <v>373</v>
      </c>
      <c r="E1142">
        <v>4507112</v>
      </c>
      <c r="F1142">
        <v>2104880</v>
      </c>
      <c r="G1142" t="s">
        <v>577</v>
      </c>
      <c r="H1142" t="s">
        <v>1432</v>
      </c>
      <c r="I1142">
        <v>5</v>
      </c>
      <c r="J1142" t="b">
        <v>1</v>
      </c>
      <c r="K1142">
        <v>1.25</v>
      </c>
      <c r="L1142">
        <v>2106200</v>
      </c>
      <c r="M1142" t="s">
        <v>579</v>
      </c>
      <c r="N1142">
        <v>4</v>
      </c>
      <c r="O1142">
        <v>4</v>
      </c>
      <c r="P1142"/>
      <c r="Q1142">
        <v>2301936</v>
      </c>
      <c r="R1142">
        <v>1</v>
      </c>
      <c r="S1142" t="s">
        <v>40</v>
      </c>
      <c r="T1142">
        <v>261</v>
      </c>
      <c r="U1142">
        <v>147664</v>
      </c>
      <c r="V1142">
        <v>24</v>
      </c>
      <c r="W1142" t="s">
        <v>40</v>
      </c>
      <c r="X1142">
        <v>261</v>
      </c>
      <c r="Y1142" t="s">
        <v>377</v>
      </c>
      <c r="Z1142" t="s">
        <v>378</v>
      </c>
      <c r="AA1142" t="s">
        <v>379</v>
      </c>
      <c r="AB1142" t="s">
        <v>384</v>
      </c>
      <c r="AC1142" t="s">
        <v>41</v>
      </c>
      <c r="AD1142" t="s">
        <v>41</v>
      </c>
      <c r="AE1142" t="s">
        <v>41</v>
      </c>
      <c r="AF1142" t="s">
        <v>41</v>
      </c>
      <c r="AK1142"/>
    </row>
    <row r="1143" spans="1:37" x14ac:dyDescent="0.25">
      <c r="A1143" t="s">
        <v>39</v>
      </c>
      <c r="B1143">
        <v>46018.668912037036</v>
      </c>
      <c r="C1143">
        <v>92195</v>
      </c>
      <c r="D1143" t="s">
        <v>373</v>
      </c>
      <c r="E1143">
        <v>4507113</v>
      </c>
      <c r="F1143">
        <v>2104880</v>
      </c>
      <c r="G1143" t="s">
        <v>577</v>
      </c>
      <c r="H1143" t="s">
        <v>1432</v>
      </c>
      <c r="I1143">
        <v>5</v>
      </c>
      <c r="J1143" t="b">
        <v>1</v>
      </c>
      <c r="K1143">
        <v>1</v>
      </c>
      <c r="L1143">
        <v>2106200</v>
      </c>
      <c r="M1143" t="s">
        <v>579</v>
      </c>
      <c r="N1143">
        <v>5</v>
      </c>
      <c r="O1143">
        <v>5</v>
      </c>
      <c r="P1143"/>
      <c r="Q1143">
        <v>2301936</v>
      </c>
      <c r="R1143">
        <v>1</v>
      </c>
      <c r="S1143" t="s">
        <v>40</v>
      </c>
      <c r="T1143">
        <v>261</v>
      </c>
      <c r="U1143">
        <v>147664</v>
      </c>
      <c r="V1143">
        <v>24</v>
      </c>
      <c r="W1143" t="s">
        <v>40</v>
      </c>
      <c r="X1143">
        <v>261</v>
      </c>
      <c r="Y1143" t="s">
        <v>377</v>
      </c>
      <c r="Z1143" t="s">
        <v>378</v>
      </c>
      <c r="AA1143" t="s">
        <v>379</v>
      </c>
      <c r="AB1143" t="s">
        <v>559</v>
      </c>
      <c r="AC1143" t="s">
        <v>41</v>
      </c>
      <c r="AD1143" t="s">
        <v>41</v>
      </c>
      <c r="AE1143" t="s">
        <v>41</v>
      </c>
      <c r="AF1143" t="s">
        <v>41</v>
      </c>
      <c r="AK1143"/>
    </row>
    <row r="1144" spans="1:37" x14ac:dyDescent="0.25">
      <c r="A1144" t="s">
        <v>45</v>
      </c>
      <c r="B1144">
        <v>46018.699699074074</v>
      </c>
      <c r="C1144">
        <v>92618</v>
      </c>
      <c r="D1144" t="s">
        <v>373</v>
      </c>
      <c r="E1144">
        <v>4506394</v>
      </c>
      <c r="F1144">
        <v>2310135</v>
      </c>
      <c r="G1144" t="s">
        <v>1052</v>
      </c>
      <c r="H1144" t="s">
        <v>1400</v>
      </c>
      <c r="I1144">
        <v>64.3</v>
      </c>
      <c r="J1144" t="b">
        <v>1</v>
      </c>
      <c r="K1144">
        <v>0.15346062052505965</v>
      </c>
      <c r="L1144">
        <v>2310136</v>
      </c>
      <c r="M1144" t="s">
        <v>1053</v>
      </c>
      <c r="N1144">
        <v>419</v>
      </c>
      <c r="O1144">
        <v>408</v>
      </c>
      <c r="P1144"/>
      <c r="Q1144">
        <v>134974</v>
      </c>
      <c r="R1144">
        <v>1</v>
      </c>
      <c r="S1144" t="s">
        <v>40</v>
      </c>
      <c r="T1144">
        <v>261</v>
      </c>
      <c r="W1144"/>
      <c r="Y1144" t="s">
        <v>377</v>
      </c>
      <c r="Z1144" t="s">
        <v>378</v>
      </c>
      <c r="AA1144" t="s">
        <v>379</v>
      </c>
      <c r="AB1144" t="s">
        <v>1433</v>
      </c>
      <c r="AC1144" t="s">
        <v>41</v>
      </c>
      <c r="AD1144" t="s">
        <v>41</v>
      </c>
      <c r="AE1144" t="s">
        <v>41</v>
      </c>
      <c r="AF1144" t="s">
        <v>41</v>
      </c>
      <c r="AK1144"/>
    </row>
    <row r="1145" spans="1:37" x14ac:dyDescent="0.25">
      <c r="A1145" t="s">
        <v>44</v>
      </c>
      <c r="B1145">
        <v>46018.968229166669</v>
      </c>
      <c r="C1145">
        <v>91346</v>
      </c>
      <c r="D1145" t="s">
        <v>1025</v>
      </c>
      <c r="E1145">
        <v>4507651</v>
      </c>
      <c r="F1145">
        <v>2304758</v>
      </c>
      <c r="G1145" t="s">
        <v>402</v>
      </c>
      <c r="H1145" t="s">
        <v>1434</v>
      </c>
      <c r="I1145">
        <v>14</v>
      </c>
      <c r="J1145" t="b">
        <v>1</v>
      </c>
      <c r="K1145">
        <v>1.75</v>
      </c>
      <c r="L1145">
        <v>2304759</v>
      </c>
      <c r="M1145" t="s">
        <v>404</v>
      </c>
      <c r="N1145">
        <v>8</v>
      </c>
      <c r="O1145">
        <v>8</v>
      </c>
      <c r="P1145"/>
      <c r="Q1145">
        <v>155687</v>
      </c>
      <c r="R1145">
        <v>1</v>
      </c>
      <c r="S1145" t="s">
        <v>40</v>
      </c>
      <c r="T1145">
        <v>261</v>
      </c>
      <c r="U1145">
        <v>147664</v>
      </c>
      <c r="V1145">
        <v>24</v>
      </c>
      <c r="W1145" t="s">
        <v>40</v>
      </c>
      <c r="X1145">
        <v>261</v>
      </c>
      <c r="Y1145" t="s">
        <v>377</v>
      </c>
      <c r="Z1145" t="s">
        <v>378</v>
      </c>
      <c r="AA1145" t="s">
        <v>384</v>
      </c>
      <c r="AB1145" t="s">
        <v>384</v>
      </c>
      <c r="AC1145" t="s">
        <v>41</v>
      </c>
      <c r="AD1145" t="s">
        <v>41</v>
      </c>
      <c r="AE1145" t="s">
        <v>41</v>
      </c>
      <c r="AF1145" t="s">
        <v>41</v>
      </c>
      <c r="AK1145"/>
    </row>
    <row r="1146" spans="1:37" x14ac:dyDescent="0.25">
      <c r="A1146" t="s">
        <v>37</v>
      </c>
      <c r="B1146">
        <v>46019.02752314815</v>
      </c>
      <c r="C1146">
        <v>90591</v>
      </c>
      <c r="D1146" t="s">
        <v>1025</v>
      </c>
      <c r="E1146">
        <v>4507373</v>
      </c>
      <c r="F1146">
        <v>2304174</v>
      </c>
      <c r="G1146" t="s">
        <v>1235</v>
      </c>
      <c r="H1146" t="s">
        <v>1432</v>
      </c>
      <c r="I1146">
        <v>7.5</v>
      </c>
      <c r="J1146" t="b">
        <v>1</v>
      </c>
      <c r="K1146">
        <v>0.46875</v>
      </c>
      <c r="L1146">
        <v>2304175</v>
      </c>
      <c r="M1146" t="s">
        <v>1236</v>
      </c>
      <c r="N1146">
        <v>16</v>
      </c>
      <c r="O1146">
        <v>16</v>
      </c>
      <c r="P1146"/>
      <c r="Q1146">
        <v>134905</v>
      </c>
      <c r="R1146">
        <v>1</v>
      </c>
      <c r="S1146" t="s">
        <v>40</v>
      </c>
      <c r="T1146">
        <v>261</v>
      </c>
      <c r="U1146">
        <v>147664</v>
      </c>
      <c r="V1146">
        <v>24</v>
      </c>
      <c r="W1146" t="s">
        <v>40</v>
      </c>
      <c r="X1146">
        <v>261</v>
      </c>
      <c r="Y1146" t="s">
        <v>377</v>
      </c>
      <c r="Z1146" t="s">
        <v>378</v>
      </c>
      <c r="AA1146" t="s">
        <v>379</v>
      </c>
      <c r="AB1146" t="s">
        <v>1264</v>
      </c>
      <c r="AC1146" t="s">
        <v>41</v>
      </c>
      <c r="AD1146" t="s">
        <v>41</v>
      </c>
      <c r="AE1146" t="s">
        <v>41</v>
      </c>
      <c r="AF1146" t="s">
        <v>41</v>
      </c>
      <c r="AK1146"/>
    </row>
    <row r="1147" spans="1:37" x14ac:dyDescent="0.25">
      <c r="A1147" t="s">
        <v>38</v>
      </c>
      <c r="B1147">
        <v>46019.427418981482</v>
      </c>
      <c r="C1147">
        <v>92197</v>
      </c>
      <c r="D1147" t="s">
        <v>373</v>
      </c>
      <c r="E1147">
        <v>4507094</v>
      </c>
      <c r="F1147">
        <v>2104879</v>
      </c>
      <c r="G1147" t="s">
        <v>556</v>
      </c>
      <c r="H1147" t="s">
        <v>1435</v>
      </c>
      <c r="I1147">
        <v>5</v>
      </c>
      <c r="J1147" t="b">
        <v>1</v>
      </c>
      <c r="K1147">
        <v>1.25</v>
      </c>
      <c r="L1147">
        <v>2106199</v>
      </c>
      <c r="M1147" t="s">
        <v>558</v>
      </c>
      <c r="N1147">
        <v>4</v>
      </c>
      <c r="O1147">
        <v>4</v>
      </c>
      <c r="P1147"/>
      <c r="Q1147">
        <v>134971</v>
      </c>
      <c r="R1147">
        <v>1</v>
      </c>
      <c r="S1147" t="s">
        <v>40</v>
      </c>
      <c r="T1147">
        <v>261</v>
      </c>
      <c r="U1147">
        <v>147664</v>
      </c>
      <c r="V1147">
        <v>24</v>
      </c>
      <c r="W1147" t="s">
        <v>40</v>
      </c>
      <c r="X1147">
        <v>261</v>
      </c>
      <c r="Y1147" t="s">
        <v>377</v>
      </c>
      <c r="Z1147" t="s">
        <v>378</v>
      </c>
      <c r="AA1147" t="s">
        <v>379</v>
      </c>
      <c r="AB1147" t="s">
        <v>384</v>
      </c>
      <c r="AC1147" t="s">
        <v>41</v>
      </c>
      <c r="AD1147" t="s">
        <v>41</v>
      </c>
      <c r="AE1147" t="s">
        <v>41</v>
      </c>
      <c r="AF1147" t="s">
        <v>41</v>
      </c>
      <c r="AK1147"/>
    </row>
    <row r="1148" spans="1:37" x14ac:dyDescent="0.25">
      <c r="A1148" t="s">
        <v>38</v>
      </c>
      <c r="B1148">
        <v>46019.427974537037</v>
      </c>
      <c r="C1148">
        <v>92197</v>
      </c>
      <c r="D1148" t="s">
        <v>373</v>
      </c>
      <c r="E1148">
        <v>4507095</v>
      </c>
      <c r="F1148">
        <v>2104879</v>
      </c>
      <c r="G1148" t="s">
        <v>556</v>
      </c>
      <c r="H1148" t="s">
        <v>1435</v>
      </c>
      <c r="I1148">
        <v>5</v>
      </c>
      <c r="J1148" t="b">
        <v>1</v>
      </c>
      <c r="K1148">
        <v>1</v>
      </c>
      <c r="L1148">
        <v>2106199</v>
      </c>
      <c r="M1148" t="s">
        <v>558</v>
      </c>
      <c r="N1148">
        <v>5</v>
      </c>
      <c r="O1148">
        <v>5</v>
      </c>
      <c r="P1148"/>
      <c r="Q1148">
        <v>134971</v>
      </c>
      <c r="R1148">
        <v>1</v>
      </c>
      <c r="S1148" t="s">
        <v>40</v>
      </c>
      <c r="T1148">
        <v>261</v>
      </c>
      <c r="U1148">
        <v>147664</v>
      </c>
      <c r="V1148">
        <v>24</v>
      </c>
      <c r="W1148" t="s">
        <v>40</v>
      </c>
      <c r="X1148">
        <v>261</v>
      </c>
      <c r="Y1148" t="s">
        <v>377</v>
      </c>
      <c r="Z1148" t="s">
        <v>378</v>
      </c>
      <c r="AA1148" t="s">
        <v>379</v>
      </c>
      <c r="AB1148" t="s">
        <v>559</v>
      </c>
      <c r="AC1148" t="s">
        <v>41</v>
      </c>
      <c r="AD1148" t="s">
        <v>41</v>
      </c>
      <c r="AE1148" t="s">
        <v>41</v>
      </c>
      <c r="AF1148" t="s">
        <v>41</v>
      </c>
      <c r="AK1148"/>
    </row>
    <row r="1149" spans="1:37" x14ac:dyDescent="0.25">
      <c r="A1149" t="s">
        <v>37</v>
      </c>
      <c r="B1149">
        <v>46019.729432870372</v>
      </c>
      <c r="C1149">
        <v>90466</v>
      </c>
      <c r="D1149" t="s">
        <v>373</v>
      </c>
      <c r="E1149">
        <v>4507374</v>
      </c>
      <c r="F1149">
        <v>2304174</v>
      </c>
      <c r="G1149" t="s">
        <v>1235</v>
      </c>
      <c r="H1149" t="s">
        <v>1354</v>
      </c>
      <c r="I1149">
        <v>3.75</v>
      </c>
      <c r="J1149" t="b">
        <v>1</v>
      </c>
      <c r="K1149">
        <v>0.9375</v>
      </c>
      <c r="L1149">
        <v>2304175</v>
      </c>
      <c r="M1149" t="s">
        <v>1236</v>
      </c>
      <c r="N1149">
        <v>4</v>
      </c>
      <c r="O1149">
        <v>4</v>
      </c>
      <c r="P1149"/>
      <c r="Q1149">
        <v>134906</v>
      </c>
      <c r="R1149">
        <v>1</v>
      </c>
      <c r="S1149" t="s">
        <v>40</v>
      </c>
      <c r="T1149">
        <v>261</v>
      </c>
      <c r="U1149">
        <v>147664</v>
      </c>
      <c r="V1149">
        <v>24</v>
      </c>
      <c r="W1149" t="s">
        <v>40</v>
      </c>
      <c r="X1149">
        <v>261</v>
      </c>
      <c r="Y1149" t="s">
        <v>377</v>
      </c>
      <c r="Z1149" t="s">
        <v>378</v>
      </c>
      <c r="AA1149" t="s">
        <v>379</v>
      </c>
      <c r="AB1149" t="s">
        <v>384</v>
      </c>
      <c r="AC1149" t="s">
        <v>41</v>
      </c>
      <c r="AD1149" t="s">
        <v>41</v>
      </c>
      <c r="AE1149" t="s">
        <v>41</v>
      </c>
      <c r="AF1149" t="s">
        <v>41</v>
      </c>
      <c r="AK1149"/>
    </row>
    <row r="1150" spans="1:37" x14ac:dyDescent="0.25">
      <c r="A1150" t="s">
        <v>37</v>
      </c>
      <c r="B1150">
        <v>46019.730011574073</v>
      </c>
      <c r="C1150">
        <v>90466</v>
      </c>
      <c r="D1150" t="s">
        <v>373</v>
      </c>
      <c r="E1150">
        <v>4507375</v>
      </c>
      <c r="F1150">
        <v>2304174</v>
      </c>
      <c r="G1150" t="s">
        <v>1235</v>
      </c>
      <c r="H1150" t="s">
        <v>1354</v>
      </c>
      <c r="I1150">
        <v>3.75</v>
      </c>
      <c r="J1150" t="b">
        <v>1</v>
      </c>
      <c r="K1150">
        <v>0.3125</v>
      </c>
      <c r="L1150">
        <v>2304175</v>
      </c>
      <c r="M1150" t="s">
        <v>1236</v>
      </c>
      <c r="N1150">
        <v>12</v>
      </c>
      <c r="O1150">
        <v>12</v>
      </c>
      <c r="P1150"/>
      <c r="Q1150">
        <v>134906</v>
      </c>
      <c r="R1150">
        <v>1</v>
      </c>
      <c r="S1150" t="s">
        <v>40</v>
      </c>
      <c r="T1150">
        <v>261</v>
      </c>
      <c r="U1150">
        <v>147664</v>
      </c>
      <c r="V1150">
        <v>24</v>
      </c>
      <c r="W1150" t="s">
        <v>40</v>
      </c>
      <c r="X1150">
        <v>261</v>
      </c>
      <c r="Y1150" t="s">
        <v>377</v>
      </c>
      <c r="Z1150" t="s">
        <v>378</v>
      </c>
      <c r="AA1150" t="s">
        <v>379</v>
      </c>
      <c r="AB1150" t="s">
        <v>409</v>
      </c>
      <c r="AC1150" t="s">
        <v>41</v>
      </c>
      <c r="AD1150" t="s">
        <v>41</v>
      </c>
      <c r="AE1150" t="s">
        <v>41</v>
      </c>
      <c r="AF1150" t="s">
        <v>41</v>
      </c>
      <c r="AK1150"/>
    </row>
    <row r="1151" spans="1:37" x14ac:dyDescent="0.25">
      <c r="A1151" t="s">
        <v>47</v>
      </c>
      <c r="B1151">
        <v>46020.005439814813</v>
      </c>
      <c r="C1151">
        <v>92619</v>
      </c>
      <c r="D1151" t="s">
        <v>563</v>
      </c>
      <c r="E1151">
        <v>4507266</v>
      </c>
      <c r="F1151">
        <v>2310135</v>
      </c>
      <c r="G1151" t="s">
        <v>1052</v>
      </c>
      <c r="H1151" t="s">
        <v>1401</v>
      </c>
      <c r="I1151">
        <v>64.3</v>
      </c>
      <c r="J1151" t="b">
        <v>1</v>
      </c>
      <c r="K1151">
        <v>0.16075</v>
      </c>
      <c r="L1151">
        <v>2310136</v>
      </c>
      <c r="M1151" t="s">
        <v>1053</v>
      </c>
      <c r="N1151">
        <v>400</v>
      </c>
      <c r="O1151">
        <v>400</v>
      </c>
      <c r="P1151"/>
      <c r="Q1151">
        <v>134974</v>
      </c>
      <c r="R1151">
        <v>1</v>
      </c>
      <c r="S1151" t="s">
        <v>40</v>
      </c>
      <c r="T1151">
        <v>261</v>
      </c>
      <c r="W1151"/>
      <c r="Y1151" t="s">
        <v>377</v>
      </c>
      <c r="Z1151" t="s">
        <v>378</v>
      </c>
      <c r="AA1151" t="s">
        <v>379</v>
      </c>
      <c r="AB1151" t="s">
        <v>1079</v>
      </c>
      <c r="AC1151" t="s">
        <v>41</v>
      </c>
      <c r="AD1151" t="s">
        <v>41</v>
      </c>
      <c r="AE1151" t="s">
        <v>41</v>
      </c>
      <c r="AF1151" t="s">
        <v>41</v>
      </c>
      <c r="AK1151"/>
    </row>
    <row r="1152" spans="1:37" x14ac:dyDescent="0.25">
      <c r="A1152" t="s">
        <v>44</v>
      </c>
      <c r="B1152">
        <v>46020.14403935185</v>
      </c>
      <c r="C1152">
        <v>93490</v>
      </c>
      <c r="D1152" t="s">
        <v>563</v>
      </c>
      <c r="E1152">
        <v>4507096</v>
      </c>
      <c r="F1152">
        <v>2104879</v>
      </c>
      <c r="G1152" t="s">
        <v>556</v>
      </c>
      <c r="H1152" t="s">
        <v>1436</v>
      </c>
      <c r="I1152">
        <v>4</v>
      </c>
      <c r="J1152" t="b">
        <v>1</v>
      </c>
      <c r="K1152">
        <v>1</v>
      </c>
      <c r="L1152">
        <v>2106199</v>
      </c>
      <c r="M1152" t="s">
        <v>558</v>
      </c>
      <c r="N1152">
        <v>4</v>
      </c>
      <c r="O1152">
        <v>4</v>
      </c>
      <c r="P1152"/>
      <c r="Q1152">
        <v>134971</v>
      </c>
      <c r="R1152">
        <v>1</v>
      </c>
      <c r="S1152" t="s">
        <v>40</v>
      </c>
      <c r="T1152">
        <v>261</v>
      </c>
      <c r="U1152">
        <v>147664</v>
      </c>
      <c r="V1152">
        <v>24</v>
      </c>
      <c r="W1152" t="s">
        <v>40</v>
      </c>
      <c r="X1152">
        <v>261</v>
      </c>
      <c r="Y1152" t="s">
        <v>377</v>
      </c>
      <c r="Z1152" t="s">
        <v>378</v>
      </c>
      <c r="AA1152" t="s">
        <v>379</v>
      </c>
      <c r="AB1152" t="s">
        <v>384</v>
      </c>
      <c r="AC1152" t="s">
        <v>41</v>
      </c>
      <c r="AD1152" t="s">
        <v>41</v>
      </c>
      <c r="AE1152" t="s">
        <v>41</v>
      </c>
      <c r="AF1152" t="s">
        <v>41</v>
      </c>
      <c r="AK1152"/>
    </row>
    <row r="1153" spans="1:38" x14ac:dyDescent="0.25">
      <c r="A1153" t="s">
        <v>44</v>
      </c>
      <c r="B1153">
        <v>46020.144583333335</v>
      </c>
      <c r="C1153">
        <v>93490</v>
      </c>
      <c r="D1153" t="s">
        <v>563</v>
      </c>
      <c r="E1153">
        <v>4507097</v>
      </c>
      <c r="F1153">
        <v>2104879</v>
      </c>
      <c r="G1153" t="s">
        <v>556</v>
      </c>
      <c r="H1153" t="s">
        <v>1436</v>
      </c>
      <c r="I1153">
        <v>6</v>
      </c>
      <c r="J1153" t="b">
        <v>1</v>
      </c>
      <c r="K1153">
        <v>1.2</v>
      </c>
      <c r="L1153">
        <v>2106199</v>
      </c>
      <c r="M1153" t="s">
        <v>558</v>
      </c>
      <c r="N1153">
        <v>5</v>
      </c>
      <c r="O1153">
        <v>5</v>
      </c>
      <c r="P1153"/>
      <c r="Q1153">
        <v>134971</v>
      </c>
      <c r="R1153">
        <v>1</v>
      </c>
      <c r="S1153" t="s">
        <v>40</v>
      </c>
      <c r="T1153">
        <v>261</v>
      </c>
      <c r="U1153">
        <v>147664</v>
      </c>
      <c r="V1153">
        <v>24</v>
      </c>
      <c r="W1153" t="s">
        <v>40</v>
      </c>
      <c r="X1153">
        <v>261</v>
      </c>
      <c r="Y1153" t="s">
        <v>377</v>
      </c>
      <c r="Z1153" t="s">
        <v>378</v>
      </c>
      <c r="AA1153" t="s">
        <v>379</v>
      </c>
      <c r="AB1153" t="s">
        <v>559</v>
      </c>
      <c r="AC1153" t="s">
        <v>41</v>
      </c>
      <c r="AD1153" t="s">
        <v>41</v>
      </c>
      <c r="AE1153" t="s">
        <v>41</v>
      </c>
      <c r="AF1153" t="s">
        <v>41</v>
      </c>
      <c r="AK1153"/>
    </row>
    <row r="1154" spans="1:38" x14ac:dyDescent="0.25">
      <c r="A1154" t="s">
        <v>37</v>
      </c>
      <c r="B1154">
        <v>46020.428530092591</v>
      </c>
      <c r="C1154">
        <v>93491</v>
      </c>
      <c r="D1154" t="s">
        <v>393</v>
      </c>
      <c r="E1154">
        <v>4507098</v>
      </c>
      <c r="F1154">
        <v>2104879</v>
      </c>
      <c r="G1154" t="s">
        <v>556</v>
      </c>
      <c r="H1154" t="s">
        <v>1437</v>
      </c>
      <c r="I1154">
        <v>10</v>
      </c>
      <c r="J1154" t="b">
        <v>1</v>
      </c>
      <c r="K1154">
        <v>2.5</v>
      </c>
      <c r="L1154">
        <v>2106199</v>
      </c>
      <c r="M1154" t="s">
        <v>558</v>
      </c>
      <c r="N1154">
        <v>4</v>
      </c>
      <c r="O1154">
        <v>4</v>
      </c>
      <c r="P1154"/>
      <c r="Q1154">
        <v>134971</v>
      </c>
      <c r="R1154">
        <v>1</v>
      </c>
      <c r="S1154" t="s">
        <v>40</v>
      </c>
      <c r="T1154">
        <v>261</v>
      </c>
      <c r="U1154">
        <v>147664</v>
      </c>
      <c r="V1154">
        <v>48</v>
      </c>
      <c r="W1154" t="s">
        <v>40</v>
      </c>
      <c r="X1154">
        <v>261</v>
      </c>
      <c r="Y1154" t="s">
        <v>377</v>
      </c>
      <c r="Z1154" t="s">
        <v>378</v>
      </c>
      <c r="AA1154" t="s">
        <v>379</v>
      </c>
      <c r="AB1154" t="s">
        <v>384</v>
      </c>
      <c r="AC1154" t="s">
        <v>41</v>
      </c>
      <c r="AD1154" t="s">
        <v>41</v>
      </c>
      <c r="AE1154" t="s">
        <v>41</v>
      </c>
      <c r="AF1154" t="s">
        <v>41</v>
      </c>
      <c r="AI1154">
        <v>134971</v>
      </c>
      <c r="AJ1154">
        <v>1</v>
      </c>
      <c r="AK1154" t="s">
        <v>40</v>
      </c>
      <c r="AL1154">
        <v>261</v>
      </c>
    </row>
    <row r="1155" spans="1:38" x14ac:dyDescent="0.25">
      <c r="A1155" t="s">
        <v>37</v>
      </c>
      <c r="B1155">
        <v>46020.430162037039</v>
      </c>
      <c r="C1155">
        <v>93491</v>
      </c>
      <c r="D1155" t="s">
        <v>393</v>
      </c>
      <c r="E1155">
        <v>4507099</v>
      </c>
      <c r="F1155">
        <v>2104879</v>
      </c>
      <c r="G1155" t="s">
        <v>556</v>
      </c>
      <c r="H1155" t="s">
        <v>1437</v>
      </c>
      <c r="I1155">
        <v>10</v>
      </c>
      <c r="J1155" t="b">
        <v>1</v>
      </c>
      <c r="K1155">
        <v>2</v>
      </c>
      <c r="L1155">
        <v>2106199</v>
      </c>
      <c r="M1155" t="s">
        <v>558</v>
      </c>
      <c r="N1155">
        <v>5</v>
      </c>
      <c r="O1155">
        <v>5</v>
      </c>
      <c r="P1155"/>
      <c r="Q1155">
        <v>134971</v>
      </c>
      <c r="R1155">
        <v>1</v>
      </c>
      <c r="S1155" t="s">
        <v>40</v>
      </c>
      <c r="T1155">
        <v>261</v>
      </c>
      <c r="U1155">
        <v>147664</v>
      </c>
      <c r="V1155">
        <v>24</v>
      </c>
      <c r="W1155" t="s">
        <v>40</v>
      </c>
      <c r="X1155">
        <v>261</v>
      </c>
      <c r="Y1155" t="s">
        <v>377</v>
      </c>
      <c r="Z1155" t="s">
        <v>378</v>
      </c>
      <c r="AA1155" t="s">
        <v>379</v>
      </c>
      <c r="AB1155" t="s">
        <v>559</v>
      </c>
      <c r="AC1155" t="s">
        <v>41</v>
      </c>
      <c r="AD1155" t="s">
        <v>41</v>
      </c>
      <c r="AE1155" t="s">
        <v>41</v>
      </c>
      <c r="AF1155" t="s">
        <v>41</v>
      </c>
      <c r="AK1155"/>
    </row>
    <row r="1156" spans="1:38" x14ac:dyDescent="0.25">
      <c r="A1156" t="s">
        <v>39</v>
      </c>
      <c r="B1156">
        <v>46020.460625</v>
      </c>
      <c r="C1156">
        <v>93470</v>
      </c>
      <c r="D1156" t="s">
        <v>393</v>
      </c>
      <c r="E1156">
        <v>4507376</v>
      </c>
      <c r="F1156">
        <v>2304174</v>
      </c>
      <c r="G1156" t="s">
        <v>1235</v>
      </c>
      <c r="H1156" t="s">
        <v>1438</v>
      </c>
      <c r="I1156">
        <v>7.5</v>
      </c>
      <c r="J1156" t="b">
        <v>1</v>
      </c>
      <c r="K1156">
        <v>0.46875</v>
      </c>
      <c r="L1156">
        <v>2304175</v>
      </c>
      <c r="M1156" t="s">
        <v>1236</v>
      </c>
      <c r="N1156">
        <v>16</v>
      </c>
      <c r="O1156">
        <v>16</v>
      </c>
      <c r="P1156"/>
      <c r="Q1156">
        <v>134906</v>
      </c>
      <c r="R1156">
        <v>1</v>
      </c>
      <c r="S1156" t="s">
        <v>40</v>
      </c>
      <c r="T1156">
        <v>261</v>
      </c>
      <c r="U1156">
        <v>147664</v>
      </c>
      <c r="V1156">
        <v>48</v>
      </c>
      <c r="W1156" t="s">
        <v>40</v>
      </c>
      <c r="X1156">
        <v>261</v>
      </c>
      <c r="Y1156" t="s">
        <v>377</v>
      </c>
      <c r="Z1156" t="s">
        <v>378</v>
      </c>
      <c r="AA1156" t="s">
        <v>384</v>
      </c>
      <c r="AB1156" t="s">
        <v>400</v>
      </c>
      <c r="AC1156" t="s">
        <v>41</v>
      </c>
      <c r="AD1156" t="s">
        <v>41</v>
      </c>
      <c r="AE1156" t="s">
        <v>41</v>
      </c>
      <c r="AF1156" t="s">
        <v>41</v>
      </c>
      <c r="AI1156">
        <v>134906</v>
      </c>
      <c r="AJ1156">
        <v>1</v>
      </c>
      <c r="AK1156" t="s">
        <v>40</v>
      </c>
      <c r="AL1156">
        <v>261</v>
      </c>
    </row>
    <row r="1157" spans="1:38" x14ac:dyDescent="0.25">
      <c r="A1157" t="s">
        <v>42</v>
      </c>
      <c r="B1157">
        <v>46020.574062500003</v>
      </c>
      <c r="C1157">
        <v>92621</v>
      </c>
      <c r="D1157" t="s">
        <v>393</v>
      </c>
      <c r="E1157">
        <v>4507267</v>
      </c>
      <c r="F1157">
        <v>2310135</v>
      </c>
      <c r="G1157" t="s">
        <v>1052</v>
      </c>
      <c r="H1157" t="s">
        <v>1380</v>
      </c>
      <c r="I1157">
        <v>64.3</v>
      </c>
      <c r="J1157" t="b">
        <v>1</v>
      </c>
      <c r="K1157">
        <v>0.16075</v>
      </c>
      <c r="L1157">
        <v>2310136</v>
      </c>
      <c r="M1157" t="s">
        <v>1053</v>
      </c>
      <c r="N1157">
        <v>400</v>
      </c>
      <c r="O1157">
        <v>400</v>
      </c>
      <c r="P1157"/>
      <c r="Q1157">
        <v>134908</v>
      </c>
      <c r="R1157">
        <v>1</v>
      </c>
      <c r="S1157" t="s">
        <v>40</v>
      </c>
      <c r="T1157">
        <v>261</v>
      </c>
      <c r="U1157">
        <v>147664</v>
      </c>
      <c r="V1157">
        <v>24</v>
      </c>
      <c r="W1157" t="s">
        <v>40</v>
      </c>
      <c r="X1157">
        <v>261</v>
      </c>
      <c r="Y1157" t="s">
        <v>377</v>
      </c>
      <c r="Z1157" t="s">
        <v>378</v>
      </c>
      <c r="AA1157" t="s">
        <v>379</v>
      </c>
      <c r="AB1157" t="s">
        <v>1079</v>
      </c>
      <c r="AC1157" t="s">
        <v>41</v>
      </c>
      <c r="AD1157" t="s">
        <v>41</v>
      </c>
      <c r="AE1157" t="s">
        <v>41</v>
      </c>
      <c r="AF1157" t="s">
        <v>41</v>
      </c>
      <c r="AK1157"/>
    </row>
    <row r="1158" spans="1:38" x14ac:dyDescent="0.25">
      <c r="A1158" t="s">
        <v>43</v>
      </c>
      <c r="B1158">
        <v>46020.651608796295</v>
      </c>
      <c r="C1158">
        <v>91347</v>
      </c>
      <c r="D1158" t="s">
        <v>393</v>
      </c>
      <c r="E1158">
        <v>4495752</v>
      </c>
      <c r="F1158">
        <v>113677</v>
      </c>
      <c r="G1158" t="s">
        <v>687</v>
      </c>
      <c r="H1158" t="s">
        <v>1412</v>
      </c>
      <c r="I1158">
        <v>14</v>
      </c>
      <c r="J1158" t="b">
        <v>1</v>
      </c>
      <c r="K1158">
        <v>1.75</v>
      </c>
      <c r="L1158">
        <v>113679</v>
      </c>
      <c r="M1158" t="s">
        <v>689</v>
      </c>
      <c r="N1158">
        <v>8</v>
      </c>
      <c r="O1158">
        <v>8</v>
      </c>
      <c r="P1158"/>
      <c r="Q1158">
        <v>134905</v>
      </c>
      <c r="R1158">
        <v>1</v>
      </c>
      <c r="S1158" t="s">
        <v>40</v>
      </c>
      <c r="T1158">
        <v>261</v>
      </c>
      <c r="U1158">
        <v>147664</v>
      </c>
      <c r="V1158">
        <v>48</v>
      </c>
      <c r="W1158" t="s">
        <v>40</v>
      </c>
      <c r="X1158">
        <v>261</v>
      </c>
      <c r="Y1158" t="s">
        <v>377</v>
      </c>
      <c r="Z1158" t="s">
        <v>378</v>
      </c>
      <c r="AA1158" t="s">
        <v>384</v>
      </c>
      <c r="AB1158" t="s">
        <v>384</v>
      </c>
      <c r="AC1158" t="s">
        <v>41</v>
      </c>
      <c r="AD1158" t="s">
        <v>41</v>
      </c>
      <c r="AE1158" t="s">
        <v>41</v>
      </c>
      <c r="AF1158" t="s">
        <v>41</v>
      </c>
      <c r="AI1158">
        <v>134905</v>
      </c>
      <c r="AJ1158">
        <v>1</v>
      </c>
      <c r="AK1158" t="s">
        <v>40</v>
      </c>
      <c r="AL1158">
        <v>261</v>
      </c>
    </row>
    <row r="1159" spans="1:38" x14ac:dyDescent="0.25">
      <c r="A1159" t="s">
        <v>38</v>
      </c>
      <c r="B1159">
        <v>46021.178657407407</v>
      </c>
      <c r="C1159">
        <v>91338</v>
      </c>
      <c r="D1159" t="s">
        <v>563</v>
      </c>
      <c r="E1159">
        <v>4506398</v>
      </c>
      <c r="F1159">
        <v>120138</v>
      </c>
      <c r="G1159" t="s">
        <v>911</v>
      </c>
      <c r="H1159" t="s">
        <v>1383</v>
      </c>
      <c r="I1159">
        <v>14</v>
      </c>
      <c r="J1159" t="b">
        <v>1</v>
      </c>
      <c r="K1159">
        <v>1.75</v>
      </c>
      <c r="L1159">
        <v>120139</v>
      </c>
      <c r="M1159" t="s">
        <v>1092</v>
      </c>
      <c r="N1159">
        <v>8</v>
      </c>
      <c r="O1159">
        <v>8</v>
      </c>
      <c r="P1159"/>
      <c r="Q1159">
        <v>134905</v>
      </c>
      <c r="R1159">
        <v>1</v>
      </c>
      <c r="S1159" t="s">
        <v>40</v>
      </c>
      <c r="T1159">
        <v>261</v>
      </c>
      <c r="U1159">
        <v>147664</v>
      </c>
      <c r="V1159">
        <v>48</v>
      </c>
      <c r="W1159" t="s">
        <v>40</v>
      </c>
      <c r="X1159">
        <v>261</v>
      </c>
      <c r="Y1159" t="s">
        <v>377</v>
      </c>
      <c r="Z1159" t="s">
        <v>378</v>
      </c>
      <c r="AA1159" t="s">
        <v>384</v>
      </c>
      <c r="AB1159" t="s">
        <v>384</v>
      </c>
      <c r="AC1159" t="s">
        <v>41</v>
      </c>
      <c r="AD1159" t="s">
        <v>41</v>
      </c>
      <c r="AE1159" t="s">
        <v>41</v>
      </c>
      <c r="AF1159" t="s">
        <v>41</v>
      </c>
      <c r="AI1159">
        <v>155687</v>
      </c>
      <c r="AJ1159">
        <v>1</v>
      </c>
      <c r="AK1159" t="s">
        <v>40</v>
      </c>
      <c r="AL1159">
        <v>261</v>
      </c>
    </row>
    <row r="1160" spans="1:38" x14ac:dyDescent="0.25">
      <c r="A1160" t="s">
        <v>39</v>
      </c>
      <c r="B1160">
        <v>46021.191180555557</v>
      </c>
      <c r="C1160">
        <v>93471</v>
      </c>
      <c r="D1160" t="s">
        <v>563</v>
      </c>
      <c r="E1160">
        <v>4507377</v>
      </c>
      <c r="F1160">
        <v>2304174</v>
      </c>
      <c r="G1160" t="s">
        <v>1235</v>
      </c>
      <c r="H1160" t="s">
        <v>1427</v>
      </c>
      <c r="I1160">
        <v>7.5</v>
      </c>
      <c r="J1160" t="b">
        <v>1</v>
      </c>
      <c r="K1160">
        <v>0.46875</v>
      </c>
      <c r="L1160">
        <v>2304175</v>
      </c>
      <c r="M1160" t="s">
        <v>1236</v>
      </c>
      <c r="N1160">
        <v>16</v>
      </c>
      <c r="O1160">
        <v>16</v>
      </c>
      <c r="P1160"/>
      <c r="Q1160">
        <v>134906</v>
      </c>
      <c r="R1160">
        <v>1</v>
      </c>
      <c r="S1160" t="s">
        <v>40</v>
      </c>
      <c r="T1160">
        <v>261</v>
      </c>
      <c r="U1160">
        <v>147664</v>
      </c>
      <c r="V1160">
        <v>24</v>
      </c>
      <c r="W1160" t="s">
        <v>40</v>
      </c>
      <c r="X1160">
        <v>261</v>
      </c>
      <c r="Y1160" t="s">
        <v>377</v>
      </c>
      <c r="Z1160" t="s">
        <v>378</v>
      </c>
      <c r="AA1160" t="s">
        <v>379</v>
      </c>
      <c r="AB1160" t="s">
        <v>1264</v>
      </c>
      <c r="AC1160" t="s">
        <v>41</v>
      </c>
      <c r="AD1160" t="s">
        <v>41</v>
      </c>
      <c r="AE1160" t="s">
        <v>41</v>
      </c>
      <c r="AF1160" t="s">
        <v>41</v>
      </c>
      <c r="AK1160"/>
    </row>
    <row r="1161" spans="1:38" x14ac:dyDescent="0.25">
      <c r="A1161" t="s">
        <v>37</v>
      </c>
      <c r="B1161">
        <v>46021.468692129631</v>
      </c>
      <c r="C1161">
        <v>93492</v>
      </c>
      <c r="D1161" t="s">
        <v>393</v>
      </c>
      <c r="E1161">
        <v>4507114</v>
      </c>
      <c r="F1161">
        <v>2104880</v>
      </c>
      <c r="G1161" t="s">
        <v>577</v>
      </c>
      <c r="H1161" t="s">
        <v>1354</v>
      </c>
      <c r="I1161">
        <v>10</v>
      </c>
      <c r="J1161" t="b">
        <v>1</v>
      </c>
      <c r="K1161">
        <v>2.5</v>
      </c>
      <c r="L1161">
        <v>2106200</v>
      </c>
      <c r="M1161" t="s">
        <v>579</v>
      </c>
      <c r="N1161">
        <v>4</v>
      </c>
      <c r="O1161">
        <v>4</v>
      </c>
      <c r="P1161"/>
      <c r="Q1161">
        <v>143538</v>
      </c>
      <c r="R1161">
        <v>1</v>
      </c>
      <c r="S1161" t="s">
        <v>40</v>
      </c>
      <c r="T1161">
        <v>261</v>
      </c>
      <c r="U1161">
        <v>147664</v>
      </c>
      <c r="V1161">
        <v>24</v>
      </c>
      <c r="W1161" t="s">
        <v>40</v>
      </c>
      <c r="X1161">
        <v>261</v>
      </c>
      <c r="Y1161" t="s">
        <v>377</v>
      </c>
      <c r="Z1161" t="s">
        <v>378</v>
      </c>
      <c r="AA1161" t="s">
        <v>379</v>
      </c>
      <c r="AB1161" t="s">
        <v>384</v>
      </c>
      <c r="AC1161" t="s">
        <v>41</v>
      </c>
      <c r="AD1161" t="s">
        <v>41</v>
      </c>
      <c r="AE1161" t="s">
        <v>41</v>
      </c>
      <c r="AF1161" t="s">
        <v>41</v>
      </c>
      <c r="AK1161"/>
    </row>
    <row r="1162" spans="1:38" x14ac:dyDescent="0.25">
      <c r="A1162" t="s">
        <v>37</v>
      </c>
      <c r="B1162">
        <v>46021.47</v>
      </c>
      <c r="C1162">
        <v>93492</v>
      </c>
      <c r="D1162" t="s">
        <v>393</v>
      </c>
      <c r="E1162">
        <v>4507115</v>
      </c>
      <c r="F1162">
        <v>2104880</v>
      </c>
      <c r="G1162" t="s">
        <v>577</v>
      </c>
      <c r="H1162" t="s">
        <v>1354</v>
      </c>
      <c r="I1162">
        <v>10</v>
      </c>
      <c r="J1162" t="b">
        <v>1</v>
      </c>
      <c r="K1162">
        <v>2</v>
      </c>
      <c r="L1162">
        <v>2106200</v>
      </c>
      <c r="M1162" t="s">
        <v>579</v>
      </c>
      <c r="N1162">
        <v>5</v>
      </c>
      <c r="O1162">
        <v>5</v>
      </c>
      <c r="P1162"/>
      <c r="Q1162">
        <v>134906</v>
      </c>
      <c r="R1162">
        <v>1</v>
      </c>
      <c r="S1162" t="s">
        <v>40</v>
      </c>
      <c r="T1162">
        <v>261</v>
      </c>
      <c r="U1162">
        <v>147664</v>
      </c>
      <c r="V1162">
        <v>24</v>
      </c>
      <c r="W1162" t="s">
        <v>40</v>
      </c>
      <c r="X1162">
        <v>261</v>
      </c>
      <c r="Y1162" t="s">
        <v>377</v>
      </c>
      <c r="Z1162" t="s">
        <v>378</v>
      </c>
      <c r="AA1162" t="s">
        <v>379</v>
      </c>
      <c r="AB1162" t="s">
        <v>559</v>
      </c>
      <c r="AC1162" t="s">
        <v>41</v>
      </c>
      <c r="AD1162" t="s">
        <v>41</v>
      </c>
      <c r="AE1162" t="s">
        <v>41</v>
      </c>
      <c r="AF1162" t="s">
        <v>41</v>
      </c>
      <c r="AK1162"/>
    </row>
    <row r="1163" spans="1:38" x14ac:dyDescent="0.25">
      <c r="A1163" t="s">
        <v>39</v>
      </c>
      <c r="B1163">
        <v>46021.89340277778</v>
      </c>
      <c r="C1163">
        <v>93472</v>
      </c>
      <c r="D1163" t="s">
        <v>745</v>
      </c>
      <c r="E1163">
        <v>4507378</v>
      </c>
      <c r="F1163">
        <v>2304174</v>
      </c>
      <c r="G1163" t="s">
        <v>1235</v>
      </c>
      <c r="H1163" t="s">
        <v>1439</v>
      </c>
      <c r="I1163">
        <v>7.5</v>
      </c>
      <c r="J1163" t="b">
        <v>1</v>
      </c>
      <c r="K1163">
        <v>0.46875</v>
      </c>
      <c r="L1163">
        <v>2304175</v>
      </c>
      <c r="M1163" t="s">
        <v>1236</v>
      </c>
      <c r="N1163">
        <v>16</v>
      </c>
      <c r="O1163">
        <v>16</v>
      </c>
      <c r="P1163"/>
      <c r="Q1163">
        <v>134906</v>
      </c>
      <c r="R1163">
        <v>1</v>
      </c>
      <c r="S1163" t="s">
        <v>40</v>
      </c>
      <c r="T1163">
        <v>261</v>
      </c>
      <c r="U1163">
        <v>147664</v>
      </c>
      <c r="V1163">
        <v>24</v>
      </c>
      <c r="W1163" t="s">
        <v>40</v>
      </c>
      <c r="X1163">
        <v>261</v>
      </c>
      <c r="Y1163" t="s">
        <v>377</v>
      </c>
      <c r="Z1163" t="s">
        <v>378</v>
      </c>
      <c r="AA1163" t="s">
        <v>379</v>
      </c>
      <c r="AB1163" t="s">
        <v>1264</v>
      </c>
      <c r="AC1163" t="s">
        <v>41</v>
      </c>
      <c r="AD1163" t="s">
        <v>41</v>
      </c>
      <c r="AE1163" t="s">
        <v>41</v>
      </c>
      <c r="AF1163" t="s">
        <v>41</v>
      </c>
      <c r="AK1163"/>
    </row>
    <row r="1164" spans="1:38" x14ac:dyDescent="0.25">
      <c r="A1164" t="s">
        <v>45</v>
      </c>
      <c r="B1164">
        <v>46021.895266203705</v>
      </c>
      <c r="C1164">
        <v>92622</v>
      </c>
      <c r="D1164" t="s">
        <v>745</v>
      </c>
      <c r="E1164">
        <v>4507268</v>
      </c>
      <c r="F1164">
        <v>2310135</v>
      </c>
      <c r="G1164" t="s">
        <v>1052</v>
      </c>
      <c r="H1164" t="s">
        <v>1391</v>
      </c>
      <c r="I1164">
        <v>64.3</v>
      </c>
      <c r="J1164" t="b">
        <v>1</v>
      </c>
      <c r="K1164">
        <v>0.16075</v>
      </c>
      <c r="L1164">
        <v>2310136</v>
      </c>
      <c r="M1164" t="s">
        <v>1053</v>
      </c>
      <c r="N1164">
        <v>400</v>
      </c>
      <c r="O1164">
        <v>400</v>
      </c>
      <c r="P1164"/>
      <c r="Q1164">
        <v>134974</v>
      </c>
      <c r="R1164">
        <v>1</v>
      </c>
      <c r="S1164" t="s">
        <v>40</v>
      </c>
      <c r="T1164">
        <v>261</v>
      </c>
      <c r="W1164"/>
      <c r="Y1164" t="s">
        <v>377</v>
      </c>
      <c r="Z1164" t="s">
        <v>378</v>
      </c>
      <c r="AA1164" t="s">
        <v>379</v>
      </c>
      <c r="AB1164" t="s">
        <v>1079</v>
      </c>
      <c r="AC1164" t="s">
        <v>41</v>
      </c>
      <c r="AD1164" t="s">
        <v>41</v>
      </c>
      <c r="AE1164" t="s">
        <v>41</v>
      </c>
      <c r="AF1164" t="s">
        <v>41</v>
      </c>
      <c r="AK1164"/>
    </row>
    <row r="1165" spans="1:38" x14ac:dyDescent="0.25">
      <c r="A1165" t="s">
        <v>37</v>
      </c>
      <c r="B1165">
        <v>46021.898078703707</v>
      </c>
      <c r="C1165">
        <v>93493</v>
      </c>
      <c r="D1165" t="s">
        <v>745</v>
      </c>
      <c r="E1165">
        <v>4507116</v>
      </c>
      <c r="F1165">
        <v>2104880</v>
      </c>
      <c r="G1165" t="s">
        <v>577</v>
      </c>
      <c r="H1165" t="s">
        <v>1438</v>
      </c>
      <c r="I1165">
        <v>5</v>
      </c>
      <c r="J1165" t="b">
        <v>1</v>
      </c>
      <c r="K1165">
        <v>1.25</v>
      </c>
      <c r="L1165">
        <v>2106200</v>
      </c>
      <c r="M1165" t="s">
        <v>579</v>
      </c>
      <c r="N1165">
        <v>4</v>
      </c>
      <c r="O1165">
        <v>4</v>
      </c>
      <c r="P1165"/>
      <c r="Q1165">
        <v>134906</v>
      </c>
      <c r="R1165">
        <v>1</v>
      </c>
      <c r="S1165" t="s">
        <v>40</v>
      </c>
      <c r="T1165">
        <v>261</v>
      </c>
      <c r="U1165">
        <v>147664</v>
      </c>
      <c r="V1165">
        <v>24</v>
      </c>
      <c r="W1165" t="s">
        <v>40</v>
      </c>
      <c r="X1165">
        <v>261</v>
      </c>
      <c r="Y1165" t="s">
        <v>377</v>
      </c>
      <c r="Z1165" t="s">
        <v>378</v>
      </c>
      <c r="AA1165" t="s">
        <v>379</v>
      </c>
      <c r="AB1165" t="s">
        <v>384</v>
      </c>
      <c r="AC1165" t="s">
        <v>41</v>
      </c>
      <c r="AD1165" t="s">
        <v>41</v>
      </c>
      <c r="AE1165" t="s">
        <v>41</v>
      </c>
      <c r="AF1165" t="s">
        <v>41</v>
      </c>
      <c r="AK1165"/>
    </row>
    <row r="1166" spans="1:38" x14ac:dyDescent="0.25">
      <c r="A1166" t="s">
        <v>37</v>
      </c>
      <c r="B1166">
        <v>46021.898900462962</v>
      </c>
      <c r="C1166">
        <v>93493</v>
      </c>
      <c r="D1166" t="s">
        <v>745</v>
      </c>
      <c r="E1166">
        <v>4507117</v>
      </c>
      <c r="F1166">
        <v>2104880</v>
      </c>
      <c r="G1166" t="s">
        <v>577</v>
      </c>
      <c r="H1166" t="s">
        <v>1438</v>
      </c>
      <c r="I1166">
        <v>5</v>
      </c>
      <c r="J1166" t="b">
        <v>1</v>
      </c>
      <c r="K1166">
        <v>1</v>
      </c>
      <c r="L1166">
        <v>2106200</v>
      </c>
      <c r="M1166" t="s">
        <v>579</v>
      </c>
      <c r="N1166">
        <v>5</v>
      </c>
      <c r="O1166">
        <v>5</v>
      </c>
      <c r="P1166"/>
      <c r="Q1166">
        <v>134906</v>
      </c>
      <c r="R1166">
        <v>1</v>
      </c>
      <c r="S1166" t="s">
        <v>40</v>
      </c>
      <c r="T1166">
        <v>261</v>
      </c>
      <c r="U1166">
        <v>147664</v>
      </c>
      <c r="V1166">
        <v>24</v>
      </c>
      <c r="W1166" t="s">
        <v>40</v>
      </c>
      <c r="X1166">
        <v>261</v>
      </c>
      <c r="Y1166" t="s">
        <v>377</v>
      </c>
      <c r="Z1166" t="s">
        <v>378</v>
      </c>
      <c r="AA1166" t="s">
        <v>379</v>
      </c>
      <c r="AB1166" t="s">
        <v>559</v>
      </c>
      <c r="AC1166" t="s">
        <v>41</v>
      </c>
      <c r="AD1166" t="s">
        <v>41</v>
      </c>
      <c r="AE1166" t="s">
        <v>41</v>
      </c>
      <c r="AF1166" t="s">
        <v>41</v>
      </c>
      <c r="AK1166"/>
    </row>
    <row r="1167" spans="1:38" x14ac:dyDescent="0.25">
      <c r="A1167" t="s">
        <v>37</v>
      </c>
      <c r="B1167">
        <v>46022.555833333332</v>
      </c>
      <c r="C1167">
        <v>93473</v>
      </c>
      <c r="D1167" t="s">
        <v>373</v>
      </c>
      <c r="E1167">
        <v>4507379</v>
      </c>
      <c r="F1167">
        <v>2304174</v>
      </c>
      <c r="G1167" t="s">
        <v>1235</v>
      </c>
      <c r="H1167" t="s">
        <v>1440</v>
      </c>
      <c r="I1167">
        <v>7.5</v>
      </c>
      <c r="J1167" t="b">
        <v>1</v>
      </c>
      <c r="K1167">
        <v>0.46875</v>
      </c>
      <c r="L1167">
        <v>2304175</v>
      </c>
      <c r="M1167" t="s">
        <v>1236</v>
      </c>
      <c r="N1167">
        <v>16</v>
      </c>
      <c r="O1167">
        <v>16</v>
      </c>
      <c r="P1167"/>
      <c r="Q1167">
        <v>134906</v>
      </c>
      <c r="R1167">
        <v>1</v>
      </c>
      <c r="S1167" t="s">
        <v>40</v>
      </c>
      <c r="T1167">
        <v>261</v>
      </c>
      <c r="U1167">
        <v>147664</v>
      </c>
      <c r="V1167">
        <v>24</v>
      </c>
      <c r="W1167" t="s">
        <v>40</v>
      </c>
      <c r="X1167">
        <v>261</v>
      </c>
      <c r="Y1167" t="s">
        <v>377</v>
      </c>
      <c r="Z1167" t="s">
        <v>378</v>
      </c>
      <c r="AA1167" t="s">
        <v>379</v>
      </c>
      <c r="AB1167" t="s">
        <v>1264</v>
      </c>
      <c r="AC1167" t="s">
        <v>41</v>
      </c>
      <c r="AD1167" t="s">
        <v>41</v>
      </c>
      <c r="AE1167" t="s">
        <v>41</v>
      </c>
      <c r="AF1167" t="s">
        <v>41</v>
      </c>
      <c r="AK1167"/>
    </row>
    <row r="1168" spans="1:38" x14ac:dyDescent="0.25">
      <c r="A1168" t="s">
        <v>39</v>
      </c>
      <c r="B1168">
        <v>46022.608043981483</v>
      </c>
      <c r="C1168">
        <v>93494</v>
      </c>
      <c r="D1168" t="s">
        <v>373</v>
      </c>
      <c r="E1168">
        <v>4507118</v>
      </c>
      <c r="F1168">
        <v>2104880</v>
      </c>
      <c r="G1168" t="s">
        <v>577</v>
      </c>
      <c r="H1168" t="s">
        <v>1441</v>
      </c>
      <c r="I1168">
        <v>5</v>
      </c>
      <c r="J1168" t="b">
        <v>1</v>
      </c>
      <c r="K1168">
        <v>1.25</v>
      </c>
      <c r="L1168">
        <v>2106200</v>
      </c>
      <c r="M1168" t="s">
        <v>579</v>
      </c>
      <c r="N1168">
        <v>4</v>
      </c>
      <c r="O1168">
        <v>4</v>
      </c>
      <c r="P1168"/>
      <c r="Q1168">
        <v>134905</v>
      </c>
      <c r="R1168">
        <v>1</v>
      </c>
      <c r="S1168" t="s">
        <v>40</v>
      </c>
      <c r="T1168">
        <v>261</v>
      </c>
      <c r="U1168">
        <v>147664</v>
      </c>
      <c r="V1168">
        <v>24</v>
      </c>
      <c r="W1168" t="s">
        <v>40</v>
      </c>
      <c r="X1168">
        <v>261</v>
      </c>
      <c r="Y1168" t="s">
        <v>377</v>
      </c>
      <c r="Z1168" t="s">
        <v>378</v>
      </c>
      <c r="AA1168" t="s">
        <v>379</v>
      </c>
      <c r="AB1168" t="s">
        <v>384</v>
      </c>
      <c r="AC1168" t="s">
        <v>41</v>
      </c>
      <c r="AD1168" t="s">
        <v>41</v>
      </c>
      <c r="AE1168" t="s">
        <v>41</v>
      </c>
      <c r="AF1168" t="s">
        <v>41</v>
      </c>
      <c r="AK1168"/>
    </row>
    <row r="1169" spans="1:37" x14ac:dyDescent="0.25">
      <c r="A1169" t="s">
        <v>39</v>
      </c>
      <c r="B1169">
        <v>46022.609189814815</v>
      </c>
      <c r="C1169">
        <v>93494</v>
      </c>
      <c r="D1169" t="s">
        <v>373</v>
      </c>
      <c r="E1169">
        <v>4507119</v>
      </c>
      <c r="F1169">
        <v>2104880</v>
      </c>
      <c r="G1169" t="s">
        <v>577</v>
      </c>
      <c r="H1169" t="s">
        <v>1441</v>
      </c>
      <c r="I1169">
        <v>5</v>
      </c>
      <c r="J1169" t="b">
        <v>1</v>
      </c>
      <c r="K1169">
        <v>1</v>
      </c>
      <c r="L1169">
        <v>2106200</v>
      </c>
      <c r="M1169" t="s">
        <v>579</v>
      </c>
      <c r="N1169">
        <v>5</v>
      </c>
      <c r="O1169">
        <v>5</v>
      </c>
      <c r="P1169"/>
      <c r="Q1169">
        <v>134906</v>
      </c>
      <c r="R1169">
        <v>1</v>
      </c>
      <c r="S1169" t="s">
        <v>40</v>
      </c>
      <c r="T1169">
        <v>261</v>
      </c>
      <c r="U1169">
        <v>147664</v>
      </c>
      <c r="V1169">
        <v>24</v>
      </c>
      <c r="W1169" t="s">
        <v>40</v>
      </c>
      <c r="X1169">
        <v>261</v>
      </c>
      <c r="Y1169" t="s">
        <v>377</v>
      </c>
      <c r="Z1169" t="s">
        <v>378</v>
      </c>
      <c r="AA1169" t="s">
        <v>379</v>
      </c>
      <c r="AB1169" t="s">
        <v>559</v>
      </c>
      <c r="AC1169" t="s">
        <v>41</v>
      </c>
      <c r="AD1169" t="s">
        <v>41</v>
      </c>
      <c r="AE1169" t="s">
        <v>41</v>
      </c>
      <c r="AF1169" t="s">
        <v>41</v>
      </c>
      <c r="AK1169"/>
    </row>
    <row r="1170" spans="1:37" x14ac:dyDescent="0.25">
      <c r="A1170" t="s">
        <v>47</v>
      </c>
      <c r="B1170">
        <v>46023.069976851853</v>
      </c>
      <c r="C1170">
        <v>92624</v>
      </c>
      <c r="D1170" t="s">
        <v>866</v>
      </c>
      <c r="E1170">
        <v>4507269</v>
      </c>
      <c r="F1170">
        <v>2310135</v>
      </c>
      <c r="G1170" t="s">
        <v>1052</v>
      </c>
      <c r="H1170" t="s">
        <v>1412</v>
      </c>
      <c r="I1170">
        <v>64</v>
      </c>
      <c r="J1170" t="b">
        <v>1</v>
      </c>
      <c r="K1170">
        <v>0.14814814814814814</v>
      </c>
      <c r="L1170">
        <v>2310136</v>
      </c>
      <c r="M1170" t="s">
        <v>1053</v>
      </c>
      <c r="N1170">
        <v>432</v>
      </c>
      <c r="O1170">
        <v>400</v>
      </c>
      <c r="P1170"/>
      <c r="Q1170">
        <v>134974</v>
      </c>
      <c r="R1170">
        <v>1</v>
      </c>
      <c r="S1170" t="s">
        <v>40</v>
      </c>
      <c r="T1170">
        <v>261</v>
      </c>
      <c r="W1170"/>
      <c r="Y1170" t="s">
        <v>377</v>
      </c>
      <c r="Z1170" t="s">
        <v>378</v>
      </c>
      <c r="AA1170" t="s">
        <v>379</v>
      </c>
      <c r="AB1170" t="s">
        <v>1442</v>
      </c>
      <c r="AC1170" t="s">
        <v>41</v>
      </c>
      <c r="AD1170" t="s">
        <v>41</v>
      </c>
      <c r="AE1170" t="s">
        <v>41</v>
      </c>
      <c r="AF1170" t="s">
        <v>41</v>
      </c>
      <c r="AK1170"/>
    </row>
    <row r="1171" spans="1:37" x14ac:dyDescent="0.25">
      <c r="A1171" t="s">
        <v>39</v>
      </c>
      <c r="B1171">
        <v>46023.213587962964</v>
      </c>
      <c r="C1171">
        <v>93474</v>
      </c>
      <c r="D1171" t="s">
        <v>866</v>
      </c>
      <c r="E1171">
        <v>4507381</v>
      </c>
      <c r="F1171">
        <v>2304174</v>
      </c>
      <c r="G1171" t="s">
        <v>1235</v>
      </c>
      <c r="H1171" t="s">
        <v>1443</v>
      </c>
      <c r="I1171">
        <v>4</v>
      </c>
      <c r="J1171" t="b">
        <v>1</v>
      </c>
      <c r="K1171">
        <v>0.33333333333333331</v>
      </c>
      <c r="L1171">
        <v>2304175</v>
      </c>
      <c r="M1171" t="s">
        <v>1236</v>
      </c>
      <c r="N1171">
        <v>12</v>
      </c>
      <c r="O1171">
        <v>12</v>
      </c>
      <c r="P1171"/>
      <c r="Q1171">
        <v>134906</v>
      </c>
      <c r="R1171">
        <v>1</v>
      </c>
      <c r="S1171" t="s">
        <v>40</v>
      </c>
      <c r="T1171">
        <v>261</v>
      </c>
      <c r="U1171">
        <v>147664</v>
      </c>
      <c r="V1171">
        <v>24</v>
      </c>
      <c r="W1171" t="s">
        <v>40</v>
      </c>
      <c r="X1171">
        <v>261</v>
      </c>
      <c r="Y1171" t="s">
        <v>377</v>
      </c>
      <c r="Z1171" t="s">
        <v>378</v>
      </c>
      <c r="AA1171" t="s">
        <v>379</v>
      </c>
      <c r="AB1171" t="s">
        <v>409</v>
      </c>
      <c r="AC1171" t="s">
        <v>41</v>
      </c>
      <c r="AD1171" t="s">
        <v>41</v>
      </c>
      <c r="AE1171" t="s">
        <v>41</v>
      </c>
      <c r="AF1171" t="s">
        <v>41</v>
      </c>
      <c r="AK1171"/>
    </row>
    <row r="1172" spans="1:37" x14ac:dyDescent="0.25">
      <c r="A1172" t="s">
        <v>39</v>
      </c>
      <c r="B1172">
        <v>46023.214756944442</v>
      </c>
      <c r="C1172">
        <v>93474</v>
      </c>
      <c r="D1172" t="s">
        <v>866</v>
      </c>
      <c r="E1172">
        <v>4507380</v>
      </c>
      <c r="F1172">
        <v>2304174</v>
      </c>
      <c r="G1172" t="s">
        <v>1235</v>
      </c>
      <c r="H1172" t="s">
        <v>1443</v>
      </c>
      <c r="I1172">
        <v>3.5</v>
      </c>
      <c r="J1172" t="b">
        <v>1</v>
      </c>
      <c r="K1172">
        <v>0.875</v>
      </c>
      <c r="L1172">
        <v>2304175</v>
      </c>
      <c r="M1172" t="s">
        <v>1236</v>
      </c>
      <c r="N1172">
        <v>4</v>
      </c>
      <c r="O1172">
        <v>4</v>
      </c>
      <c r="P1172"/>
      <c r="Q1172">
        <v>134906</v>
      </c>
      <c r="R1172">
        <v>1</v>
      </c>
      <c r="S1172" t="s">
        <v>40</v>
      </c>
      <c r="T1172">
        <v>261</v>
      </c>
      <c r="U1172">
        <v>147664</v>
      </c>
      <c r="V1172">
        <v>24</v>
      </c>
      <c r="W1172" t="s">
        <v>40</v>
      </c>
      <c r="X1172">
        <v>261</v>
      </c>
      <c r="Y1172" t="s">
        <v>377</v>
      </c>
      <c r="Z1172" t="s">
        <v>378</v>
      </c>
      <c r="AA1172" t="s">
        <v>379</v>
      </c>
      <c r="AB1172" t="s">
        <v>384</v>
      </c>
      <c r="AC1172" t="s">
        <v>41</v>
      </c>
      <c r="AD1172" t="s">
        <v>41</v>
      </c>
      <c r="AE1172" t="s">
        <v>41</v>
      </c>
      <c r="AF1172" t="s">
        <v>41</v>
      </c>
      <c r="AK1172"/>
    </row>
    <row r="1173" spans="1:37" x14ac:dyDescent="0.25">
      <c r="A1173" t="s">
        <v>38</v>
      </c>
      <c r="B1173">
        <v>46023.609027777777</v>
      </c>
      <c r="C1173">
        <v>93495</v>
      </c>
      <c r="D1173" t="s">
        <v>373</v>
      </c>
      <c r="E1173">
        <v>4507080</v>
      </c>
      <c r="F1173">
        <v>2104881</v>
      </c>
      <c r="G1173" t="s">
        <v>600</v>
      </c>
      <c r="H1173" t="s">
        <v>1444</v>
      </c>
      <c r="I1173">
        <v>5</v>
      </c>
      <c r="J1173" t="b">
        <v>1</v>
      </c>
      <c r="K1173">
        <v>1.25</v>
      </c>
      <c r="L1173">
        <v>2106201</v>
      </c>
      <c r="M1173" t="s">
        <v>602</v>
      </c>
      <c r="N1173">
        <v>4</v>
      </c>
      <c r="O1173">
        <v>4</v>
      </c>
      <c r="P1173"/>
      <c r="Q1173">
        <v>134905</v>
      </c>
      <c r="R1173">
        <v>1</v>
      </c>
      <c r="S1173" t="s">
        <v>40</v>
      </c>
      <c r="T1173">
        <v>261</v>
      </c>
      <c r="U1173">
        <v>147664</v>
      </c>
      <c r="V1173">
        <v>24</v>
      </c>
      <c r="W1173" t="s">
        <v>40</v>
      </c>
      <c r="X1173">
        <v>261</v>
      </c>
      <c r="Y1173" t="s">
        <v>377</v>
      </c>
      <c r="Z1173" t="s">
        <v>378</v>
      </c>
      <c r="AA1173" t="s">
        <v>379</v>
      </c>
      <c r="AB1173" t="s">
        <v>384</v>
      </c>
      <c r="AC1173" t="s">
        <v>41</v>
      </c>
      <c r="AD1173" t="s">
        <v>41</v>
      </c>
      <c r="AE1173" t="s">
        <v>41</v>
      </c>
      <c r="AF1173" t="s">
        <v>41</v>
      </c>
      <c r="AK1173"/>
    </row>
    <row r="1174" spans="1:37" x14ac:dyDescent="0.25">
      <c r="A1174" t="s">
        <v>38</v>
      </c>
      <c r="B1174">
        <v>46023.609618055554</v>
      </c>
      <c r="C1174">
        <v>93495</v>
      </c>
      <c r="D1174" t="s">
        <v>373</v>
      </c>
      <c r="E1174">
        <v>4507081</v>
      </c>
      <c r="F1174">
        <v>2104881</v>
      </c>
      <c r="G1174" t="s">
        <v>600</v>
      </c>
      <c r="H1174" t="s">
        <v>1444</v>
      </c>
      <c r="I1174">
        <v>5</v>
      </c>
      <c r="J1174" t="b">
        <v>1</v>
      </c>
      <c r="K1174">
        <v>1</v>
      </c>
      <c r="L1174">
        <v>2106201</v>
      </c>
      <c r="M1174" t="s">
        <v>602</v>
      </c>
      <c r="N1174">
        <v>5</v>
      </c>
      <c r="O1174">
        <v>5</v>
      </c>
      <c r="P1174"/>
      <c r="Q1174">
        <v>134905</v>
      </c>
      <c r="R1174">
        <v>1</v>
      </c>
      <c r="S1174" t="s">
        <v>40</v>
      </c>
      <c r="T1174">
        <v>261</v>
      </c>
      <c r="U1174">
        <v>147664</v>
      </c>
      <c r="V1174">
        <v>24</v>
      </c>
      <c r="W1174" t="s">
        <v>40</v>
      </c>
      <c r="X1174">
        <v>261</v>
      </c>
      <c r="Y1174" t="s">
        <v>377</v>
      </c>
      <c r="Z1174" t="s">
        <v>378</v>
      </c>
      <c r="AA1174" t="s">
        <v>379</v>
      </c>
      <c r="AB1174" t="s">
        <v>559</v>
      </c>
      <c r="AC1174" t="s">
        <v>41</v>
      </c>
      <c r="AD1174" t="s">
        <v>41</v>
      </c>
      <c r="AE1174" t="s">
        <v>41</v>
      </c>
      <c r="AF1174" t="s">
        <v>41</v>
      </c>
      <c r="AK1174"/>
    </row>
    <row r="1175" spans="1:37" x14ac:dyDescent="0.25">
      <c r="A1175" t="s">
        <v>37</v>
      </c>
      <c r="B1175">
        <v>46023.690289351849</v>
      </c>
      <c r="C1175">
        <v>93475</v>
      </c>
      <c r="D1175" t="s">
        <v>373</v>
      </c>
      <c r="E1175">
        <v>4507380</v>
      </c>
      <c r="F1175">
        <v>2304174</v>
      </c>
      <c r="G1175" t="s">
        <v>1235</v>
      </c>
      <c r="H1175" t="s">
        <v>1445</v>
      </c>
      <c r="I1175">
        <v>3.75</v>
      </c>
      <c r="J1175" t="b">
        <v>1</v>
      </c>
      <c r="K1175">
        <v>0.9375</v>
      </c>
      <c r="L1175">
        <v>2304175</v>
      </c>
      <c r="M1175" t="s">
        <v>1236</v>
      </c>
      <c r="N1175">
        <v>4</v>
      </c>
      <c r="O1175">
        <v>4</v>
      </c>
      <c r="P1175"/>
      <c r="Q1175">
        <v>134905</v>
      </c>
      <c r="R1175">
        <v>1</v>
      </c>
      <c r="S1175" t="s">
        <v>40</v>
      </c>
      <c r="T1175">
        <v>261</v>
      </c>
      <c r="U1175">
        <v>147664</v>
      </c>
      <c r="V1175">
        <v>24</v>
      </c>
      <c r="W1175" t="s">
        <v>40</v>
      </c>
      <c r="X1175">
        <v>261</v>
      </c>
      <c r="Y1175" t="s">
        <v>377</v>
      </c>
      <c r="Z1175" t="s">
        <v>378</v>
      </c>
      <c r="AA1175" t="s">
        <v>379</v>
      </c>
      <c r="AB1175" t="s">
        <v>384</v>
      </c>
      <c r="AC1175" t="s">
        <v>41</v>
      </c>
      <c r="AD1175" t="s">
        <v>41</v>
      </c>
      <c r="AE1175" t="s">
        <v>41</v>
      </c>
      <c r="AF1175" t="s">
        <v>41</v>
      </c>
      <c r="AK1175"/>
    </row>
    <row r="1176" spans="1:37" x14ac:dyDescent="0.25">
      <c r="A1176" t="s">
        <v>37</v>
      </c>
      <c r="B1176">
        <v>46023.690925925926</v>
      </c>
      <c r="C1176">
        <v>93475</v>
      </c>
      <c r="D1176" t="s">
        <v>373</v>
      </c>
      <c r="E1176">
        <v>4507381</v>
      </c>
      <c r="F1176">
        <v>2304174</v>
      </c>
      <c r="G1176" t="s">
        <v>1235</v>
      </c>
      <c r="H1176" t="s">
        <v>1445</v>
      </c>
      <c r="I1176">
        <v>3.75</v>
      </c>
      <c r="J1176" t="b">
        <v>1</v>
      </c>
      <c r="K1176">
        <v>0.3125</v>
      </c>
      <c r="L1176">
        <v>2304175</v>
      </c>
      <c r="M1176" t="s">
        <v>1236</v>
      </c>
      <c r="N1176">
        <v>12</v>
      </c>
      <c r="O1176">
        <v>12</v>
      </c>
      <c r="P1176"/>
      <c r="Q1176">
        <v>134905</v>
      </c>
      <c r="R1176">
        <v>1</v>
      </c>
      <c r="S1176" t="s">
        <v>40</v>
      </c>
      <c r="T1176">
        <v>261</v>
      </c>
      <c r="U1176">
        <v>147664</v>
      </c>
      <c r="V1176">
        <v>24</v>
      </c>
      <c r="W1176" t="s">
        <v>40</v>
      </c>
      <c r="X1176">
        <v>261</v>
      </c>
      <c r="Y1176" t="s">
        <v>377</v>
      </c>
      <c r="Z1176" t="s">
        <v>378</v>
      </c>
      <c r="AA1176" t="s">
        <v>379</v>
      </c>
      <c r="AB1176" t="s">
        <v>409</v>
      </c>
      <c r="AC1176" t="s">
        <v>41</v>
      </c>
      <c r="AD1176" t="s">
        <v>41</v>
      </c>
      <c r="AE1176" t="s">
        <v>41</v>
      </c>
      <c r="AF1176" t="s">
        <v>41</v>
      </c>
      <c r="AK1176"/>
    </row>
    <row r="1177" spans="1:37" x14ac:dyDescent="0.25">
      <c r="A1177" t="s">
        <v>42</v>
      </c>
      <c r="B1177">
        <v>46023.808854166666</v>
      </c>
      <c r="C1177">
        <v>92625</v>
      </c>
      <c r="D1177" t="s">
        <v>531</v>
      </c>
      <c r="E1177">
        <v>4507270</v>
      </c>
      <c r="F1177">
        <v>2310135</v>
      </c>
      <c r="G1177" t="s">
        <v>1052</v>
      </c>
      <c r="H1177" t="s">
        <v>1418</v>
      </c>
      <c r="I1177">
        <v>64.3</v>
      </c>
      <c r="J1177" t="b">
        <v>1</v>
      </c>
      <c r="K1177">
        <v>0.15644768856447688</v>
      </c>
      <c r="L1177">
        <v>2310136</v>
      </c>
      <c r="M1177" t="s">
        <v>1053</v>
      </c>
      <c r="N1177">
        <v>411</v>
      </c>
      <c r="O1177">
        <v>400</v>
      </c>
      <c r="P1177"/>
      <c r="Q1177">
        <v>134974</v>
      </c>
      <c r="R1177">
        <v>1</v>
      </c>
      <c r="S1177" t="s">
        <v>40</v>
      </c>
      <c r="T1177">
        <v>261</v>
      </c>
      <c r="W1177"/>
      <c r="Y1177" t="s">
        <v>377</v>
      </c>
      <c r="Z1177" t="s">
        <v>378</v>
      </c>
      <c r="AA1177" t="s">
        <v>379</v>
      </c>
      <c r="AB1177" t="s">
        <v>1446</v>
      </c>
      <c r="AC1177" t="s">
        <v>41</v>
      </c>
      <c r="AD1177" t="s">
        <v>41</v>
      </c>
      <c r="AE1177" t="s">
        <v>41</v>
      </c>
      <c r="AF1177" t="s">
        <v>41</v>
      </c>
      <c r="AK1177"/>
    </row>
    <row r="1178" spans="1:37" x14ac:dyDescent="0.25">
      <c r="A1178" t="s">
        <v>44</v>
      </c>
      <c r="B1178">
        <v>46023.812743055554</v>
      </c>
      <c r="C1178">
        <v>91715</v>
      </c>
      <c r="D1178" t="s">
        <v>531</v>
      </c>
      <c r="E1178">
        <v>4495753</v>
      </c>
      <c r="F1178">
        <v>113677</v>
      </c>
      <c r="G1178" t="s">
        <v>687</v>
      </c>
      <c r="H1178" t="s">
        <v>1418</v>
      </c>
      <c r="I1178">
        <v>14</v>
      </c>
      <c r="J1178" t="b">
        <v>1</v>
      </c>
      <c r="K1178">
        <v>1.75</v>
      </c>
      <c r="L1178">
        <v>113679</v>
      </c>
      <c r="M1178" t="s">
        <v>689</v>
      </c>
      <c r="N1178">
        <v>8</v>
      </c>
      <c r="O1178">
        <v>8</v>
      </c>
      <c r="P1178"/>
      <c r="Q1178">
        <v>134905</v>
      </c>
      <c r="R1178">
        <v>2</v>
      </c>
      <c r="S1178" t="s">
        <v>40</v>
      </c>
      <c r="T1178">
        <v>261</v>
      </c>
      <c r="U1178">
        <v>147664</v>
      </c>
      <c r="V1178">
        <v>48</v>
      </c>
      <c r="W1178" t="s">
        <v>40</v>
      </c>
      <c r="X1178">
        <v>261</v>
      </c>
      <c r="Y1178" t="s">
        <v>377</v>
      </c>
      <c r="Z1178" t="s">
        <v>378</v>
      </c>
      <c r="AA1178" t="s">
        <v>384</v>
      </c>
      <c r="AB1178" t="s">
        <v>384</v>
      </c>
      <c r="AC1178" t="s">
        <v>41</v>
      </c>
      <c r="AD1178" t="s">
        <v>41</v>
      </c>
      <c r="AE1178" t="s">
        <v>41</v>
      </c>
      <c r="AF1178" t="s">
        <v>41</v>
      </c>
      <c r="AK1178"/>
    </row>
    <row r="1179" spans="1:37" x14ac:dyDescent="0.25">
      <c r="A1179" t="s">
        <v>37</v>
      </c>
      <c r="B1179">
        <v>46024.460104166668</v>
      </c>
      <c r="C1179">
        <v>93496</v>
      </c>
      <c r="D1179" t="s">
        <v>401</v>
      </c>
      <c r="E1179">
        <v>4507083</v>
      </c>
      <c r="F1179">
        <v>2104881</v>
      </c>
      <c r="G1179" t="s">
        <v>600</v>
      </c>
      <c r="H1179" t="s">
        <v>1447</v>
      </c>
      <c r="I1179">
        <v>5.5</v>
      </c>
      <c r="J1179" t="b">
        <v>1</v>
      </c>
      <c r="K1179">
        <v>1.1000000000000001</v>
      </c>
      <c r="L1179">
        <v>2106201</v>
      </c>
      <c r="M1179" t="s">
        <v>602</v>
      </c>
      <c r="N1179">
        <v>5</v>
      </c>
      <c r="O1179">
        <v>5</v>
      </c>
      <c r="P1179"/>
      <c r="Q1179">
        <v>134905</v>
      </c>
      <c r="R1179">
        <v>1</v>
      </c>
      <c r="S1179" t="s">
        <v>40</v>
      </c>
      <c r="T1179">
        <v>261</v>
      </c>
      <c r="U1179">
        <v>147664</v>
      </c>
      <c r="V1179">
        <v>24</v>
      </c>
      <c r="W1179" t="s">
        <v>40</v>
      </c>
      <c r="X1179">
        <v>261</v>
      </c>
      <c r="Y1179" t="s">
        <v>377</v>
      </c>
      <c r="Z1179" t="s">
        <v>378</v>
      </c>
      <c r="AA1179" t="s">
        <v>379</v>
      </c>
      <c r="AB1179" t="s">
        <v>559</v>
      </c>
      <c r="AC1179" t="s">
        <v>41</v>
      </c>
      <c r="AD1179" t="s">
        <v>41</v>
      </c>
      <c r="AE1179" t="s">
        <v>41</v>
      </c>
      <c r="AF1179" t="s">
        <v>41</v>
      </c>
      <c r="AK1179"/>
    </row>
    <row r="1180" spans="1:37" x14ac:dyDescent="0.25">
      <c r="A1180" t="s">
        <v>37</v>
      </c>
      <c r="B1180">
        <v>46024.461493055554</v>
      </c>
      <c r="C1180">
        <v>93496</v>
      </c>
      <c r="D1180" t="s">
        <v>401</v>
      </c>
      <c r="E1180">
        <v>4507082</v>
      </c>
      <c r="F1180">
        <v>2104881</v>
      </c>
      <c r="G1180" t="s">
        <v>600</v>
      </c>
      <c r="H1180" t="s">
        <v>1447</v>
      </c>
      <c r="I1180">
        <v>4.5</v>
      </c>
      <c r="J1180" t="b">
        <v>1</v>
      </c>
      <c r="K1180">
        <v>1.125</v>
      </c>
      <c r="L1180">
        <v>2106201</v>
      </c>
      <c r="M1180" t="s">
        <v>602</v>
      </c>
      <c r="N1180">
        <v>4</v>
      </c>
      <c r="O1180">
        <v>4</v>
      </c>
      <c r="P1180"/>
      <c r="Q1180">
        <v>134905</v>
      </c>
      <c r="R1180">
        <v>1</v>
      </c>
      <c r="S1180" t="s">
        <v>40</v>
      </c>
      <c r="T1180">
        <v>261</v>
      </c>
      <c r="U1180">
        <v>147664</v>
      </c>
      <c r="V1180">
        <v>24</v>
      </c>
      <c r="W1180" t="s">
        <v>40</v>
      </c>
      <c r="X1180">
        <v>261</v>
      </c>
      <c r="Y1180" t="s">
        <v>377</v>
      </c>
      <c r="Z1180" t="s">
        <v>378</v>
      </c>
      <c r="AA1180" t="s">
        <v>379</v>
      </c>
      <c r="AB1180" t="s">
        <v>384</v>
      </c>
      <c r="AC1180" t="s">
        <v>41</v>
      </c>
      <c r="AD1180" t="s">
        <v>41</v>
      </c>
      <c r="AE1180" t="s">
        <v>41</v>
      </c>
      <c r="AF1180" t="s">
        <v>41</v>
      </c>
      <c r="AK1180"/>
    </row>
    <row r="1181" spans="1:37" x14ac:dyDescent="0.25">
      <c r="A1181" t="s">
        <v>38</v>
      </c>
      <c r="B1181">
        <v>46024.640289351853</v>
      </c>
      <c r="C1181">
        <v>93476</v>
      </c>
      <c r="D1181" t="s">
        <v>401</v>
      </c>
      <c r="E1181">
        <v>4507383</v>
      </c>
      <c r="F1181">
        <v>2304174</v>
      </c>
      <c r="G1181" t="s">
        <v>1235</v>
      </c>
      <c r="H1181" t="s">
        <v>1448</v>
      </c>
      <c r="I1181">
        <v>7.5</v>
      </c>
      <c r="J1181" t="b">
        <v>1</v>
      </c>
      <c r="K1181">
        <v>0.46875</v>
      </c>
      <c r="L1181">
        <v>2304175</v>
      </c>
      <c r="M1181" t="s">
        <v>1236</v>
      </c>
      <c r="N1181">
        <v>16</v>
      </c>
      <c r="O1181">
        <v>16</v>
      </c>
      <c r="P1181"/>
      <c r="Q1181">
        <v>134905</v>
      </c>
      <c r="R1181">
        <v>1</v>
      </c>
      <c r="S1181" t="s">
        <v>40</v>
      </c>
      <c r="T1181">
        <v>261</v>
      </c>
      <c r="U1181">
        <v>147664</v>
      </c>
      <c r="V1181">
        <v>24</v>
      </c>
      <c r="W1181" t="s">
        <v>40</v>
      </c>
      <c r="X1181">
        <v>261</v>
      </c>
      <c r="Y1181" t="s">
        <v>377</v>
      </c>
      <c r="Z1181" t="s">
        <v>378</v>
      </c>
      <c r="AA1181" t="s">
        <v>379</v>
      </c>
      <c r="AB1181" t="s">
        <v>1264</v>
      </c>
      <c r="AC1181" t="s">
        <v>41</v>
      </c>
      <c r="AD1181" t="s">
        <v>41</v>
      </c>
      <c r="AE1181" t="s">
        <v>41</v>
      </c>
      <c r="AF1181" t="s">
        <v>41</v>
      </c>
      <c r="AK1181"/>
    </row>
    <row r="1182" spans="1:37" x14ac:dyDescent="0.25">
      <c r="A1182" t="s">
        <v>37</v>
      </c>
      <c r="B1182">
        <v>46025.142048611109</v>
      </c>
      <c r="C1182">
        <v>93477</v>
      </c>
      <c r="D1182" t="s">
        <v>682</v>
      </c>
      <c r="E1182">
        <v>4507384</v>
      </c>
      <c r="F1182">
        <v>2304174</v>
      </c>
      <c r="G1182" t="s">
        <v>1235</v>
      </c>
      <c r="H1182" t="s">
        <v>1449</v>
      </c>
      <c r="I1182">
        <v>7.5</v>
      </c>
      <c r="J1182" t="b">
        <v>1</v>
      </c>
      <c r="K1182">
        <v>0.46875</v>
      </c>
      <c r="L1182">
        <v>2304175</v>
      </c>
      <c r="M1182" t="s">
        <v>1236</v>
      </c>
      <c r="N1182">
        <v>16</v>
      </c>
      <c r="O1182">
        <v>16</v>
      </c>
      <c r="P1182"/>
      <c r="Q1182">
        <v>134905</v>
      </c>
      <c r="R1182">
        <v>1</v>
      </c>
      <c r="S1182" t="s">
        <v>40</v>
      </c>
      <c r="T1182">
        <v>261</v>
      </c>
      <c r="U1182">
        <v>147664</v>
      </c>
      <c r="V1182">
        <v>24</v>
      </c>
      <c r="W1182" t="s">
        <v>40</v>
      </c>
      <c r="X1182">
        <v>261</v>
      </c>
      <c r="Y1182" t="s">
        <v>377</v>
      </c>
      <c r="Z1182" t="s">
        <v>378</v>
      </c>
      <c r="AA1182" t="s">
        <v>379</v>
      </c>
      <c r="AB1182" t="s">
        <v>1264</v>
      </c>
      <c r="AC1182" t="s">
        <v>41</v>
      </c>
      <c r="AD1182" t="s">
        <v>41</v>
      </c>
      <c r="AE1182" t="s">
        <v>41</v>
      </c>
      <c r="AF1182" t="s">
        <v>41</v>
      </c>
      <c r="AK1182"/>
    </row>
    <row r="1183" spans="1:37" x14ac:dyDescent="0.25">
      <c r="A1183" t="s">
        <v>44</v>
      </c>
      <c r="B1183">
        <v>46025.850706018522</v>
      </c>
      <c r="C1183">
        <v>93497</v>
      </c>
      <c r="D1183" t="s">
        <v>563</v>
      </c>
      <c r="E1183">
        <v>4507084</v>
      </c>
      <c r="F1183">
        <v>2104881</v>
      </c>
      <c r="G1183" t="s">
        <v>600</v>
      </c>
      <c r="H1183" t="s">
        <v>1450</v>
      </c>
      <c r="I1183">
        <v>4</v>
      </c>
      <c r="J1183" t="b">
        <v>1</v>
      </c>
      <c r="K1183">
        <v>1</v>
      </c>
      <c r="L1183">
        <v>2106201</v>
      </c>
      <c r="M1183" t="s">
        <v>602</v>
      </c>
      <c r="N1183">
        <v>4</v>
      </c>
      <c r="O1183">
        <v>4</v>
      </c>
      <c r="P1183"/>
      <c r="Q1183">
        <v>134905</v>
      </c>
      <c r="R1183">
        <v>1</v>
      </c>
      <c r="S1183" t="s">
        <v>40</v>
      </c>
      <c r="T1183">
        <v>261</v>
      </c>
      <c r="U1183">
        <v>147664</v>
      </c>
      <c r="V1183">
        <v>24</v>
      </c>
      <c r="W1183" t="s">
        <v>40</v>
      </c>
      <c r="X1183">
        <v>261</v>
      </c>
      <c r="Y1183" t="s">
        <v>377</v>
      </c>
      <c r="Z1183" t="s">
        <v>378</v>
      </c>
      <c r="AA1183" t="s">
        <v>379</v>
      </c>
      <c r="AB1183" t="s">
        <v>384</v>
      </c>
      <c r="AC1183" t="s">
        <v>41</v>
      </c>
      <c r="AD1183" t="s">
        <v>41</v>
      </c>
      <c r="AE1183" t="s">
        <v>41</v>
      </c>
      <c r="AF1183" t="s">
        <v>41</v>
      </c>
      <c r="AK1183"/>
    </row>
    <row r="1184" spans="1:37" x14ac:dyDescent="0.25">
      <c r="A1184" t="s">
        <v>44</v>
      </c>
      <c r="B1184">
        <v>46025.851458333331</v>
      </c>
      <c r="C1184">
        <v>93497</v>
      </c>
      <c r="D1184" t="s">
        <v>563</v>
      </c>
      <c r="E1184">
        <v>4507085</v>
      </c>
      <c r="F1184">
        <v>2104881</v>
      </c>
      <c r="G1184" t="s">
        <v>600</v>
      </c>
      <c r="H1184" t="s">
        <v>1450</v>
      </c>
      <c r="I1184">
        <v>6</v>
      </c>
      <c r="J1184" t="b">
        <v>1</v>
      </c>
      <c r="K1184">
        <v>1.2</v>
      </c>
      <c r="L1184">
        <v>2106201</v>
      </c>
      <c r="M1184" t="s">
        <v>602</v>
      </c>
      <c r="N1184">
        <v>5</v>
      </c>
      <c r="O1184">
        <v>5</v>
      </c>
      <c r="P1184"/>
      <c r="Q1184">
        <v>134905</v>
      </c>
      <c r="R1184">
        <v>1</v>
      </c>
      <c r="S1184" t="s">
        <v>40</v>
      </c>
      <c r="T1184">
        <v>261</v>
      </c>
      <c r="U1184">
        <v>147664</v>
      </c>
      <c r="V1184">
        <v>24</v>
      </c>
      <c r="W1184" t="s">
        <v>40</v>
      </c>
      <c r="X1184">
        <v>261</v>
      </c>
      <c r="Y1184" t="s">
        <v>377</v>
      </c>
      <c r="Z1184" t="s">
        <v>378</v>
      </c>
      <c r="AA1184" t="s">
        <v>379</v>
      </c>
      <c r="AB1184" t="s">
        <v>559</v>
      </c>
      <c r="AC1184" t="s">
        <v>41</v>
      </c>
      <c r="AD1184" t="s">
        <v>41</v>
      </c>
      <c r="AE1184" t="s">
        <v>41</v>
      </c>
      <c r="AF1184" t="s">
        <v>41</v>
      </c>
      <c r="AK1184"/>
    </row>
    <row r="1185" spans="1:38" x14ac:dyDescent="0.25">
      <c r="A1185" t="s">
        <v>43</v>
      </c>
      <c r="B1185">
        <v>46025.855243055557</v>
      </c>
      <c r="C1185">
        <v>90622</v>
      </c>
      <c r="D1185" t="s">
        <v>563</v>
      </c>
      <c r="E1185">
        <v>4496436</v>
      </c>
      <c r="F1185">
        <v>2104668</v>
      </c>
      <c r="G1185" t="s">
        <v>1451</v>
      </c>
      <c r="H1185" t="s">
        <v>618</v>
      </c>
      <c r="I1185">
        <v>42</v>
      </c>
      <c r="J1185" t="b">
        <v>1</v>
      </c>
      <c r="K1185">
        <v>0.33070866141732286</v>
      </c>
      <c r="L1185">
        <v>2106004</v>
      </c>
      <c r="M1185" t="s">
        <v>1452</v>
      </c>
      <c r="N1185">
        <v>127</v>
      </c>
      <c r="O1185">
        <v>127</v>
      </c>
      <c r="P1185"/>
      <c r="Q1185">
        <v>134974</v>
      </c>
      <c r="R1185">
        <v>1</v>
      </c>
      <c r="S1185" t="s">
        <v>40</v>
      </c>
      <c r="T1185">
        <v>261</v>
      </c>
      <c r="W1185"/>
      <c r="Y1185" t="s">
        <v>377</v>
      </c>
      <c r="Z1185" t="s">
        <v>378</v>
      </c>
      <c r="AA1185" t="s">
        <v>379</v>
      </c>
      <c r="AB1185" t="s">
        <v>1290</v>
      </c>
      <c r="AC1185" t="s">
        <v>41</v>
      </c>
      <c r="AD1185" t="s">
        <v>41</v>
      </c>
      <c r="AE1185" t="s">
        <v>41</v>
      </c>
      <c r="AF1185" t="s">
        <v>41</v>
      </c>
      <c r="AK1185"/>
    </row>
    <row r="1186" spans="1:38" x14ac:dyDescent="0.25">
      <c r="A1186" t="s">
        <v>37</v>
      </c>
      <c r="B1186">
        <v>46025.859270833331</v>
      </c>
      <c r="C1186">
        <v>93479</v>
      </c>
      <c r="D1186" t="s">
        <v>563</v>
      </c>
      <c r="E1186">
        <v>4507385</v>
      </c>
      <c r="F1186">
        <v>2304174</v>
      </c>
      <c r="G1186" t="s">
        <v>1235</v>
      </c>
      <c r="H1186" t="s">
        <v>1453</v>
      </c>
      <c r="I1186">
        <v>1.5</v>
      </c>
      <c r="J1186" t="b">
        <v>1</v>
      </c>
      <c r="K1186">
        <v>0.375</v>
      </c>
      <c r="L1186">
        <v>2304175</v>
      </c>
      <c r="M1186" t="s">
        <v>1236</v>
      </c>
      <c r="N1186">
        <v>4</v>
      </c>
      <c r="O1186">
        <v>4</v>
      </c>
      <c r="P1186"/>
      <c r="Q1186">
        <v>134906</v>
      </c>
      <c r="R1186">
        <v>1</v>
      </c>
      <c r="S1186" t="s">
        <v>40</v>
      </c>
      <c r="T1186">
        <v>261</v>
      </c>
      <c r="U1186">
        <v>147664</v>
      </c>
      <c r="V1186">
        <v>24</v>
      </c>
      <c r="W1186" t="s">
        <v>40</v>
      </c>
      <c r="X1186">
        <v>261</v>
      </c>
      <c r="Y1186" t="s">
        <v>377</v>
      </c>
      <c r="Z1186" t="s">
        <v>378</v>
      </c>
      <c r="AA1186" t="s">
        <v>379</v>
      </c>
      <c r="AB1186" t="s">
        <v>384</v>
      </c>
      <c r="AC1186" t="s">
        <v>41</v>
      </c>
      <c r="AD1186" t="s">
        <v>41</v>
      </c>
      <c r="AE1186" t="s">
        <v>41</v>
      </c>
      <c r="AF1186" t="s">
        <v>41</v>
      </c>
      <c r="AK1186"/>
    </row>
    <row r="1187" spans="1:38" x14ac:dyDescent="0.25">
      <c r="A1187" t="s">
        <v>37</v>
      </c>
      <c r="B1187">
        <v>46025.859965277778</v>
      </c>
      <c r="C1187">
        <v>93479</v>
      </c>
      <c r="D1187" t="s">
        <v>563</v>
      </c>
      <c r="E1187">
        <v>4507386</v>
      </c>
      <c r="F1187">
        <v>2304174</v>
      </c>
      <c r="G1187" t="s">
        <v>1235</v>
      </c>
      <c r="H1187" t="s">
        <v>1453</v>
      </c>
      <c r="I1187">
        <v>6</v>
      </c>
      <c r="J1187" t="b">
        <v>1</v>
      </c>
      <c r="K1187">
        <v>0.5</v>
      </c>
      <c r="L1187">
        <v>2304175</v>
      </c>
      <c r="M1187" t="s">
        <v>1236</v>
      </c>
      <c r="N1187">
        <v>12</v>
      </c>
      <c r="O1187">
        <v>12</v>
      </c>
      <c r="P1187"/>
      <c r="Q1187">
        <v>134905</v>
      </c>
      <c r="R1187">
        <v>1</v>
      </c>
      <c r="S1187" t="s">
        <v>40</v>
      </c>
      <c r="T1187">
        <v>261</v>
      </c>
      <c r="U1187">
        <v>147664</v>
      </c>
      <c r="V1187">
        <v>24</v>
      </c>
      <c r="W1187" t="s">
        <v>40</v>
      </c>
      <c r="X1187">
        <v>261</v>
      </c>
      <c r="Y1187" t="s">
        <v>377</v>
      </c>
      <c r="Z1187" t="s">
        <v>378</v>
      </c>
      <c r="AA1187" t="s">
        <v>379</v>
      </c>
      <c r="AB1187" t="s">
        <v>409</v>
      </c>
      <c r="AC1187" t="s">
        <v>41</v>
      </c>
      <c r="AD1187" t="s">
        <v>41</v>
      </c>
      <c r="AE1187" t="s">
        <v>41</v>
      </c>
      <c r="AF1187" t="s">
        <v>41</v>
      </c>
      <c r="AK1187"/>
    </row>
    <row r="1188" spans="1:38" x14ac:dyDescent="0.25">
      <c r="A1188" t="s">
        <v>45</v>
      </c>
      <c r="B1188">
        <v>46025.861689814818</v>
      </c>
      <c r="C1188">
        <v>92626</v>
      </c>
      <c r="D1188" t="s">
        <v>563</v>
      </c>
      <c r="E1188">
        <v>4507271</v>
      </c>
      <c r="F1188">
        <v>2310135</v>
      </c>
      <c r="G1188" t="s">
        <v>1052</v>
      </c>
      <c r="H1188" t="s">
        <v>1419</v>
      </c>
      <c r="I1188">
        <v>64.3</v>
      </c>
      <c r="J1188" t="b">
        <v>1</v>
      </c>
      <c r="K1188">
        <v>0.15915841584158416</v>
      </c>
      <c r="L1188">
        <v>2310136</v>
      </c>
      <c r="M1188" t="s">
        <v>1053</v>
      </c>
      <c r="N1188">
        <v>404</v>
      </c>
      <c r="O1188">
        <v>404</v>
      </c>
      <c r="P1188"/>
      <c r="Q1188">
        <v>134974</v>
      </c>
      <c r="R1188">
        <v>1</v>
      </c>
      <c r="S1188" t="s">
        <v>40</v>
      </c>
      <c r="T1188">
        <v>261</v>
      </c>
      <c r="W1188"/>
      <c r="Y1188" t="s">
        <v>377</v>
      </c>
      <c r="Z1188" t="s">
        <v>378</v>
      </c>
      <c r="AA1188" t="s">
        <v>379</v>
      </c>
      <c r="AB1188" t="s">
        <v>1309</v>
      </c>
      <c r="AC1188" t="s">
        <v>41</v>
      </c>
      <c r="AD1188" t="s">
        <v>41</v>
      </c>
      <c r="AE1188" t="s">
        <v>41</v>
      </c>
      <c r="AF1188" t="s">
        <v>41</v>
      </c>
      <c r="AK1188"/>
    </row>
    <row r="1189" spans="1:38" x14ac:dyDescent="0.25">
      <c r="A1189" t="s">
        <v>47</v>
      </c>
      <c r="B1189">
        <v>46026.569467592592</v>
      </c>
      <c r="C1189">
        <v>92628</v>
      </c>
      <c r="D1189" t="s">
        <v>393</v>
      </c>
      <c r="E1189">
        <v>4507272</v>
      </c>
      <c r="F1189">
        <v>2310135</v>
      </c>
      <c r="G1189" t="s">
        <v>1052</v>
      </c>
      <c r="H1189" t="s">
        <v>1420</v>
      </c>
      <c r="I1189">
        <v>64.3</v>
      </c>
      <c r="J1189" t="b">
        <v>1</v>
      </c>
      <c r="K1189">
        <v>0.16075</v>
      </c>
      <c r="L1189">
        <v>2310136</v>
      </c>
      <c r="M1189" t="s">
        <v>1053</v>
      </c>
      <c r="N1189">
        <v>400</v>
      </c>
      <c r="O1189">
        <v>400</v>
      </c>
      <c r="P1189"/>
      <c r="Q1189">
        <v>134974</v>
      </c>
      <c r="R1189">
        <v>1</v>
      </c>
      <c r="S1189" t="s">
        <v>40</v>
      </c>
      <c r="T1189">
        <v>261</v>
      </c>
      <c r="W1189"/>
      <c r="Y1189" t="s">
        <v>377</v>
      </c>
      <c r="Z1189" t="s">
        <v>378</v>
      </c>
      <c r="AA1189" t="s">
        <v>379</v>
      </c>
      <c r="AB1189" t="s">
        <v>1079</v>
      </c>
      <c r="AC1189" t="s">
        <v>41</v>
      </c>
      <c r="AD1189" t="s">
        <v>41</v>
      </c>
      <c r="AE1189" t="s">
        <v>41</v>
      </c>
      <c r="AF1189" t="s">
        <v>41</v>
      </c>
      <c r="AK1189"/>
    </row>
    <row r="1190" spans="1:38" x14ac:dyDescent="0.25">
      <c r="A1190" t="s">
        <v>37</v>
      </c>
      <c r="B1190">
        <v>46026.641979166663</v>
      </c>
      <c r="C1190">
        <v>93480</v>
      </c>
      <c r="D1190" t="s">
        <v>393</v>
      </c>
      <c r="E1190">
        <v>4507387</v>
      </c>
      <c r="F1190">
        <v>2304174</v>
      </c>
      <c r="G1190" t="s">
        <v>1235</v>
      </c>
      <c r="H1190" t="s">
        <v>1454</v>
      </c>
      <c r="I1190">
        <v>7.5</v>
      </c>
      <c r="J1190" t="b">
        <v>1</v>
      </c>
      <c r="K1190">
        <v>0.46875</v>
      </c>
      <c r="L1190">
        <v>2304175</v>
      </c>
      <c r="M1190" t="s">
        <v>1236</v>
      </c>
      <c r="N1190">
        <v>16</v>
      </c>
      <c r="O1190">
        <v>16</v>
      </c>
      <c r="P1190"/>
      <c r="Q1190">
        <v>134905</v>
      </c>
      <c r="R1190">
        <v>1</v>
      </c>
      <c r="S1190" t="s">
        <v>40</v>
      </c>
      <c r="T1190">
        <v>261</v>
      </c>
      <c r="U1190">
        <v>147664</v>
      </c>
      <c r="V1190">
        <v>48</v>
      </c>
      <c r="W1190" t="s">
        <v>40</v>
      </c>
      <c r="X1190">
        <v>261</v>
      </c>
      <c r="Y1190" t="s">
        <v>377</v>
      </c>
      <c r="Z1190" t="s">
        <v>378</v>
      </c>
      <c r="AA1190" t="s">
        <v>379</v>
      </c>
      <c r="AB1190" t="s">
        <v>409</v>
      </c>
      <c r="AC1190" t="s">
        <v>379</v>
      </c>
      <c r="AD1190" t="s">
        <v>384</v>
      </c>
      <c r="AE1190" t="s">
        <v>41</v>
      </c>
      <c r="AF1190" t="s">
        <v>41</v>
      </c>
      <c r="AI1190">
        <v>134905</v>
      </c>
      <c r="AJ1190">
        <v>1</v>
      </c>
      <c r="AK1190" t="s">
        <v>40</v>
      </c>
      <c r="AL1190">
        <v>261</v>
      </c>
    </row>
    <row r="1191" spans="1:38" x14ac:dyDescent="0.25">
      <c r="A1191" t="s">
        <v>42</v>
      </c>
      <c r="B1191">
        <v>46026.998020833336</v>
      </c>
      <c r="C1191">
        <v>93498</v>
      </c>
      <c r="D1191" t="s">
        <v>745</v>
      </c>
      <c r="E1191">
        <v>4507100</v>
      </c>
      <c r="F1191">
        <v>2104879</v>
      </c>
      <c r="G1191" t="s">
        <v>556</v>
      </c>
      <c r="H1191" t="s">
        <v>1455</v>
      </c>
      <c r="I1191">
        <v>3.75</v>
      </c>
      <c r="J1191" t="b">
        <v>1</v>
      </c>
      <c r="K1191">
        <v>0.9375</v>
      </c>
      <c r="L1191">
        <v>2106199</v>
      </c>
      <c r="M1191" t="s">
        <v>558</v>
      </c>
      <c r="N1191">
        <v>4</v>
      </c>
      <c r="O1191">
        <v>4</v>
      </c>
      <c r="P1191"/>
      <c r="Q1191">
        <v>134971</v>
      </c>
      <c r="R1191">
        <v>1</v>
      </c>
      <c r="S1191" t="s">
        <v>40</v>
      </c>
      <c r="T1191">
        <v>261</v>
      </c>
      <c r="U1191">
        <v>147664</v>
      </c>
      <c r="V1191">
        <v>24</v>
      </c>
      <c r="W1191" t="s">
        <v>40</v>
      </c>
      <c r="X1191">
        <v>261</v>
      </c>
      <c r="Y1191" t="s">
        <v>377</v>
      </c>
      <c r="Z1191" t="s">
        <v>378</v>
      </c>
      <c r="AA1191" t="s">
        <v>379</v>
      </c>
      <c r="AB1191" t="s">
        <v>384</v>
      </c>
      <c r="AC1191" t="s">
        <v>41</v>
      </c>
      <c r="AD1191" t="s">
        <v>41</v>
      </c>
      <c r="AE1191" t="s">
        <v>41</v>
      </c>
      <c r="AF1191" t="s">
        <v>41</v>
      </c>
      <c r="AK1191"/>
    </row>
    <row r="1192" spans="1:38" x14ac:dyDescent="0.25">
      <c r="A1192" t="s">
        <v>42</v>
      </c>
      <c r="B1192">
        <v>46026.99858796296</v>
      </c>
      <c r="C1192">
        <v>93498</v>
      </c>
      <c r="D1192" t="s">
        <v>745</v>
      </c>
      <c r="E1192">
        <v>4507101</v>
      </c>
      <c r="F1192">
        <v>2104879</v>
      </c>
      <c r="G1192" t="s">
        <v>556</v>
      </c>
      <c r="H1192" t="s">
        <v>1455</v>
      </c>
      <c r="I1192">
        <v>3.75</v>
      </c>
      <c r="J1192" t="b">
        <v>1</v>
      </c>
      <c r="K1192">
        <v>0.75</v>
      </c>
      <c r="L1192">
        <v>2106199</v>
      </c>
      <c r="M1192" t="s">
        <v>558</v>
      </c>
      <c r="N1192">
        <v>5</v>
      </c>
      <c r="O1192">
        <v>5</v>
      </c>
      <c r="P1192"/>
      <c r="Q1192">
        <v>134971</v>
      </c>
      <c r="R1192">
        <v>1</v>
      </c>
      <c r="S1192" t="s">
        <v>40</v>
      </c>
      <c r="T1192">
        <v>261</v>
      </c>
      <c r="U1192">
        <v>147664</v>
      </c>
      <c r="V1192">
        <v>24</v>
      </c>
      <c r="W1192" t="s">
        <v>40</v>
      </c>
      <c r="X1192">
        <v>261</v>
      </c>
      <c r="Y1192" t="s">
        <v>377</v>
      </c>
      <c r="Z1192" t="s">
        <v>378</v>
      </c>
      <c r="AA1192" t="s">
        <v>379</v>
      </c>
      <c r="AB1192" t="s">
        <v>559</v>
      </c>
      <c r="AC1192" t="s">
        <v>41</v>
      </c>
      <c r="AD1192" t="s">
        <v>41</v>
      </c>
      <c r="AE1192" t="s">
        <v>41</v>
      </c>
      <c r="AF1192" t="s">
        <v>41</v>
      </c>
      <c r="AK1192"/>
    </row>
    <row r="1193" spans="1:38" x14ac:dyDescent="0.25">
      <c r="A1193" t="s">
        <v>37</v>
      </c>
      <c r="B1193">
        <v>46027.312025462961</v>
      </c>
      <c r="C1193">
        <v>93499</v>
      </c>
      <c r="D1193" t="s">
        <v>373</v>
      </c>
      <c r="E1193">
        <v>4507102</v>
      </c>
      <c r="F1193">
        <v>2104879</v>
      </c>
      <c r="G1193" t="s">
        <v>556</v>
      </c>
      <c r="H1193" t="s">
        <v>1456</v>
      </c>
      <c r="I1193">
        <v>5</v>
      </c>
      <c r="J1193" t="b">
        <v>1</v>
      </c>
      <c r="K1193">
        <v>1.25</v>
      </c>
      <c r="L1193">
        <v>2106199</v>
      </c>
      <c r="M1193" t="s">
        <v>558</v>
      </c>
      <c r="N1193">
        <v>4</v>
      </c>
      <c r="O1193">
        <v>4</v>
      </c>
      <c r="P1193"/>
      <c r="Q1193">
        <v>134971</v>
      </c>
      <c r="R1193">
        <v>1</v>
      </c>
      <c r="S1193" t="s">
        <v>40</v>
      </c>
      <c r="T1193">
        <v>261</v>
      </c>
      <c r="U1193">
        <v>147664</v>
      </c>
      <c r="V1193">
        <v>24</v>
      </c>
      <c r="W1193" t="s">
        <v>40</v>
      </c>
      <c r="X1193">
        <v>261</v>
      </c>
      <c r="Y1193" t="s">
        <v>377</v>
      </c>
      <c r="Z1193" t="s">
        <v>378</v>
      </c>
      <c r="AA1193" t="s">
        <v>379</v>
      </c>
      <c r="AB1193" t="s">
        <v>384</v>
      </c>
      <c r="AC1193" t="s">
        <v>41</v>
      </c>
      <c r="AD1193" t="s">
        <v>41</v>
      </c>
      <c r="AE1193" t="s">
        <v>41</v>
      </c>
      <c r="AF1193" t="s">
        <v>41</v>
      </c>
      <c r="AK1193"/>
    </row>
    <row r="1194" spans="1:38" x14ac:dyDescent="0.25">
      <c r="A1194" t="s">
        <v>37</v>
      </c>
      <c r="B1194">
        <v>46027.3128125</v>
      </c>
      <c r="C1194">
        <v>93499</v>
      </c>
      <c r="D1194" t="s">
        <v>373</v>
      </c>
      <c r="E1194">
        <v>4507103</v>
      </c>
      <c r="F1194">
        <v>2104879</v>
      </c>
      <c r="G1194" t="s">
        <v>556</v>
      </c>
      <c r="H1194" t="s">
        <v>1456</v>
      </c>
      <c r="I1194">
        <v>5</v>
      </c>
      <c r="J1194" t="b">
        <v>1</v>
      </c>
      <c r="K1194">
        <v>1</v>
      </c>
      <c r="L1194">
        <v>2106199</v>
      </c>
      <c r="M1194" t="s">
        <v>558</v>
      </c>
      <c r="N1194">
        <v>5</v>
      </c>
      <c r="O1194">
        <v>5</v>
      </c>
      <c r="P1194"/>
      <c r="Q1194">
        <v>134907</v>
      </c>
      <c r="R1194">
        <v>1</v>
      </c>
      <c r="S1194" t="s">
        <v>40</v>
      </c>
      <c r="T1194">
        <v>261</v>
      </c>
      <c r="U1194">
        <v>147664</v>
      </c>
      <c r="V1194">
        <v>24</v>
      </c>
      <c r="W1194" t="s">
        <v>40</v>
      </c>
      <c r="X1194">
        <v>261</v>
      </c>
      <c r="Y1194" t="s">
        <v>377</v>
      </c>
      <c r="Z1194" t="s">
        <v>378</v>
      </c>
      <c r="AA1194" t="s">
        <v>379</v>
      </c>
      <c r="AB1194" t="s">
        <v>559</v>
      </c>
      <c r="AC1194" t="s">
        <v>41</v>
      </c>
      <c r="AD1194" t="s">
        <v>41</v>
      </c>
      <c r="AE1194" t="s">
        <v>41</v>
      </c>
      <c r="AF1194" t="s">
        <v>41</v>
      </c>
      <c r="AK1194"/>
    </row>
    <row r="1195" spans="1:38" x14ac:dyDescent="0.25">
      <c r="A1195" t="s">
        <v>43</v>
      </c>
      <c r="B1195">
        <v>46027.549456018518</v>
      </c>
      <c r="C1195">
        <v>93482</v>
      </c>
      <c r="D1195" t="s">
        <v>373</v>
      </c>
      <c r="E1195">
        <v>4507388</v>
      </c>
      <c r="F1195">
        <v>2304174</v>
      </c>
      <c r="G1195" t="s">
        <v>1235</v>
      </c>
      <c r="H1195" t="s">
        <v>1457</v>
      </c>
      <c r="I1195">
        <v>7.5</v>
      </c>
      <c r="J1195" t="b">
        <v>1</v>
      </c>
      <c r="K1195">
        <v>0.46875</v>
      </c>
      <c r="L1195">
        <v>2304175</v>
      </c>
      <c r="M1195" t="s">
        <v>1236</v>
      </c>
      <c r="N1195">
        <v>16</v>
      </c>
      <c r="O1195">
        <v>16</v>
      </c>
      <c r="P1195"/>
      <c r="Q1195">
        <v>134906</v>
      </c>
      <c r="R1195">
        <v>1</v>
      </c>
      <c r="S1195" t="s">
        <v>40</v>
      </c>
      <c r="T1195">
        <v>261</v>
      </c>
      <c r="U1195">
        <v>147664</v>
      </c>
      <c r="V1195">
        <v>24</v>
      </c>
      <c r="W1195" t="s">
        <v>40</v>
      </c>
      <c r="X1195">
        <v>261</v>
      </c>
      <c r="Y1195" t="s">
        <v>377</v>
      </c>
      <c r="Z1195" t="s">
        <v>378</v>
      </c>
      <c r="AA1195" t="s">
        <v>379</v>
      </c>
      <c r="AB1195" t="s">
        <v>1264</v>
      </c>
      <c r="AC1195" t="s">
        <v>41</v>
      </c>
      <c r="AD1195" t="s">
        <v>41</v>
      </c>
      <c r="AE1195" t="s">
        <v>41</v>
      </c>
      <c r="AF1195" t="s">
        <v>41</v>
      </c>
      <c r="AK1195"/>
    </row>
    <row r="1196" spans="1:38" x14ac:dyDescent="0.25">
      <c r="A1196" t="s">
        <v>37</v>
      </c>
      <c r="B1196">
        <v>46027.934849537036</v>
      </c>
      <c r="C1196">
        <v>90754</v>
      </c>
      <c r="D1196" t="s">
        <v>1025</v>
      </c>
      <c r="E1196">
        <v>4486252</v>
      </c>
      <c r="F1196">
        <v>2104514</v>
      </c>
      <c r="G1196" t="s">
        <v>1458</v>
      </c>
      <c r="H1196" t="s">
        <v>1300</v>
      </c>
      <c r="I1196">
        <v>5</v>
      </c>
      <c r="J1196" t="b">
        <v>1</v>
      </c>
      <c r="K1196">
        <v>0.23809523809523808</v>
      </c>
      <c r="L1196">
        <v>2132455</v>
      </c>
      <c r="M1196" t="s">
        <v>1459</v>
      </c>
      <c r="N1196">
        <v>21</v>
      </c>
      <c r="O1196">
        <v>21</v>
      </c>
      <c r="P1196"/>
      <c r="Q1196">
        <v>134974</v>
      </c>
      <c r="R1196">
        <v>1</v>
      </c>
      <c r="S1196" t="s">
        <v>40</v>
      </c>
      <c r="T1196">
        <v>261</v>
      </c>
      <c r="W1196"/>
      <c r="Y1196" t="s">
        <v>377</v>
      </c>
      <c r="Z1196" t="s">
        <v>378</v>
      </c>
      <c r="AA1196" t="s">
        <v>379</v>
      </c>
      <c r="AB1196" t="s">
        <v>1099</v>
      </c>
      <c r="AC1196" t="s">
        <v>41</v>
      </c>
      <c r="AD1196" t="s">
        <v>41</v>
      </c>
      <c r="AE1196" t="s">
        <v>41</v>
      </c>
      <c r="AF1196" t="s">
        <v>41</v>
      </c>
      <c r="AK1196"/>
    </row>
    <row r="1197" spans="1:38" x14ac:dyDescent="0.25">
      <c r="A1197" t="s">
        <v>43</v>
      </c>
      <c r="B1197">
        <v>46028.177662037036</v>
      </c>
      <c r="C1197">
        <v>93483</v>
      </c>
      <c r="D1197" t="s">
        <v>1025</v>
      </c>
      <c r="E1197">
        <v>4507389</v>
      </c>
      <c r="F1197">
        <v>2304174</v>
      </c>
      <c r="G1197" t="s">
        <v>1235</v>
      </c>
      <c r="H1197" t="s">
        <v>1460</v>
      </c>
      <c r="I1197">
        <v>7.5</v>
      </c>
      <c r="J1197" t="b">
        <v>1</v>
      </c>
      <c r="K1197">
        <v>0.46875</v>
      </c>
      <c r="L1197">
        <v>2304175</v>
      </c>
      <c r="M1197" t="s">
        <v>1236</v>
      </c>
      <c r="N1197">
        <v>16</v>
      </c>
      <c r="O1197">
        <v>16</v>
      </c>
      <c r="P1197"/>
      <c r="Q1197">
        <v>134905</v>
      </c>
      <c r="R1197">
        <v>1</v>
      </c>
      <c r="S1197" t="s">
        <v>40</v>
      </c>
      <c r="T1197">
        <v>261</v>
      </c>
      <c r="U1197">
        <v>147664</v>
      </c>
      <c r="V1197">
        <v>24</v>
      </c>
      <c r="W1197" t="s">
        <v>40</v>
      </c>
      <c r="X1197">
        <v>261</v>
      </c>
      <c r="Y1197" t="s">
        <v>377</v>
      </c>
      <c r="Z1197" t="s">
        <v>378</v>
      </c>
      <c r="AA1197" t="s">
        <v>379</v>
      </c>
      <c r="AB1197" t="s">
        <v>1264</v>
      </c>
      <c r="AC1197" t="s">
        <v>41</v>
      </c>
      <c r="AD1197" t="s">
        <v>41</v>
      </c>
      <c r="AE1197" t="s">
        <v>41</v>
      </c>
      <c r="AF1197" t="s">
        <v>41</v>
      </c>
      <c r="AK1197"/>
    </row>
    <row r="1198" spans="1:38" x14ac:dyDescent="0.25">
      <c r="A1198" t="s">
        <v>39</v>
      </c>
      <c r="B1198">
        <v>46028.239803240744</v>
      </c>
      <c r="C1198">
        <v>92629</v>
      </c>
      <c r="D1198" t="s">
        <v>1025</v>
      </c>
      <c r="E1198">
        <v>4507273</v>
      </c>
      <c r="F1198">
        <v>2310135</v>
      </c>
      <c r="G1198" t="s">
        <v>1052</v>
      </c>
      <c r="H1198" t="s">
        <v>1422</v>
      </c>
      <c r="I1198">
        <v>64.3</v>
      </c>
      <c r="J1198" t="b">
        <v>1</v>
      </c>
      <c r="K1198">
        <v>0.15093896713615024</v>
      </c>
      <c r="L1198">
        <v>2310136</v>
      </c>
      <c r="M1198" t="s">
        <v>1053</v>
      </c>
      <c r="N1198">
        <v>426</v>
      </c>
      <c r="O1198">
        <v>384</v>
      </c>
      <c r="P1198"/>
      <c r="Q1198">
        <v>134974</v>
      </c>
      <c r="R1198">
        <v>1</v>
      </c>
      <c r="S1198" t="s">
        <v>40</v>
      </c>
      <c r="T1198">
        <v>261</v>
      </c>
      <c r="W1198"/>
      <c r="Y1198" t="s">
        <v>377</v>
      </c>
      <c r="Z1198" t="s">
        <v>378</v>
      </c>
      <c r="AA1198" t="s">
        <v>379</v>
      </c>
      <c r="AB1198" t="s">
        <v>1461</v>
      </c>
      <c r="AC1198" t="s">
        <v>41</v>
      </c>
      <c r="AD1198" t="s">
        <v>41</v>
      </c>
      <c r="AE1198" t="s">
        <v>41</v>
      </c>
      <c r="AF1198" t="s">
        <v>41</v>
      </c>
      <c r="AK1198"/>
    </row>
    <row r="1199" spans="1:38" x14ac:dyDescent="0.25">
      <c r="A1199" t="s">
        <v>45</v>
      </c>
      <c r="B1199">
        <v>46028.474062499998</v>
      </c>
      <c r="C1199">
        <v>92630</v>
      </c>
      <c r="D1199" t="s">
        <v>373</v>
      </c>
      <c r="E1199">
        <v>4507274</v>
      </c>
      <c r="F1199">
        <v>2310135</v>
      </c>
      <c r="G1199" t="s">
        <v>1052</v>
      </c>
      <c r="H1199" t="s">
        <v>1424</v>
      </c>
      <c r="I1199">
        <v>64.3</v>
      </c>
      <c r="J1199" t="b">
        <v>1</v>
      </c>
      <c r="K1199">
        <v>0.15876543209876542</v>
      </c>
      <c r="L1199">
        <v>2310136</v>
      </c>
      <c r="M1199" t="s">
        <v>1053</v>
      </c>
      <c r="N1199">
        <v>405</v>
      </c>
      <c r="O1199">
        <v>400</v>
      </c>
      <c r="P1199"/>
      <c r="Q1199">
        <v>134974</v>
      </c>
      <c r="R1199">
        <v>1</v>
      </c>
      <c r="S1199" t="s">
        <v>40</v>
      </c>
      <c r="T1199">
        <v>261</v>
      </c>
      <c r="W1199"/>
      <c r="Y1199" t="s">
        <v>377</v>
      </c>
      <c r="Z1199" t="s">
        <v>378</v>
      </c>
      <c r="AA1199" t="s">
        <v>379</v>
      </c>
      <c r="AB1199" t="s">
        <v>1280</v>
      </c>
      <c r="AC1199" t="s">
        <v>41</v>
      </c>
      <c r="AD1199" t="s">
        <v>41</v>
      </c>
      <c r="AE1199" t="s">
        <v>41</v>
      </c>
      <c r="AF1199" t="s">
        <v>41</v>
      </c>
      <c r="AK1199"/>
    </row>
    <row r="1200" spans="1:38" x14ac:dyDescent="0.25">
      <c r="A1200" t="s">
        <v>44</v>
      </c>
      <c r="B1200">
        <v>46028.588645833333</v>
      </c>
      <c r="C1200">
        <v>93500</v>
      </c>
      <c r="D1200" t="s">
        <v>373</v>
      </c>
      <c r="E1200">
        <v>4507104</v>
      </c>
      <c r="F1200">
        <v>2104879</v>
      </c>
      <c r="G1200" t="s">
        <v>556</v>
      </c>
      <c r="H1200" t="s">
        <v>1462</v>
      </c>
      <c r="I1200">
        <v>5</v>
      </c>
      <c r="J1200" t="b">
        <v>1</v>
      </c>
      <c r="K1200">
        <v>1.25</v>
      </c>
      <c r="L1200">
        <v>2106199</v>
      </c>
      <c r="M1200" t="s">
        <v>558</v>
      </c>
      <c r="N1200">
        <v>4</v>
      </c>
      <c r="O1200">
        <v>4</v>
      </c>
      <c r="P1200"/>
      <c r="Q1200">
        <v>134971</v>
      </c>
      <c r="R1200">
        <v>1</v>
      </c>
      <c r="S1200" t="s">
        <v>40</v>
      </c>
      <c r="T1200">
        <v>261</v>
      </c>
      <c r="U1200">
        <v>147664</v>
      </c>
      <c r="V1200">
        <v>24</v>
      </c>
      <c r="W1200" t="s">
        <v>40</v>
      </c>
      <c r="X1200">
        <v>261</v>
      </c>
      <c r="Y1200" t="s">
        <v>377</v>
      </c>
      <c r="Z1200" t="s">
        <v>378</v>
      </c>
      <c r="AA1200" t="s">
        <v>379</v>
      </c>
      <c r="AB1200" t="s">
        <v>384</v>
      </c>
      <c r="AC1200" t="s">
        <v>41</v>
      </c>
      <c r="AD1200" t="s">
        <v>41</v>
      </c>
      <c r="AE1200" t="s">
        <v>41</v>
      </c>
      <c r="AF1200" t="s">
        <v>41</v>
      </c>
      <c r="AK1200"/>
    </row>
    <row r="1201" spans="1:38" x14ac:dyDescent="0.25">
      <c r="A1201" t="s">
        <v>44</v>
      </c>
      <c r="B1201">
        <v>46028.58934027778</v>
      </c>
      <c r="C1201">
        <v>93500</v>
      </c>
      <c r="D1201" t="s">
        <v>373</v>
      </c>
      <c r="E1201">
        <v>4507105</v>
      </c>
      <c r="F1201">
        <v>2104879</v>
      </c>
      <c r="G1201" t="s">
        <v>556</v>
      </c>
      <c r="H1201" t="s">
        <v>1462</v>
      </c>
      <c r="I1201">
        <v>5</v>
      </c>
      <c r="J1201" t="b">
        <v>1</v>
      </c>
      <c r="K1201">
        <v>1</v>
      </c>
      <c r="L1201">
        <v>2106199</v>
      </c>
      <c r="M1201" t="s">
        <v>558</v>
      </c>
      <c r="N1201">
        <v>5</v>
      </c>
      <c r="O1201">
        <v>5</v>
      </c>
      <c r="P1201"/>
      <c r="Q1201">
        <v>134971</v>
      </c>
      <c r="R1201">
        <v>1</v>
      </c>
      <c r="S1201" t="s">
        <v>40</v>
      </c>
      <c r="T1201">
        <v>261</v>
      </c>
      <c r="U1201">
        <v>147664</v>
      </c>
      <c r="V1201">
        <v>24</v>
      </c>
      <c r="W1201" t="s">
        <v>40</v>
      </c>
      <c r="X1201">
        <v>261</v>
      </c>
      <c r="Y1201" t="s">
        <v>377</v>
      </c>
      <c r="Z1201" t="s">
        <v>378</v>
      </c>
      <c r="AA1201" t="s">
        <v>379</v>
      </c>
      <c r="AB1201" t="s">
        <v>559</v>
      </c>
      <c r="AC1201" t="s">
        <v>41</v>
      </c>
      <c r="AD1201" t="s">
        <v>41</v>
      </c>
      <c r="AE1201" t="s">
        <v>41</v>
      </c>
      <c r="AF1201" t="s">
        <v>41</v>
      </c>
      <c r="AK1201"/>
    </row>
    <row r="1202" spans="1:38" x14ac:dyDescent="0.25">
      <c r="A1202" t="s">
        <v>39</v>
      </c>
      <c r="B1202">
        <v>46028.699212962965</v>
      </c>
      <c r="C1202">
        <v>93484</v>
      </c>
      <c r="D1202" t="s">
        <v>373</v>
      </c>
      <c r="E1202">
        <v>4507390</v>
      </c>
      <c r="F1202">
        <v>2304174</v>
      </c>
      <c r="G1202" t="s">
        <v>1235</v>
      </c>
      <c r="H1202" t="s">
        <v>1463</v>
      </c>
      <c r="I1202">
        <v>3.75</v>
      </c>
      <c r="J1202" t="b">
        <v>1</v>
      </c>
      <c r="K1202">
        <v>0.9375</v>
      </c>
      <c r="L1202">
        <v>2304175</v>
      </c>
      <c r="M1202" t="s">
        <v>1236</v>
      </c>
      <c r="N1202">
        <v>4</v>
      </c>
      <c r="O1202">
        <v>4</v>
      </c>
      <c r="P1202"/>
      <c r="Q1202">
        <v>134905</v>
      </c>
      <c r="R1202">
        <v>1</v>
      </c>
      <c r="S1202" t="s">
        <v>40</v>
      </c>
      <c r="T1202">
        <v>261</v>
      </c>
      <c r="U1202">
        <v>147664</v>
      </c>
      <c r="V1202">
        <v>24</v>
      </c>
      <c r="W1202" t="s">
        <v>40</v>
      </c>
      <c r="X1202">
        <v>261</v>
      </c>
      <c r="Y1202" t="s">
        <v>377</v>
      </c>
      <c r="Z1202" t="s">
        <v>378</v>
      </c>
      <c r="AA1202" t="s">
        <v>379</v>
      </c>
      <c r="AB1202" t="s">
        <v>384</v>
      </c>
      <c r="AC1202" t="s">
        <v>41</v>
      </c>
      <c r="AD1202" t="s">
        <v>41</v>
      </c>
      <c r="AE1202" t="s">
        <v>41</v>
      </c>
      <c r="AF1202" t="s">
        <v>41</v>
      </c>
      <c r="AK1202"/>
    </row>
    <row r="1203" spans="1:38" x14ac:dyDescent="0.25">
      <c r="A1203" t="s">
        <v>39</v>
      </c>
      <c r="B1203">
        <v>46028.700150462966</v>
      </c>
      <c r="C1203">
        <v>93484</v>
      </c>
      <c r="D1203" t="s">
        <v>373</v>
      </c>
      <c r="E1203">
        <v>4507391</v>
      </c>
      <c r="F1203">
        <v>2304174</v>
      </c>
      <c r="G1203" t="s">
        <v>1235</v>
      </c>
      <c r="H1203" t="s">
        <v>1463</v>
      </c>
      <c r="I1203">
        <v>3.75</v>
      </c>
      <c r="J1203" t="b">
        <v>1</v>
      </c>
      <c r="K1203">
        <v>0.3125</v>
      </c>
      <c r="L1203">
        <v>2304175</v>
      </c>
      <c r="M1203" t="s">
        <v>1236</v>
      </c>
      <c r="N1203">
        <v>12</v>
      </c>
      <c r="O1203">
        <v>12</v>
      </c>
      <c r="P1203"/>
      <c r="Q1203">
        <v>134905</v>
      </c>
      <c r="R1203">
        <v>1</v>
      </c>
      <c r="S1203" t="s">
        <v>40</v>
      </c>
      <c r="T1203">
        <v>261</v>
      </c>
      <c r="U1203">
        <v>147664</v>
      </c>
      <c r="V1203">
        <v>24</v>
      </c>
      <c r="W1203" t="s">
        <v>40</v>
      </c>
      <c r="X1203">
        <v>261</v>
      </c>
      <c r="Y1203" t="s">
        <v>377</v>
      </c>
      <c r="Z1203" t="s">
        <v>378</v>
      </c>
      <c r="AA1203" t="s">
        <v>379</v>
      </c>
      <c r="AB1203" t="s">
        <v>409</v>
      </c>
      <c r="AC1203" t="s">
        <v>41</v>
      </c>
      <c r="AD1203" t="s">
        <v>41</v>
      </c>
      <c r="AE1203" t="s">
        <v>41</v>
      </c>
      <c r="AF1203" t="s">
        <v>41</v>
      </c>
      <c r="AK1203"/>
    </row>
    <row r="1204" spans="1:38" x14ac:dyDescent="0.25">
      <c r="A1204" t="s">
        <v>39</v>
      </c>
      <c r="B1204">
        <v>46029.318055555559</v>
      </c>
      <c r="C1204">
        <v>93502</v>
      </c>
      <c r="D1204" t="s">
        <v>393</v>
      </c>
      <c r="E1204">
        <v>4507120</v>
      </c>
      <c r="F1204">
        <v>2104879</v>
      </c>
      <c r="G1204" t="s">
        <v>556</v>
      </c>
      <c r="H1204" t="s">
        <v>1464</v>
      </c>
      <c r="I1204">
        <v>10</v>
      </c>
      <c r="J1204" t="b">
        <v>1</v>
      </c>
      <c r="K1204">
        <v>2.5</v>
      </c>
      <c r="L1204">
        <v>2106199</v>
      </c>
      <c r="M1204" t="s">
        <v>558</v>
      </c>
      <c r="N1204">
        <v>4</v>
      </c>
      <c r="O1204">
        <v>4</v>
      </c>
      <c r="P1204"/>
      <c r="Q1204">
        <v>134971</v>
      </c>
      <c r="R1204">
        <v>1</v>
      </c>
      <c r="S1204" t="s">
        <v>40</v>
      </c>
      <c r="T1204">
        <v>261</v>
      </c>
      <c r="U1204">
        <v>147664</v>
      </c>
      <c r="V1204">
        <v>48</v>
      </c>
      <c r="W1204" t="s">
        <v>40</v>
      </c>
      <c r="X1204">
        <v>261</v>
      </c>
      <c r="Y1204" t="s">
        <v>377</v>
      </c>
      <c r="Z1204" t="s">
        <v>378</v>
      </c>
      <c r="AA1204" t="s">
        <v>379</v>
      </c>
      <c r="AB1204" t="s">
        <v>384</v>
      </c>
      <c r="AC1204" t="s">
        <v>379</v>
      </c>
      <c r="AD1204" t="s">
        <v>559</v>
      </c>
      <c r="AE1204" t="s">
        <v>41</v>
      </c>
      <c r="AF1204" t="s">
        <v>41</v>
      </c>
      <c r="AI1204">
        <v>134971</v>
      </c>
      <c r="AJ1204">
        <v>1</v>
      </c>
      <c r="AK1204" t="s">
        <v>40</v>
      </c>
      <c r="AL1204">
        <v>261</v>
      </c>
    </row>
    <row r="1205" spans="1:38" x14ac:dyDescent="0.25">
      <c r="A1205" t="s">
        <v>39</v>
      </c>
      <c r="B1205">
        <v>46029.319548611114</v>
      </c>
      <c r="C1205">
        <v>93502</v>
      </c>
      <c r="D1205" t="s">
        <v>393</v>
      </c>
      <c r="E1205">
        <v>4507121</v>
      </c>
      <c r="F1205">
        <v>2104879</v>
      </c>
      <c r="G1205" t="s">
        <v>556</v>
      </c>
      <c r="H1205" t="s">
        <v>1464</v>
      </c>
      <c r="I1205">
        <v>10</v>
      </c>
      <c r="J1205" t="b">
        <v>1</v>
      </c>
      <c r="K1205">
        <v>2</v>
      </c>
      <c r="L1205">
        <v>2106199</v>
      </c>
      <c r="M1205" t="s">
        <v>558</v>
      </c>
      <c r="N1205">
        <v>5</v>
      </c>
      <c r="O1205">
        <v>5</v>
      </c>
      <c r="P1205"/>
      <c r="Q1205">
        <v>134971</v>
      </c>
      <c r="R1205">
        <v>1</v>
      </c>
      <c r="S1205" t="s">
        <v>40</v>
      </c>
      <c r="T1205">
        <v>261</v>
      </c>
      <c r="U1205">
        <v>147664</v>
      </c>
      <c r="V1205">
        <v>24</v>
      </c>
      <c r="W1205" t="s">
        <v>40</v>
      </c>
      <c r="X1205">
        <v>261</v>
      </c>
      <c r="Y1205" t="s">
        <v>377</v>
      </c>
      <c r="Z1205" t="s">
        <v>378</v>
      </c>
      <c r="AA1205" t="s">
        <v>379</v>
      </c>
      <c r="AB1205" t="s">
        <v>559</v>
      </c>
      <c r="AC1205" t="s">
        <v>41</v>
      </c>
      <c r="AD1205" t="s">
        <v>41</v>
      </c>
      <c r="AE1205" t="s">
        <v>41</v>
      </c>
      <c r="AF1205" t="s">
        <v>41</v>
      </c>
      <c r="AK1205"/>
    </row>
    <row r="1206" spans="1:38" x14ac:dyDescent="0.25">
      <c r="A1206" t="s">
        <v>42</v>
      </c>
      <c r="B1206">
        <v>46029.329826388886</v>
      </c>
      <c r="C1206">
        <v>90623</v>
      </c>
      <c r="D1206" t="s">
        <v>393</v>
      </c>
      <c r="E1206">
        <v>4498892</v>
      </c>
      <c r="F1206">
        <v>2104784</v>
      </c>
      <c r="G1206" t="s">
        <v>1465</v>
      </c>
      <c r="H1206" t="s">
        <v>951</v>
      </c>
      <c r="I1206">
        <v>37.5</v>
      </c>
      <c r="J1206" t="b">
        <v>1</v>
      </c>
      <c r="K1206">
        <v>0.37128712871287128</v>
      </c>
      <c r="L1206">
        <v>2106113</v>
      </c>
      <c r="M1206" t="s">
        <v>1466</v>
      </c>
      <c r="N1206">
        <v>101</v>
      </c>
      <c r="O1206">
        <v>101</v>
      </c>
      <c r="P1206"/>
      <c r="Q1206">
        <v>0</v>
      </c>
      <c r="R1206">
        <v>0</v>
      </c>
      <c r="S1206" t="s">
        <v>40</v>
      </c>
      <c r="T1206">
        <v>261</v>
      </c>
      <c r="W1206"/>
      <c r="Y1206" t="s">
        <v>377</v>
      </c>
      <c r="Z1206" t="s">
        <v>378</v>
      </c>
      <c r="AA1206" t="s">
        <v>379</v>
      </c>
      <c r="AB1206" t="s">
        <v>616</v>
      </c>
      <c r="AC1206" t="s">
        <v>41</v>
      </c>
      <c r="AD1206" t="s">
        <v>41</v>
      </c>
      <c r="AE1206" t="s">
        <v>41</v>
      </c>
      <c r="AF1206" t="s">
        <v>41</v>
      </c>
      <c r="AK1206"/>
    </row>
    <row r="1207" spans="1:38" x14ac:dyDescent="0.25">
      <c r="A1207" t="s">
        <v>43</v>
      </c>
      <c r="B1207">
        <v>46029.557280092595</v>
      </c>
      <c r="C1207">
        <v>93485</v>
      </c>
      <c r="D1207" t="s">
        <v>393</v>
      </c>
      <c r="E1207">
        <v>4507392</v>
      </c>
      <c r="F1207">
        <v>2304174</v>
      </c>
      <c r="G1207" t="s">
        <v>1235</v>
      </c>
      <c r="H1207" t="s">
        <v>1467</v>
      </c>
      <c r="I1207">
        <v>7.5</v>
      </c>
      <c r="J1207" t="b">
        <v>1</v>
      </c>
      <c r="K1207">
        <v>0.46875</v>
      </c>
      <c r="L1207">
        <v>2304175</v>
      </c>
      <c r="M1207" t="s">
        <v>1236</v>
      </c>
      <c r="N1207">
        <v>16</v>
      </c>
      <c r="O1207">
        <v>16</v>
      </c>
      <c r="P1207"/>
      <c r="Q1207">
        <v>134905</v>
      </c>
      <c r="R1207">
        <v>1</v>
      </c>
      <c r="S1207" t="s">
        <v>40</v>
      </c>
      <c r="T1207">
        <v>261</v>
      </c>
      <c r="U1207">
        <v>147664</v>
      </c>
      <c r="V1207">
        <v>24</v>
      </c>
      <c r="W1207" t="s">
        <v>40</v>
      </c>
      <c r="X1207">
        <v>261</v>
      </c>
      <c r="Y1207" t="s">
        <v>377</v>
      </c>
      <c r="Z1207" t="s">
        <v>378</v>
      </c>
      <c r="AA1207" t="s">
        <v>379</v>
      </c>
      <c r="AB1207" t="s">
        <v>1264</v>
      </c>
      <c r="AC1207" t="s">
        <v>41</v>
      </c>
      <c r="AD1207" t="s">
        <v>41</v>
      </c>
      <c r="AE1207" t="s">
        <v>41</v>
      </c>
      <c r="AF1207" t="s">
        <v>41</v>
      </c>
      <c r="AK1207"/>
    </row>
    <row r="1208" spans="1:38" x14ac:dyDescent="0.25">
      <c r="A1208" t="s">
        <v>47</v>
      </c>
      <c r="B1208">
        <v>46029.932141203702</v>
      </c>
      <c r="C1208">
        <v>92631</v>
      </c>
      <c r="D1208" t="s">
        <v>682</v>
      </c>
      <c r="E1208">
        <v>4507275</v>
      </c>
      <c r="F1208">
        <v>2310135</v>
      </c>
      <c r="G1208" t="s">
        <v>1052</v>
      </c>
      <c r="H1208" t="s">
        <v>1427</v>
      </c>
      <c r="I1208">
        <v>64.3</v>
      </c>
      <c r="J1208" t="b">
        <v>1</v>
      </c>
      <c r="K1208">
        <v>0.15915841584158416</v>
      </c>
      <c r="L1208">
        <v>2310136</v>
      </c>
      <c r="M1208" t="s">
        <v>1053</v>
      </c>
      <c r="N1208">
        <v>404</v>
      </c>
      <c r="O1208">
        <v>404</v>
      </c>
      <c r="P1208"/>
      <c r="Q1208">
        <v>134974</v>
      </c>
      <c r="R1208">
        <v>1</v>
      </c>
      <c r="S1208" t="s">
        <v>40</v>
      </c>
      <c r="T1208">
        <v>261</v>
      </c>
      <c r="W1208"/>
      <c r="Y1208" t="s">
        <v>377</v>
      </c>
      <c r="Z1208" t="s">
        <v>378</v>
      </c>
      <c r="AA1208" t="s">
        <v>379</v>
      </c>
      <c r="AB1208" t="s">
        <v>1309</v>
      </c>
      <c r="AC1208" t="s">
        <v>41</v>
      </c>
      <c r="AD1208" t="s">
        <v>41</v>
      </c>
      <c r="AE1208" t="s">
        <v>41</v>
      </c>
      <c r="AF1208" t="s">
        <v>41</v>
      </c>
      <c r="AK1208"/>
    </row>
    <row r="1209" spans="1:38" x14ac:dyDescent="0.25">
      <c r="A1209" t="s">
        <v>43</v>
      </c>
      <c r="B1209">
        <v>46030.112222222226</v>
      </c>
      <c r="C1209">
        <v>93486</v>
      </c>
      <c r="D1209" t="s">
        <v>682</v>
      </c>
      <c r="E1209">
        <v>4507393</v>
      </c>
      <c r="F1209">
        <v>2304174</v>
      </c>
      <c r="G1209" t="s">
        <v>1235</v>
      </c>
      <c r="H1209" t="s">
        <v>1468</v>
      </c>
      <c r="I1209">
        <v>7.5</v>
      </c>
      <c r="J1209" t="b">
        <v>1</v>
      </c>
      <c r="K1209">
        <v>0.46875</v>
      </c>
      <c r="L1209">
        <v>2304175</v>
      </c>
      <c r="M1209"/>
      <c r="N1209">
        <v>16</v>
      </c>
      <c r="O1209">
        <v>16</v>
      </c>
      <c r="P1209"/>
      <c r="Q1209">
        <v>134905</v>
      </c>
      <c r="R1209">
        <v>1</v>
      </c>
      <c r="S1209" t="s">
        <v>40</v>
      </c>
      <c r="T1209">
        <v>261</v>
      </c>
      <c r="U1209">
        <v>147664</v>
      </c>
      <c r="V1209">
        <v>24</v>
      </c>
      <c r="W1209" t="s">
        <v>40</v>
      </c>
      <c r="X1209">
        <v>261</v>
      </c>
      <c r="Y1209" t="s">
        <v>377</v>
      </c>
      <c r="Z1209" t="s">
        <v>378</v>
      </c>
      <c r="AA1209" t="s">
        <v>379</v>
      </c>
      <c r="AB1209" t="s">
        <v>1264</v>
      </c>
      <c r="AC1209" t="s">
        <v>41</v>
      </c>
      <c r="AD1209" t="s">
        <v>41</v>
      </c>
      <c r="AE1209" t="s">
        <v>41</v>
      </c>
      <c r="AF1209" t="s">
        <v>41</v>
      </c>
      <c r="AK1209"/>
    </row>
    <row r="1210" spans="1:38" x14ac:dyDescent="0.25">
      <c r="A1210" t="s">
        <v>38</v>
      </c>
      <c r="B1210">
        <v>46030.164861111109</v>
      </c>
      <c r="C1210">
        <v>93504</v>
      </c>
      <c r="D1210" t="s">
        <v>682</v>
      </c>
      <c r="E1210">
        <v>4507086</v>
      </c>
      <c r="F1210">
        <v>2104881</v>
      </c>
      <c r="G1210" t="s">
        <v>600</v>
      </c>
      <c r="H1210" t="s">
        <v>1464</v>
      </c>
      <c r="I1210">
        <v>5</v>
      </c>
      <c r="J1210" t="b">
        <v>0</v>
      </c>
      <c r="K1210">
        <v>1.25</v>
      </c>
      <c r="L1210">
        <v>2106201</v>
      </c>
      <c r="M1210" t="s">
        <v>602</v>
      </c>
      <c r="N1210">
        <v>4</v>
      </c>
      <c r="O1210">
        <v>4</v>
      </c>
      <c r="P1210"/>
      <c r="Q1210">
        <v>134905</v>
      </c>
      <c r="R1210">
        <v>1</v>
      </c>
      <c r="S1210" t="s">
        <v>40</v>
      </c>
      <c r="T1210">
        <v>261</v>
      </c>
      <c r="U1210">
        <v>147664</v>
      </c>
      <c r="V1210">
        <v>24</v>
      </c>
      <c r="W1210" t="s">
        <v>40</v>
      </c>
      <c r="X1210">
        <v>261</v>
      </c>
      <c r="Y1210" t="s">
        <v>377</v>
      </c>
      <c r="Z1210" t="s">
        <v>378</v>
      </c>
      <c r="AA1210" t="s">
        <v>379</v>
      </c>
      <c r="AB1210" t="s">
        <v>384</v>
      </c>
      <c r="AC1210" t="s">
        <v>41</v>
      </c>
      <c r="AD1210" t="s">
        <v>41</v>
      </c>
      <c r="AE1210" t="s">
        <v>41</v>
      </c>
      <c r="AF1210" t="s">
        <v>41</v>
      </c>
      <c r="AK1210"/>
    </row>
    <row r="1211" spans="1:38" x14ac:dyDescent="0.25">
      <c r="A1211" t="s">
        <v>38</v>
      </c>
      <c r="B1211">
        <v>46030.170972222222</v>
      </c>
      <c r="C1211">
        <v>93504</v>
      </c>
      <c r="D1211" t="s">
        <v>682</v>
      </c>
      <c r="E1211">
        <v>4507087</v>
      </c>
      <c r="F1211">
        <v>2104881</v>
      </c>
      <c r="G1211" t="s">
        <v>600</v>
      </c>
      <c r="H1211" t="s">
        <v>1464</v>
      </c>
      <c r="I1211">
        <v>5</v>
      </c>
      <c r="J1211" t="b">
        <v>1</v>
      </c>
      <c r="K1211">
        <v>1</v>
      </c>
      <c r="L1211">
        <v>2106201</v>
      </c>
      <c r="M1211" t="s">
        <v>602</v>
      </c>
      <c r="N1211">
        <v>5</v>
      </c>
      <c r="O1211">
        <v>5</v>
      </c>
      <c r="P1211"/>
      <c r="Q1211">
        <v>134906</v>
      </c>
      <c r="R1211">
        <v>1</v>
      </c>
      <c r="S1211" t="s">
        <v>40</v>
      </c>
      <c r="T1211">
        <v>261</v>
      </c>
      <c r="U1211">
        <v>147664</v>
      </c>
      <c r="V1211">
        <v>24</v>
      </c>
      <c r="W1211" t="s">
        <v>40</v>
      </c>
      <c r="X1211">
        <v>261</v>
      </c>
      <c r="Y1211" t="s">
        <v>377</v>
      </c>
      <c r="Z1211" t="s">
        <v>378</v>
      </c>
      <c r="AA1211" t="s">
        <v>379</v>
      </c>
      <c r="AB1211" t="s">
        <v>559</v>
      </c>
      <c r="AC1211" t="s">
        <v>41</v>
      </c>
      <c r="AD1211" t="s">
        <v>41</v>
      </c>
      <c r="AE1211" t="s">
        <v>41</v>
      </c>
      <c r="AF1211" t="s">
        <v>41</v>
      </c>
      <c r="AK1211"/>
    </row>
    <row r="1212" spans="1:38" x14ac:dyDescent="0.25">
      <c r="A1212" t="s">
        <v>45</v>
      </c>
      <c r="B1212">
        <v>46030.376296296294</v>
      </c>
      <c r="C1212">
        <v>90624</v>
      </c>
      <c r="D1212" t="s">
        <v>401</v>
      </c>
      <c r="E1212">
        <v>4498892</v>
      </c>
      <c r="F1212">
        <v>2104784</v>
      </c>
      <c r="G1212" t="s">
        <v>1465</v>
      </c>
      <c r="H1212" t="s">
        <v>951</v>
      </c>
      <c r="I1212">
        <v>37.5</v>
      </c>
      <c r="J1212" t="b">
        <v>1</v>
      </c>
      <c r="K1212">
        <v>0.98684210526315785</v>
      </c>
      <c r="L1212">
        <v>2106113</v>
      </c>
      <c r="M1212" t="s">
        <v>1466</v>
      </c>
      <c r="N1212">
        <v>38</v>
      </c>
      <c r="O1212">
        <v>0</v>
      </c>
      <c r="P1212"/>
      <c r="Q1212">
        <v>0</v>
      </c>
      <c r="R1212">
        <v>0</v>
      </c>
      <c r="S1212" t="s">
        <v>40</v>
      </c>
      <c r="T1212">
        <v>261</v>
      </c>
      <c r="W1212"/>
      <c r="Y1212" t="s">
        <v>377</v>
      </c>
      <c r="Z1212" t="s">
        <v>378</v>
      </c>
      <c r="AA1212" t="s">
        <v>379</v>
      </c>
      <c r="AB1212" t="s">
        <v>1469</v>
      </c>
      <c r="AC1212" t="s">
        <v>41</v>
      </c>
      <c r="AD1212" t="s">
        <v>41</v>
      </c>
      <c r="AE1212" t="s">
        <v>41</v>
      </c>
      <c r="AF1212" t="s">
        <v>41</v>
      </c>
      <c r="AK1212"/>
    </row>
    <row r="1213" spans="1:38" x14ac:dyDescent="0.25">
      <c r="A1213" t="s">
        <v>43</v>
      </c>
      <c r="B1213">
        <v>46030.650787037041</v>
      </c>
      <c r="C1213">
        <v>93487</v>
      </c>
      <c r="D1213" t="s">
        <v>401</v>
      </c>
      <c r="E1213">
        <v>4507394</v>
      </c>
      <c r="F1213">
        <v>2304174</v>
      </c>
      <c r="G1213" t="s">
        <v>1235</v>
      </c>
      <c r="H1213" t="s">
        <v>1470</v>
      </c>
      <c r="I1213">
        <v>7.5</v>
      </c>
      <c r="J1213" t="b">
        <v>1</v>
      </c>
      <c r="K1213">
        <v>0.46875</v>
      </c>
      <c r="L1213">
        <v>2304175</v>
      </c>
      <c r="M1213" t="s">
        <v>1236</v>
      </c>
      <c r="N1213">
        <v>16</v>
      </c>
      <c r="O1213">
        <v>16</v>
      </c>
      <c r="P1213"/>
      <c r="Q1213">
        <v>134906</v>
      </c>
      <c r="R1213">
        <v>1</v>
      </c>
      <c r="S1213" t="s">
        <v>40</v>
      </c>
      <c r="T1213">
        <v>261</v>
      </c>
      <c r="U1213">
        <v>147664</v>
      </c>
      <c r="V1213">
        <v>24</v>
      </c>
      <c r="W1213" t="s">
        <v>40</v>
      </c>
      <c r="X1213">
        <v>261</v>
      </c>
      <c r="Y1213" t="s">
        <v>377</v>
      </c>
      <c r="Z1213" t="s">
        <v>378</v>
      </c>
      <c r="AA1213" t="s">
        <v>379</v>
      </c>
      <c r="AB1213" t="s">
        <v>1264</v>
      </c>
      <c r="AC1213" t="s">
        <v>41</v>
      </c>
      <c r="AD1213" t="s">
        <v>41</v>
      </c>
      <c r="AE1213" t="s">
        <v>41</v>
      </c>
      <c r="AF1213" t="s">
        <v>41</v>
      </c>
      <c r="AK1213"/>
    </row>
    <row r="1214" spans="1:38" x14ac:dyDescent="0.25">
      <c r="A1214" t="s">
        <v>42</v>
      </c>
      <c r="B1214">
        <v>46030.82335648148</v>
      </c>
      <c r="C1214">
        <v>91720</v>
      </c>
      <c r="D1214" t="s">
        <v>401</v>
      </c>
      <c r="E1214">
        <v>4505812</v>
      </c>
      <c r="F1214">
        <v>156316</v>
      </c>
      <c r="G1214" t="s">
        <v>899</v>
      </c>
      <c r="H1214" t="s">
        <v>1438</v>
      </c>
      <c r="I1214">
        <v>6</v>
      </c>
      <c r="J1214" t="b">
        <v>1</v>
      </c>
      <c r="K1214">
        <v>2</v>
      </c>
      <c r="L1214">
        <v>156315</v>
      </c>
      <c r="M1214" t="s">
        <v>901</v>
      </c>
      <c r="N1214">
        <v>3</v>
      </c>
      <c r="O1214">
        <v>3</v>
      </c>
      <c r="P1214"/>
      <c r="Q1214">
        <v>0</v>
      </c>
      <c r="R1214">
        <v>0</v>
      </c>
      <c r="S1214" t="s">
        <v>40</v>
      </c>
      <c r="T1214">
        <v>261</v>
      </c>
      <c r="W1214"/>
      <c r="Y1214" t="s">
        <v>377</v>
      </c>
      <c r="Z1214" t="s">
        <v>378</v>
      </c>
      <c r="AA1214" t="s">
        <v>379</v>
      </c>
      <c r="AB1214" t="s">
        <v>622</v>
      </c>
      <c r="AC1214" t="s">
        <v>41</v>
      </c>
      <c r="AD1214" t="s">
        <v>41</v>
      </c>
      <c r="AE1214" t="s">
        <v>41</v>
      </c>
      <c r="AF1214" t="s">
        <v>41</v>
      </c>
      <c r="AK1214"/>
    </row>
    <row r="1215" spans="1:38" x14ac:dyDescent="0.25">
      <c r="A1215" t="s">
        <v>42</v>
      </c>
      <c r="B1215">
        <v>46030.824016203704</v>
      </c>
      <c r="C1215">
        <v>91720</v>
      </c>
      <c r="D1215" t="s">
        <v>401</v>
      </c>
      <c r="E1215">
        <v>4505811</v>
      </c>
      <c r="F1215">
        <v>156316</v>
      </c>
      <c r="G1215" t="s">
        <v>899</v>
      </c>
      <c r="H1215" t="s">
        <v>1438</v>
      </c>
      <c r="I1215">
        <v>6</v>
      </c>
      <c r="J1215" t="b">
        <v>1</v>
      </c>
      <c r="K1215">
        <v>1.5</v>
      </c>
      <c r="L1215">
        <v>156315</v>
      </c>
      <c r="M1215" t="s">
        <v>901</v>
      </c>
      <c r="N1215">
        <v>4</v>
      </c>
      <c r="O1215">
        <v>4</v>
      </c>
      <c r="P1215"/>
      <c r="Q1215">
        <v>0</v>
      </c>
      <c r="R1215">
        <v>0</v>
      </c>
      <c r="S1215" t="s">
        <v>40</v>
      </c>
      <c r="T1215">
        <v>261</v>
      </c>
      <c r="W1215"/>
      <c r="Y1215" t="s">
        <v>377</v>
      </c>
      <c r="Z1215" t="s">
        <v>378</v>
      </c>
      <c r="AA1215" t="s">
        <v>379</v>
      </c>
      <c r="AB1215" t="s">
        <v>384</v>
      </c>
      <c r="AC1215" t="s">
        <v>41</v>
      </c>
      <c r="AD1215" t="s">
        <v>41</v>
      </c>
      <c r="AE1215" t="s">
        <v>41</v>
      </c>
      <c r="AF1215" t="s">
        <v>41</v>
      </c>
      <c r="AK1215"/>
    </row>
    <row r="1216" spans="1:38" x14ac:dyDescent="0.25">
      <c r="A1216" t="s">
        <v>38</v>
      </c>
      <c r="B1216">
        <v>46031.045844907407</v>
      </c>
      <c r="C1216">
        <v>93505</v>
      </c>
      <c r="D1216" t="s">
        <v>563</v>
      </c>
      <c r="E1216">
        <v>4507088</v>
      </c>
      <c r="F1216">
        <v>2104881</v>
      </c>
      <c r="G1216" t="s">
        <v>600</v>
      </c>
      <c r="H1216" t="s">
        <v>1471</v>
      </c>
      <c r="I1216">
        <v>10</v>
      </c>
      <c r="J1216" t="b">
        <v>1</v>
      </c>
      <c r="K1216">
        <v>2.5</v>
      </c>
      <c r="L1216">
        <v>2106201</v>
      </c>
      <c r="M1216" t="s">
        <v>602</v>
      </c>
      <c r="N1216">
        <v>4</v>
      </c>
      <c r="O1216">
        <v>4</v>
      </c>
      <c r="P1216"/>
      <c r="Q1216">
        <v>134906</v>
      </c>
      <c r="R1216">
        <v>1</v>
      </c>
      <c r="S1216" t="s">
        <v>40</v>
      </c>
      <c r="T1216">
        <v>261</v>
      </c>
      <c r="U1216">
        <v>147664</v>
      </c>
      <c r="V1216">
        <v>24</v>
      </c>
      <c r="W1216" t="s">
        <v>40</v>
      </c>
      <c r="X1216">
        <v>261</v>
      </c>
      <c r="Y1216" t="s">
        <v>377</v>
      </c>
      <c r="Z1216" t="s">
        <v>378</v>
      </c>
      <c r="AA1216" t="s">
        <v>379</v>
      </c>
      <c r="AB1216" t="s">
        <v>384</v>
      </c>
      <c r="AC1216" t="s">
        <v>41</v>
      </c>
      <c r="AD1216" t="s">
        <v>41</v>
      </c>
      <c r="AE1216" t="s">
        <v>41</v>
      </c>
      <c r="AF1216" t="s">
        <v>41</v>
      </c>
      <c r="AK1216"/>
    </row>
    <row r="1217" spans="1:37" x14ac:dyDescent="0.25">
      <c r="A1217" t="s">
        <v>38</v>
      </c>
      <c r="B1217">
        <v>46031.046493055554</v>
      </c>
      <c r="C1217">
        <v>93505</v>
      </c>
      <c r="D1217" t="s">
        <v>563</v>
      </c>
      <c r="E1217">
        <v>4507089</v>
      </c>
      <c r="F1217">
        <v>2104881</v>
      </c>
      <c r="G1217" t="s">
        <v>600</v>
      </c>
      <c r="H1217" t="s">
        <v>1471</v>
      </c>
      <c r="I1217">
        <v>10</v>
      </c>
      <c r="J1217" t="b">
        <v>1</v>
      </c>
      <c r="K1217">
        <v>2</v>
      </c>
      <c r="L1217">
        <v>2106201</v>
      </c>
      <c r="M1217" t="s">
        <v>602</v>
      </c>
      <c r="N1217">
        <v>5</v>
      </c>
      <c r="O1217">
        <v>5</v>
      </c>
      <c r="P1217"/>
      <c r="Q1217">
        <v>134906</v>
      </c>
      <c r="R1217">
        <v>1</v>
      </c>
      <c r="S1217" t="s">
        <v>40</v>
      </c>
      <c r="T1217">
        <v>261</v>
      </c>
      <c r="U1217">
        <v>147664</v>
      </c>
      <c r="V1217">
        <v>24</v>
      </c>
      <c r="W1217" t="s">
        <v>40</v>
      </c>
      <c r="X1217">
        <v>261</v>
      </c>
      <c r="Y1217" t="s">
        <v>377</v>
      </c>
      <c r="Z1217" t="s">
        <v>378</v>
      </c>
      <c r="AA1217" t="s">
        <v>379</v>
      </c>
      <c r="AB1217" t="s">
        <v>559</v>
      </c>
      <c r="AC1217" t="s">
        <v>41</v>
      </c>
      <c r="AD1217" t="s">
        <v>41</v>
      </c>
      <c r="AE1217" t="s">
        <v>41</v>
      </c>
      <c r="AF1217" t="s">
        <v>41</v>
      </c>
      <c r="AK1217"/>
    </row>
    <row r="1218" spans="1:37" x14ac:dyDescent="0.25">
      <c r="A1218" t="s">
        <v>37</v>
      </c>
      <c r="B1218">
        <v>46031.061921296299</v>
      </c>
      <c r="C1218">
        <v>92632</v>
      </c>
      <c r="D1218" t="s">
        <v>563</v>
      </c>
      <c r="E1218">
        <v>4507276</v>
      </c>
      <c r="F1218">
        <v>2310135</v>
      </c>
      <c r="G1218" t="s">
        <v>1052</v>
      </c>
      <c r="H1218" t="s">
        <v>1430</v>
      </c>
      <c r="I1218">
        <v>64.3</v>
      </c>
      <c r="J1218" t="b">
        <v>1</v>
      </c>
      <c r="K1218">
        <v>0.15759803921568627</v>
      </c>
      <c r="L1218">
        <v>2310136</v>
      </c>
      <c r="M1218" t="s">
        <v>1053</v>
      </c>
      <c r="N1218">
        <v>408</v>
      </c>
      <c r="O1218">
        <v>408</v>
      </c>
      <c r="P1218"/>
      <c r="Q1218">
        <v>134974</v>
      </c>
      <c r="R1218">
        <v>1</v>
      </c>
      <c r="S1218" t="s">
        <v>40</v>
      </c>
      <c r="T1218">
        <v>261</v>
      </c>
      <c r="W1218"/>
      <c r="Y1218" t="s">
        <v>377</v>
      </c>
      <c r="Z1218" t="s">
        <v>378</v>
      </c>
      <c r="AA1218" t="s">
        <v>379</v>
      </c>
      <c r="AB1218" t="s">
        <v>1296</v>
      </c>
      <c r="AC1218" t="s">
        <v>41</v>
      </c>
      <c r="AD1218" t="s">
        <v>41</v>
      </c>
      <c r="AE1218" t="s">
        <v>41</v>
      </c>
      <c r="AF1218" t="s">
        <v>41</v>
      </c>
      <c r="AK1218"/>
    </row>
    <row r="1219" spans="1:37" x14ac:dyDescent="0.25">
      <c r="A1219" t="s">
        <v>42</v>
      </c>
      <c r="B1219">
        <v>46031.200115740743</v>
      </c>
      <c r="C1219">
        <v>93488</v>
      </c>
      <c r="D1219" t="s">
        <v>563</v>
      </c>
      <c r="E1219">
        <v>4507395</v>
      </c>
      <c r="F1219">
        <v>2304174</v>
      </c>
      <c r="G1219" t="s">
        <v>1235</v>
      </c>
      <c r="H1219" t="s">
        <v>1472</v>
      </c>
      <c r="I1219">
        <v>1.5</v>
      </c>
      <c r="J1219" t="b">
        <v>1</v>
      </c>
      <c r="K1219">
        <v>0.375</v>
      </c>
      <c r="L1219">
        <v>2304175</v>
      </c>
      <c r="M1219" t="s">
        <v>1236</v>
      </c>
      <c r="N1219">
        <v>4</v>
      </c>
      <c r="O1219">
        <v>4</v>
      </c>
      <c r="P1219"/>
      <c r="Q1219">
        <v>134906</v>
      </c>
      <c r="R1219">
        <v>1</v>
      </c>
      <c r="S1219" t="s">
        <v>40</v>
      </c>
      <c r="T1219">
        <v>261</v>
      </c>
      <c r="U1219">
        <v>147664</v>
      </c>
      <c r="V1219">
        <v>24</v>
      </c>
      <c r="W1219" t="s">
        <v>40</v>
      </c>
      <c r="X1219">
        <v>261</v>
      </c>
      <c r="Y1219" t="s">
        <v>377</v>
      </c>
      <c r="Z1219" t="s">
        <v>378</v>
      </c>
      <c r="AA1219" t="s">
        <v>379</v>
      </c>
      <c r="AB1219" t="s">
        <v>384</v>
      </c>
      <c r="AC1219" t="s">
        <v>41</v>
      </c>
      <c r="AD1219" t="s">
        <v>41</v>
      </c>
      <c r="AE1219" t="s">
        <v>41</v>
      </c>
      <c r="AF1219" t="s">
        <v>41</v>
      </c>
      <c r="AK1219"/>
    </row>
    <row r="1220" spans="1:37" x14ac:dyDescent="0.25">
      <c r="A1220" t="s">
        <v>42</v>
      </c>
      <c r="B1220">
        <v>46031.200810185182</v>
      </c>
      <c r="C1220">
        <v>93488</v>
      </c>
      <c r="D1220" t="s">
        <v>563</v>
      </c>
      <c r="E1220">
        <v>4507396</v>
      </c>
      <c r="F1220">
        <v>2304174</v>
      </c>
      <c r="G1220" t="s">
        <v>1235</v>
      </c>
      <c r="H1220" t="s">
        <v>1472</v>
      </c>
      <c r="I1220">
        <v>6</v>
      </c>
      <c r="J1220" t="b">
        <v>1</v>
      </c>
      <c r="K1220">
        <v>0.5</v>
      </c>
      <c r="L1220">
        <v>2304175</v>
      </c>
      <c r="M1220" t="s">
        <v>1236</v>
      </c>
      <c r="N1220">
        <v>12</v>
      </c>
      <c r="O1220">
        <v>12</v>
      </c>
      <c r="P1220"/>
      <c r="Q1220">
        <v>134906</v>
      </c>
      <c r="R1220">
        <v>1</v>
      </c>
      <c r="S1220" t="s">
        <v>40</v>
      </c>
      <c r="T1220">
        <v>261</v>
      </c>
      <c r="U1220">
        <v>147664</v>
      </c>
      <c r="V1220">
        <v>24</v>
      </c>
      <c r="W1220" t="s">
        <v>40</v>
      </c>
      <c r="X1220">
        <v>261</v>
      </c>
      <c r="Y1220" t="s">
        <v>377</v>
      </c>
      <c r="Z1220" t="s">
        <v>378</v>
      </c>
      <c r="AA1220" t="s">
        <v>379</v>
      </c>
      <c r="AB1220" t="s">
        <v>409</v>
      </c>
      <c r="AC1220" t="s">
        <v>41</v>
      </c>
      <c r="AD1220" t="s">
        <v>41</v>
      </c>
      <c r="AE1220" t="s">
        <v>41</v>
      </c>
      <c r="AF1220" t="s">
        <v>41</v>
      </c>
      <c r="AK1220"/>
    </row>
    <row r="1221" spans="1:37" x14ac:dyDescent="0.25">
      <c r="A1221" t="s">
        <v>37</v>
      </c>
      <c r="B1221">
        <v>46031.384745370371</v>
      </c>
      <c r="C1221">
        <v>90755</v>
      </c>
      <c r="D1221" t="s">
        <v>646</v>
      </c>
      <c r="E1221">
        <v>4503334</v>
      </c>
      <c r="F1221">
        <v>2104513</v>
      </c>
      <c r="G1221" t="s">
        <v>1473</v>
      </c>
      <c r="H1221" t="s">
        <v>1311</v>
      </c>
      <c r="I1221">
        <v>5</v>
      </c>
      <c r="J1221" t="b">
        <v>1</v>
      </c>
      <c r="K1221">
        <v>0.23809523809523808</v>
      </c>
      <c r="L1221">
        <v>2105877</v>
      </c>
      <c r="M1221" t="s">
        <v>1474</v>
      </c>
      <c r="N1221">
        <v>21</v>
      </c>
      <c r="O1221">
        <v>21</v>
      </c>
      <c r="P1221"/>
      <c r="Q1221">
        <v>134908</v>
      </c>
      <c r="R1221">
        <v>1</v>
      </c>
      <c r="S1221" t="s">
        <v>40</v>
      </c>
      <c r="T1221">
        <v>261</v>
      </c>
      <c r="U1221">
        <v>147664</v>
      </c>
      <c r="V1221">
        <v>24</v>
      </c>
      <c r="W1221" t="s">
        <v>40</v>
      </c>
      <c r="X1221">
        <v>261</v>
      </c>
      <c r="Y1221" t="s">
        <v>679</v>
      </c>
      <c r="Z1221" t="s">
        <v>378</v>
      </c>
      <c r="AA1221" t="s">
        <v>379</v>
      </c>
      <c r="AB1221" t="s">
        <v>1099</v>
      </c>
      <c r="AC1221" t="s">
        <v>41</v>
      </c>
      <c r="AD1221" t="s">
        <v>41</v>
      </c>
      <c r="AE1221" t="s">
        <v>41</v>
      </c>
      <c r="AF1221" t="s">
        <v>41</v>
      </c>
      <c r="AK1221"/>
    </row>
    <row r="1222" spans="1:37" x14ac:dyDescent="0.25">
      <c r="A1222" t="s">
        <v>44</v>
      </c>
      <c r="B1222">
        <v>46031.428587962961</v>
      </c>
      <c r="C1222">
        <v>91726</v>
      </c>
      <c r="D1222" t="s">
        <v>646</v>
      </c>
      <c r="E1222">
        <v>4507450</v>
      </c>
      <c r="F1222">
        <v>156316</v>
      </c>
      <c r="G1222" t="s">
        <v>899</v>
      </c>
      <c r="H1222" t="s">
        <v>1441</v>
      </c>
      <c r="I1222">
        <v>7</v>
      </c>
      <c r="J1222" t="b">
        <v>1</v>
      </c>
      <c r="K1222">
        <v>1.75</v>
      </c>
      <c r="L1222">
        <v>156315</v>
      </c>
      <c r="M1222" t="s">
        <v>901</v>
      </c>
      <c r="N1222">
        <v>4</v>
      </c>
      <c r="O1222">
        <v>4</v>
      </c>
      <c r="P1222"/>
      <c r="Q1222">
        <v>134905</v>
      </c>
      <c r="R1222">
        <v>1</v>
      </c>
      <c r="S1222" t="s">
        <v>40</v>
      </c>
      <c r="T1222">
        <v>261</v>
      </c>
      <c r="U1222">
        <v>147664</v>
      </c>
      <c r="V1222">
        <v>24</v>
      </c>
      <c r="W1222" t="s">
        <v>40</v>
      </c>
      <c r="X1222">
        <v>261</v>
      </c>
      <c r="Y1222" t="s">
        <v>377</v>
      </c>
      <c r="Z1222" t="s">
        <v>378</v>
      </c>
      <c r="AA1222" t="s">
        <v>379</v>
      </c>
      <c r="AB1222" t="s">
        <v>384</v>
      </c>
      <c r="AC1222" t="s">
        <v>41</v>
      </c>
      <c r="AD1222" t="s">
        <v>41</v>
      </c>
      <c r="AE1222" t="s">
        <v>41</v>
      </c>
      <c r="AF1222" t="s">
        <v>41</v>
      </c>
      <c r="AK1222"/>
    </row>
    <row r="1223" spans="1:37" x14ac:dyDescent="0.25">
      <c r="A1223" t="s">
        <v>44</v>
      </c>
      <c r="B1223">
        <v>46031.4297337963</v>
      </c>
      <c r="C1223">
        <v>91726</v>
      </c>
      <c r="D1223" t="s">
        <v>646</v>
      </c>
      <c r="E1223">
        <v>4507451</v>
      </c>
      <c r="F1223">
        <v>156316</v>
      </c>
      <c r="G1223" t="s">
        <v>899</v>
      </c>
      <c r="H1223" t="s">
        <v>1441</v>
      </c>
      <c r="I1223">
        <v>7</v>
      </c>
      <c r="J1223" t="b">
        <v>1</v>
      </c>
      <c r="K1223">
        <v>1.75</v>
      </c>
      <c r="L1223">
        <v>156315</v>
      </c>
      <c r="M1223" t="s">
        <v>901</v>
      </c>
      <c r="N1223">
        <v>4</v>
      </c>
      <c r="O1223">
        <v>4</v>
      </c>
      <c r="P1223"/>
      <c r="Q1223">
        <v>134905</v>
      </c>
      <c r="R1223">
        <v>1</v>
      </c>
      <c r="S1223" t="s">
        <v>40</v>
      </c>
      <c r="T1223">
        <v>261</v>
      </c>
      <c r="U1223">
        <v>147664</v>
      </c>
      <c r="V1223">
        <v>24</v>
      </c>
      <c r="W1223" t="s">
        <v>40</v>
      </c>
      <c r="X1223">
        <v>261</v>
      </c>
      <c r="Y1223" t="s">
        <v>377</v>
      </c>
      <c r="Z1223" t="s">
        <v>378</v>
      </c>
      <c r="AA1223" t="s">
        <v>379</v>
      </c>
      <c r="AB1223" t="s">
        <v>384</v>
      </c>
      <c r="AC1223" t="s">
        <v>41</v>
      </c>
      <c r="AD1223" t="s">
        <v>41</v>
      </c>
      <c r="AE1223" t="s">
        <v>41</v>
      </c>
      <c r="AF1223" t="s">
        <v>41</v>
      </c>
      <c r="AK1223"/>
    </row>
    <row r="1224" spans="1:37" x14ac:dyDescent="0.25">
      <c r="A1224" t="s">
        <v>45</v>
      </c>
      <c r="B1224">
        <v>46031.496840277781</v>
      </c>
      <c r="C1224">
        <v>90753</v>
      </c>
      <c r="D1224" t="s">
        <v>646</v>
      </c>
      <c r="E1224">
        <v>4479660</v>
      </c>
      <c r="F1224">
        <v>2104514</v>
      </c>
      <c r="G1224" t="s">
        <v>1458</v>
      </c>
      <c r="H1224" t="s">
        <v>1311</v>
      </c>
      <c r="I1224">
        <v>5</v>
      </c>
      <c r="J1224" t="b">
        <v>1</v>
      </c>
      <c r="K1224">
        <v>0.23809523809523808</v>
      </c>
      <c r="L1224">
        <v>2132455</v>
      </c>
      <c r="M1224" t="s">
        <v>1459</v>
      </c>
      <c r="N1224">
        <v>21</v>
      </c>
      <c r="O1224">
        <v>21</v>
      </c>
      <c r="P1224"/>
      <c r="Q1224">
        <v>134974</v>
      </c>
      <c r="R1224">
        <v>1</v>
      </c>
      <c r="S1224" t="s">
        <v>40</v>
      </c>
      <c r="T1224">
        <v>261</v>
      </c>
      <c r="W1224"/>
      <c r="Y1224" t="s">
        <v>679</v>
      </c>
      <c r="Z1224" t="s">
        <v>378</v>
      </c>
      <c r="AA1224" t="s">
        <v>379</v>
      </c>
      <c r="AB1224" t="s">
        <v>1099</v>
      </c>
      <c r="AC1224" t="s">
        <v>41</v>
      </c>
      <c r="AD1224" t="s">
        <v>41</v>
      </c>
      <c r="AE1224" t="s">
        <v>41</v>
      </c>
      <c r="AF1224" t="s">
        <v>41</v>
      </c>
      <c r="AK1224"/>
    </row>
    <row r="1225" spans="1:37" x14ac:dyDescent="0.25">
      <c r="A1225" t="s">
        <v>42</v>
      </c>
      <c r="B1225">
        <v>46031.574050925927</v>
      </c>
      <c r="C1225">
        <v>90757</v>
      </c>
      <c r="D1225" t="s">
        <v>646</v>
      </c>
      <c r="E1225">
        <v>4505840</v>
      </c>
      <c r="F1225">
        <v>2123936</v>
      </c>
      <c r="G1225" t="s">
        <v>1475</v>
      </c>
      <c r="H1225" t="s">
        <v>1300</v>
      </c>
      <c r="I1225">
        <v>5</v>
      </c>
      <c r="J1225" t="b">
        <v>1</v>
      </c>
      <c r="K1225">
        <v>0.23809523809523808</v>
      </c>
      <c r="L1225">
        <v>2105901</v>
      </c>
      <c r="M1225" t="s">
        <v>1476</v>
      </c>
      <c r="N1225">
        <v>21</v>
      </c>
      <c r="O1225">
        <v>21</v>
      </c>
      <c r="P1225"/>
      <c r="Q1225">
        <v>134971</v>
      </c>
      <c r="R1225">
        <v>1</v>
      </c>
      <c r="S1225" t="s">
        <v>40</v>
      </c>
      <c r="T1225">
        <v>261</v>
      </c>
      <c r="U1225">
        <v>147664</v>
      </c>
      <c r="V1225">
        <v>24</v>
      </c>
      <c r="W1225" t="s">
        <v>40</v>
      </c>
      <c r="X1225">
        <v>261</v>
      </c>
      <c r="Y1225" t="s">
        <v>377</v>
      </c>
      <c r="Z1225" t="s">
        <v>378</v>
      </c>
      <c r="AA1225" t="s">
        <v>379</v>
      </c>
      <c r="AB1225" t="s">
        <v>1099</v>
      </c>
      <c r="AC1225" t="s">
        <v>41</v>
      </c>
      <c r="AD1225" t="s">
        <v>41</v>
      </c>
      <c r="AE1225" t="s">
        <v>41</v>
      </c>
      <c r="AF1225" t="s">
        <v>41</v>
      </c>
      <c r="AK1225"/>
    </row>
    <row r="1226" spans="1:37" x14ac:dyDescent="0.25">
      <c r="A1226" t="s">
        <v>37</v>
      </c>
      <c r="B1226">
        <v>46031.82880787037</v>
      </c>
      <c r="C1226">
        <v>93489</v>
      </c>
      <c r="D1226" t="s">
        <v>866</v>
      </c>
      <c r="E1226">
        <v>4507397</v>
      </c>
      <c r="F1226">
        <v>2304174</v>
      </c>
      <c r="G1226" t="s">
        <v>1235</v>
      </c>
      <c r="H1226" t="s">
        <v>1477</v>
      </c>
      <c r="I1226">
        <v>7.5</v>
      </c>
      <c r="J1226" t="b">
        <v>1</v>
      </c>
      <c r="K1226">
        <v>0.46875</v>
      </c>
      <c r="L1226">
        <v>2304175</v>
      </c>
      <c r="M1226" t="s">
        <v>1236</v>
      </c>
      <c r="N1226">
        <v>16</v>
      </c>
      <c r="O1226">
        <v>16</v>
      </c>
      <c r="P1226"/>
      <c r="Q1226">
        <v>134906</v>
      </c>
      <c r="R1226">
        <v>1</v>
      </c>
      <c r="S1226" t="s">
        <v>40</v>
      </c>
      <c r="T1226">
        <v>261</v>
      </c>
      <c r="U1226">
        <v>147664</v>
      </c>
      <c r="V1226">
        <v>24</v>
      </c>
      <c r="W1226" t="s">
        <v>40</v>
      </c>
      <c r="X1226">
        <v>261</v>
      </c>
      <c r="Y1226" t="s">
        <v>377</v>
      </c>
      <c r="Z1226" t="s">
        <v>378</v>
      </c>
      <c r="AA1226" t="s">
        <v>379</v>
      </c>
      <c r="AB1226" t="s">
        <v>1264</v>
      </c>
      <c r="AC1226" t="s">
        <v>41</v>
      </c>
      <c r="AD1226" t="s">
        <v>41</v>
      </c>
      <c r="AE1226" t="s">
        <v>41</v>
      </c>
      <c r="AF1226" t="s">
        <v>41</v>
      </c>
      <c r="AK1226"/>
    </row>
    <row r="1227" spans="1:37" x14ac:dyDescent="0.25">
      <c r="A1227" t="s">
        <v>38</v>
      </c>
      <c r="B1227">
        <v>46031.91300925926</v>
      </c>
      <c r="C1227">
        <v>93506</v>
      </c>
      <c r="D1227" t="s">
        <v>866</v>
      </c>
      <c r="E1227">
        <v>4507107</v>
      </c>
      <c r="F1227">
        <v>2104882</v>
      </c>
      <c r="G1227" t="s">
        <v>1148</v>
      </c>
      <c r="H1227" t="s">
        <v>1464</v>
      </c>
      <c r="I1227">
        <v>5</v>
      </c>
      <c r="J1227" t="b">
        <v>1</v>
      </c>
      <c r="K1227">
        <v>1</v>
      </c>
      <c r="L1227">
        <v>2106202</v>
      </c>
      <c r="M1227" t="s">
        <v>1149</v>
      </c>
      <c r="N1227">
        <v>5</v>
      </c>
      <c r="O1227">
        <v>5</v>
      </c>
      <c r="P1227"/>
      <c r="Q1227">
        <v>2301936</v>
      </c>
      <c r="R1227">
        <v>1</v>
      </c>
      <c r="S1227" t="s">
        <v>40</v>
      </c>
      <c r="T1227">
        <v>261</v>
      </c>
      <c r="U1227">
        <v>147664</v>
      </c>
      <c r="V1227">
        <v>24</v>
      </c>
      <c r="W1227" t="s">
        <v>40</v>
      </c>
      <c r="X1227">
        <v>261</v>
      </c>
      <c r="Y1227" t="s">
        <v>377</v>
      </c>
      <c r="Z1227" t="s">
        <v>378</v>
      </c>
      <c r="AA1227" t="s">
        <v>379</v>
      </c>
      <c r="AB1227" t="s">
        <v>559</v>
      </c>
      <c r="AC1227" t="s">
        <v>41</v>
      </c>
      <c r="AD1227" t="s">
        <v>41</v>
      </c>
      <c r="AE1227" t="s">
        <v>41</v>
      </c>
      <c r="AF1227" t="s">
        <v>41</v>
      </c>
      <c r="AK1227"/>
    </row>
    <row r="1228" spans="1:37" x14ac:dyDescent="0.25">
      <c r="A1228" t="s">
        <v>38</v>
      </c>
      <c r="B1228">
        <v>46031.914236111108</v>
      </c>
      <c r="C1228">
        <v>93506</v>
      </c>
      <c r="D1228" t="s">
        <v>866</v>
      </c>
      <c r="E1228">
        <v>4507106</v>
      </c>
      <c r="F1228">
        <v>2104882</v>
      </c>
      <c r="G1228" t="s">
        <v>1148</v>
      </c>
      <c r="H1228" t="s">
        <v>1464</v>
      </c>
      <c r="I1228">
        <v>5</v>
      </c>
      <c r="J1228" t="b">
        <v>1</v>
      </c>
      <c r="K1228">
        <v>1.25</v>
      </c>
      <c r="L1228">
        <v>2106202</v>
      </c>
      <c r="M1228" t="s">
        <v>1149</v>
      </c>
      <c r="N1228">
        <v>4</v>
      </c>
      <c r="O1228">
        <v>4</v>
      </c>
      <c r="P1228"/>
      <c r="Q1228">
        <v>2301936</v>
      </c>
      <c r="R1228">
        <v>1</v>
      </c>
      <c r="S1228" t="s">
        <v>40</v>
      </c>
      <c r="T1228">
        <v>261</v>
      </c>
      <c r="U1228">
        <v>147664</v>
      </c>
      <c r="V1228">
        <v>24</v>
      </c>
      <c r="W1228" t="s">
        <v>40</v>
      </c>
      <c r="X1228">
        <v>261</v>
      </c>
      <c r="Y1228" t="s">
        <v>377</v>
      </c>
      <c r="Z1228" t="s">
        <v>378</v>
      </c>
      <c r="AA1228" t="s">
        <v>379</v>
      </c>
      <c r="AB1228" t="s">
        <v>384</v>
      </c>
      <c r="AC1228" t="s">
        <v>41</v>
      </c>
      <c r="AD1228" t="s">
        <v>41</v>
      </c>
      <c r="AE1228" t="s">
        <v>41</v>
      </c>
      <c r="AF1228" t="s">
        <v>41</v>
      </c>
      <c r="AK1228"/>
    </row>
    <row r="1229" spans="1:37" x14ac:dyDescent="0.25">
      <c r="A1229" t="s">
        <v>39</v>
      </c>
      <c r="B1229">
        <v>46032.33494212963</v>
      </c>
      <c r="C1229">
        <v>92102</v>
      </c>
      <c r="D1229" t="s">
        <v>373</v>
      </c>
      <c r="E1229">
        <v>4507277</v>
      </c>
      <c r="F1229">
        <v>2310135</v>
      </c>
      <c r="G1229" t="s">
        <v>1052</v>
      </c>
      <c r="H1229" t="s">
        <v>1429</v>
      </c>
      <c r="I1229">
        <v>64.3</v>
      </c>
      <c r="J1229" t="b">
        <v>1</v>
      </c>
      <c r="K1229">
        <v>0.15644768856447688</v>
      </c>
      <c r="L1229">
        <v>2310136</v>
      </c>
      <c r="M1229" t="s">
        <v>1053</v>
      </c>
      <c r="N1229">
        <v>411</v>
      </c>
      <c r="O1229">
        <v>407</v>
      </c>
      <c r="P1229"/>
      <c r="Q1229">
        <v>134974</v>
      </c>
      <c r="R1229">
        <v>1</v>
      </c>
      <c r="S1229" t="s">
        <v>40</v>
      </c>
      <c r="T1229">
        <v>261</v>
      </c>
      <c r="W1229"/>
      <c r="Y1229" t="s">
        <v>377</v>
      </c>
      <c r="Z1229" t="s">
        <v>378</v>
      </c>
      <c r="AA1229" t="s">
        <v>379</v>
      </c>
      <c r="AB1229" t="s">
        <v>1446</v>
      </c>
      <c r="AC1229" t="s">
        <v>41</v>
      </c>
      <c r="AD1229" t="s">
        <v>41</v>
      </c>
      <c r="AE1229" t="s">
        <v>41</v>
      </c>
      <c r="AF1229" t="s">
        <v>41</v>
      </c>
      <c r="AK1229"/>
    </row>
    <row r="1230" spans="1:37" x14ac:dyDescent="0.25">
      <c r="A1230" t="s">
        <v>37</v>
      </c>
      <c r="B1230">
        <v>46032.505231481482</v>
      </c>
      <c r="C1230">
        <v>91455</v>
      </c>
      <c r="D1230" t="s">
        <v>373</v>
      </c>
      <c r="E1230">
        <v>4507398</v>
      </c>
      <c r="F1230">
        <v>2304174</v>
      </c>
      <c r="G1230" t="s">
        <v>1235</v>
      </c>
      <c r="H1230" t="s">
        <v>1478</v>
      </c>
      <c r="I1230">
        <v>7.5</v>
      </c>
      <c r="J1230" t="b">
        <v>1</v>
      </c>
      <c r="K1230">
        <v>0.46875</v>
      </c>
      <c r="L1230">
        <v>2304175</v>
      </c>
      <c r="M1230" t="s">
        <v>1236</v>
      </c>
      <c r="N1230">
        <v>16</v>
      </c>
      <c r="O1230">
        <v>16</v>
      </c>
      <c r="P1230"/>
      <c r="Q1230">
        <v>2301936</v>
      </c>
      <c r="R1230">
        <v>1</v>
      </c>
      <c r="S1230" t="s">
        <v>40</v>
      </c>
      <c r="T1230">
        <v>261</v>
      </c>
      <c r="U1230">
        <v>147664</v>
      </c>
      <c r="V1230">
        <v>24</v>
      </c>
      <c r="W1230" t="s">
        <v>40</v>
      </c>
      <c r="X1230">
        <v>261</v>
      </c>
      <c r="Y1230" t="s">
        <v>377</v>
      </c>
      <c r="Z1230" t="s">
        <v>378</v>
      </c>
      <c r="AA1230" t="s">
        <v>379</v>
      </c>
      <c r="AB1230" t="s">
        <v>1264</v>
      </c>
      <c r="AC1230" t="s">
        <v>41</v>
      </c>
      <c r="AD1230" t="s">
        <v>41</v>
      </c>
      <c r="AE1230" t="s">
        <v>41</v>
      </c>
      <c r="AF1230" t="s">
        <v>41</v>
      </c>
      <c r="AK1230"/>
    </row>
    <row r="1231" spans="1:37" x14ac:dyDescent="0.25">
      <c r="A1231" t="s">
        <v>39</v>
      </c>
      <c r="B1231">
        <v>46032.582777777781</v>
      </c>
      <c r="C1231">
        <v>91817</v>
      </c>
      <c r="D1231" t="s">
        <v>373</v>
      </c>
      <c r="E1231">
        <v>4501555</v>
      </c>
      <c r="F1231">
        <v>2104477</v>
      </c>
      <c r="G1231" t="s">
        <v>1479</v>
      </c>
      <c r="H1231" t="s">
        <v>930</v>
      </c>
      <c r="I1231">
        <v>5</v>
      </c>
      <c r="J1231" t="b">
        <v>1</v>
      </c>
      <c r="K1231">
        <v>0.1388888888888889</v>
      </c>
      <c r="L1231">
        <v>2105846</v>
      </c>
      <c r="M1231" t="s">
        <v>1480</v>
      </c>
      <c r="N1231">
        <v>36</v>
      </c>
      <c r="O1231">
        <v>36</v>
      </c>
      <c r="P1231"/>
      <c r="Q1231">
        <v>134974</v>
      </c>
      <c r="R1231">
        <v>1</v>
      </c>
      <c r="S1231" t="s">
        <v>40</v>
      </c>
      <c r="T1231">
        <v>261</v>
      </c>
      <c r="W1231"/>
      <c r="Y1231" t="s">
        <v>679</v>
      </c>
      <c r="Z1231" t="s">
        <v>378</v>
      </c>
      <c r="AA1231" t="s">
        <v>379</v>
      </c>
      <c r="AB1231" t="s">
        <v>1066</v>
      </c>
      <c r="AC1231" t="s">
        <v>41</v>
      </c>
      <c r="AD1231" t="s">
        <v>41</v>
      </c>
      <c r="AE1231" t="s">
        <v>41</v>
      </c>
      <c r="AF1231" t="s">
        <v>41</v>
      </c>
      <c r="AK1231"/>
    </row>
    <row r="1232" spans="1:37" x14ac:dyDescent="0.25">
      <c r="A1232" t="s">
        <v>38</v>
      </c>
      <c r="B1232">
        <v>46032.595891203702</v>
      </c>
      <c r="C1232">
        <v>93507</v>
      </c>
      <c r="D1232" t="s">
        <v>373</v>
      </c>
      <c r="E1232">
        <v>4507108</v>
      </c>
      <c r="F1232">
        <v>2104882</v>
      </c>
      <c r="G1232" t="s">
        <v>1148</v>
      </c>
      <c r="H1232" t="s">
        <v>1471</v>
      </c>
      <c r="I1232">
        <v>5</v>
      </c>
      <c r="J1232" t="b">
        <v>1</v>
      </c>
      <c r="K1232">
        <v>1.25</v>
      </c>
      <c r="L1232">
        <v>2106202</v>
      </c>
      <c r="M1232" t="s">
        <v>1149</v>
      </c>
      <c r="N1232">
        <v>4</v>
      </c>
      <c r="O1232">
        <v>4</v>
      </c>
      <c r="P1232"/>
      <c r="Q1232">
        <v>2301936</v>
      </c>
      <c r="R1232">
        <v>1</v>
      </c>
      <c r="S1232" t="s">
        <v>40</v>
      </c>
      <c r="T1232">
        <v>261</v>
      </c>
      <c r="U1232">
        <v>147664</v>
      </c>
      <c r="V1232">
        <v>24</v>
      </c>
      <c r="W1232" t="s">
        <v>40</v>
      </c>
      <c r="X1232">
        <v>261</v>
      </c>
      <c r="Y1232" t="s">
        <v>377</v>
      </c>
      <c r="Z1232" t="s">
        <v>378</v>
      </c>
      <c r="AA1232" t="s">
        <v>379</v>
      </c>
      <c r="AB1232" t="s">
        <v>384</v>
      </c>
      <c r="AC1232" t="s">
        <v>41</v>
      </c>
      <c r="AD1232" t="s">
        <v>41</v>
      </c>
      <c r="AE1232" t="s">
        <v>41</v>
      </c>
      <c r="AF1232" t="s">
        <v>41</v>
      </c>
      <c r="AK1232"/>
    </row>
    <row r="1233" spans="1:38" x14ac:dyDescent="0.25">
      <c r="A1233" t="s">
        <v>38</v>
      </c>
      <c r="B1233">
        <v>46032.59648148148</v>
      </c>
      <c r="C1233">
        <v>93507</v>
      </c>
      <c r="D1233" t="s">
        <v>373</v>
      </c>
      <c r="E1233">
        <v>4507109</v>
      </c>
      <c r="F1233">
        <v>2104882</v>
      </c>
      <c r="G1233" t="s">
        <v>1148</v>
      </c>
      <c r="H1233" t="s">
        <v>1471</v>
      </c>
      <c r="I1233">
        <v>5</v>
      </c>
      <c r="J1233" t="b">
        <v>1</v>
      </c>
      <c r="K1233">
        <v>1</v>
      </c>
      <c r="L1233">
        <v>2106202</v>
      </c>
      <c r="M1233" t="s">
        <v>1149</v>
      </c>
      <c r="N1233">
        <v>5</v>
      </c>
      <c r="O1233">
        <v>5</v>
      </c>
      <c r="P1233"/>
      <c r="Q1233">
        <v>2301936</v>
      </c>
      <c r="R1233">
        <v>1</v>
      </c>
      <c r="S1233" t="s">
        <v>40</v>
      </c>
      <c r="T1233">
        <v>261</v>
      </c>
      <c r="U1233">
        <v>147664</v>
      </c>
      <c r="V1233">
        <v>24</v>
      </c>
      <c r="W1233" t="s">
        <v>40</v>
      </c>
      <c r="X1233">
        <v>261</v>
      </c>
      <c r="Y1233" t="s">
        <v>377</v>
      </c>
      <c r="Z1233" t="s">
        <v>378</v>
      </c>
      <c r="AA1233" t="s">
        <v>379</v>
      </c>
      <c r="AB1233" t="s">
        <v>559</v>
      </c>
      <c r="AC1233" t="s">
        <v>41</v>
      </c>
      <c r="AD1233" t="s">
        <v>41</v>
      </c>
      <c r="AE1233" t="s">
        <v>41</v>
      </c>
      <c r="AF1233" t="s">
        <v>41</v>
      </c>
      <c r="AK1233"/>
    </row>
    <row r="1234" spans="1:38" x14ac:dyDescent="0.25">
      <c r="A1234" t="s">
        <v>37</v>
      </c>
      <c r="B1234">
        <v>46032.790821759256</v>
      </c>
      <c r="C1234">
        <v>91456</v>
      </c>
      <c r="D1234" t="s">
        <v>531</v>
      </c>
      <c r="E1234">
        <v>4507399</v>
      </c>
      <c r="F1234">
        <v>2304174</v>
      </c>
      <c r="G1234" t="s">
        <v>1235</v>
      </c>
      <c r="H1234" t="s">
        <v>1384</v>
      </c>
      <c r="I1234">
        <v>7.5</v>
      </c>
      <c r="J1234" t="b">
        <v>1</v>
      </c>
      <c r="K1234">
        <v>0.46875</v>
      </c>
      <c r="L1234">
        <v>2304175</v>
      </c>
      <c r="M1234" t="s">
        <v>1236</v>
      </c>
      <c r="N1234">
        <v>16</v>
      </c>
      <c r="O1234">
        <v>16</v>
      </c>
      <c r="P1234"/>
      <c r="Q1234">
        <v>134905</v>
      </c>
      <c r="R1234">
        <v>1</v>
      </c>
      <c r="S1234" t="s">
        <v>40</v>
      </c>
      <c r="T1234">
        <v>261</v>
      </c>
      <c r="U1234">
        <v>147664</v>
      </c>
      <c r="V1234">
        <v>24</v>
      </c>
      <c r="W1234" t="s">
        <v>40</v>
      </c>
      <c r="X1234">
        <v>261</v>
      </c>
      <c r="Y1234" t="s">
        <v>377</v>
      </c>
      <c r="Z1234" t="s">
        <v>378</v>
      </c>
      <c r="AA1234" t="s">
        <v>379</v>
      </c>
      <c r="AB1234" t="s">
        <v>1264</v>
      </c>
      <c r="AC1234" t="s">
        <v>41</v>
      </c>
      <c r="AD1234" t="s">
        <v>41</v>
      </c>
      <c r="AE1234" t="s">
        <v>41</v>
      </c>
      <c r="AF1234" t="s">
        <v>41</v>
      </c>
      <c r="AK1234"/>
    </row>
    <row r="1235" spans="1:38" x14ac:dyDescent="0.25">
      <c r="A1235" t="s">
        <v>47</v>
      </c>
      <c r="B1235">
        <v>46032.793819444443</v>
      </c>
      <c r="C1235">
        <v>92103</v>
      </c>
      <c r="D1235" t="s">
        <v>531</v>
      </c>
      <c r="E1235">
        <v>4507341</v>
      </c>
      <c r="F1235">
        <v>2310136</v>
      </c>
      <c r="G1235" t="s">
        <v>1053</v>
      </c>
      <c r="H1235" t="s">
        <v>1432</v>
      </c>
      <c r="I1235">
        <v>64.3</v>
      </c>
      <c r="J1235" t="b">
        <v>1</v>
      </c>
      <c r="K1235">
        <v>0.15531400966183576</v>
      </c>
      <c r="L1235">
        <v>2310136</v>
      </c>
      <c r="M1235" t="s">
        <v>1053</v>
      </c>
      <c r="N1235">
        <v>414</v>
      </c>
      <c r="O1235">
        <v>408</v>
      </c>
      <c r="P1235"/>
      <c r="Q1235">
        <v>134974</v>
      </c>
      <c r="R1235">
        <v>1</v>
      </c>
      <c r="S1235" t="s">
        <v>40</v>
      </c>
      <c r="T1235">
        <v>261</v>
      </c>
      <c r="W1235"/>
      <c r="Y1235" t="s">
        <v>377</v>
      </c>
      <c r="Z1235" t="s">
        <v>378</v>
      </c>
      <c r="AA1235" t="s">
        <v>379</v>
      </c>
      <c r="AB1235" t="s">
        <v>1481</v>
      </c>
      <c r="AC1235" t="s">
        <v>41</v>
      </c>
      <c r="AD1235" t="s">
        <v>41</v>
      </c>
      <c r="AE1235" t="s">
        <v>41</v>
      </c>
      <c r="AF1235" t="s">
        <v>41</v>
      </c>
      <c r="AK1235"/>
    </row>
    <row r="1236" spans="1:38" x14ac:dyDescent="0.25">
      <c r="A1236" t="s">
        <v>45</v>
      </c>
      <c r="B1236">
        <v>46032.795243055552</v>
      </c>
      <c r="C1236">
        <v>90626</v>
      </c>
      <c r="D1236" t="s">
        <v>531</v>
      </c>
      <c r="E1236">
        <v>4498251</v>
      </c>
      <c r="F1236">
        <v>154143</v>
      </c>
      <c r="G1236" t="s">
        <v>1482</v>
      </c>
      <c r="H1236" t="s">
        <v>926</v>
      </c>
      <c r="I1236">
        <v>31.5</v>
      </c>
      <c r="J1236" t="b">
        <v>1</v>
      </c>
      <c r="K1236">
        <v>0.26923076923076922</v>
      </c>
      <c r="L1236">
        <v>154145</v>
      </c>
      <c r="M1236" t="s">
        <v>1483</v>
      </c>
      <c r="N1236">
        <v>117</v>
      </c>
      <c r="O1236">
        <v>228</v>
      </c>
      <c r="P1236" t="s">
        <v>906</v>
      </c>
      <c r="Q1236">
        <v>0</v>
      </c>
      <c r="R1236">
        <v>0</v>
      </c>
      <c r="S1236" t="s">
        <v>40</v>
      </c>
      <c r="T1236">
        <v>261</v>
      </c>
      <c r="W1236"/>
      <c r="Y1236" t="s">
        <v>551</v>
      </c>
      <c r="Z1236" t="s">
        <v>378</v>
      </c>
      <c r="AA1236" t="s">
        <v>379</v>
      </c>
      <c r="AB1236" t="s">
        <v>763</v>
      </c>
      <c r="AC1236" t="s">
        <v>41</v>
      </c>
      <c r="AD1236" t="s">
        <v>41</v>
      </c>
      <c r="AE1236" t="s">
        <v>41</v>
      </c>
      <c r="AF1236" t="s">
        <v>41</v>
      </c>
      <c r="AK1236"/>
    </row>
    <row r="1237" spans="1:38" x14ac:dyDescent="0.25">
      <c r="A1237" t="s">
        <v>45</v>
      </c>
      <c r="B1237">
        <v>46032.797650462962</v>
      </c>
      <c r="C1237">
        <v>90626</v>
      </c>
      <c r="D1237" t="s">
        <v>531</v>
      </c>
      <c r="E1237">
        <v>4498251</v>
      </c>
      <c r="F1237">
        <v>154143</v>
      </c>
      <c r="G1237" t="s">
        <v>1482</v>
      </c>
      <c r="H1237" t="s">
        <v>926</v>
      </c>
      <c r="I1237">
        <v>31.5</v>
      </c>
      <c r="J1237" t="b">
        <v>1</v>
      </c>
      <c r="K1237">
        <v>0.26923076923076922</v>
      </c>
      <c r="L1237">
        <v>154145</v>
      </c>
      <c r="M1237" t="s">
        <v>1483</v>
      </c>
      <c r="N1237">
        <v>117</v>
      </c>
      <c r="O1237">
        <v>117</v>
      </c>
      <c r="P1237"/>
      <c r="Q1237">
        <v>0</v>
      </c>
      <c r="R1237">
        <v>0</v>
      </c>
      <c r="S1237" t="s">
        <v>40</v>
      </c>
      <c r="T1237">
        <v>261</v>
      </c>
      <c r="W1237"/>
      <c r="Y1237" t="s">
        <v>551</v>
      </c>
      <c r="Z1237" t="s">
        <v>378</v>
      </c>
      <c r="AA1237" t="s">
        <v>379</v>
      </c>
      <c r="AB1237" t="s">
        <v>763</v>
      </c>
      <c r="AC1237" t="s">
        <v>41</v>
      </c>
      <c r="AD1237" t="s">
        <v>41</v>
      </c>
      <c r="AE1237" t="s">
        <v>41</v>
      </c>
      <c r="AF1237" t="s">
        <v>41</v>
      </c>
      <c r="AK1237"/>
    </row>
    <row r="1238" spans="1:38" x14ac:dyDescent="0.25">
      <c r="A1238" t="s">
        <v>42</v>
      </c>
      <c r="B1238">
        <v>46032.799537037034</v>
      </c>
      <c r="C1238">
        <v>90625</v>
      </c>
      <c r="D1238" t="s">
        <v>531</v>
      </c>
      <c r="E1238">
        <v>4498251</v>
      </c>
      <c r="F1238">
        <v>154143</v>
      </c>
      <c r="G1238" t="s">
        <v>1482</v>
      </c>
      <c r="H1238" t="s">
        <v>926</v>
      </c>
      <c r="I1238">
        <v>31.5</v>
      </c>
      <c r="J1238" t="b">
        <v>1</v>
      </c>
      <c r="K1238">
        <v>0.25819672131147542</v>
      </c>
      <c r="L1238">
        <v>154145</v>
      </c>
      <c r="M1238" t="s">
        <v>1483</v>
      </c>
      <c r="N1238">
        <v>122</v>
      </c>
      <c r="O1238">
        <v>111</v>
      </c>
      <c r="P1238"/>
      <c r="Q1238">
        <v>0</v>
      </c>
      <c r="R1238">
        <v>0</v>
      </c>
      <c r="S1238" t="s">
        <v>40</v>
      </c>
      <c r="T1238">
        <v>261</v>
      </c>
      <c r="W1238"/>
      <c r="Y1238" t="s">
        <v>551</v>
      </c>
      <c r="Z1238" t="s">
        <v>378</v>
      </c>
      <c r="AA1238" t="s">
        <v>379</v>
      </c>
      <c r="AB1238" t="s">
        <v>1071</v>
      </c>
      <c r="AC1238" t="s">
        <v>41</v>
      </c>
      <c r="AD1238" t="s">
        <v>41</v>
      </c>
      <c r="AE1238" t="s">
        <v>41</v>
      </c>
      <c r="AF1238" t="s">
        <v>41</v>
      </c>
      <c r="AK1238"/>
    </row>
    <row r="1239" spans="1:38" x14ac:dyDescent="0.25">
      <c r="A1239" t="s">
        <v>44</v>
      </c>
      <c r="B1239">
        <v>46033.459282407406</v>
      </c>
      <c r="C1239">
        <v>93508</v>
      </c>
      <c r="D1239" t="s">
        <v>373</v>
      </c>
      <c r="E1239">
        <v>4508746</v>
      </c>
      <c r="F1239">
        <v>2104881</v>
      </c>
      <c r="G1239" t="s">
        <v>600</v>
      </c>
      <c r="H1239" t="s">
        <v>1484</v>
      </c>
      <c r="I1239">
        <v>5</v>
      </c>
      <c r="J1239" t="b">
        <v>1</v>
      </c>
      <c r="K1239">
        <v>1.25</v>
      </c>
      <c r="L1239">
        <v>2106201</v>
      </c>
      <c r="M1239" t="s">
        <v>602</v>
      </c>
      <c r="N1239">
        <v>4</v>
      </c>
      <c r="O1239">
        <v>4</v>
      </c>
      <c r="P1239"/>
      <c r="Q1239">
        <v>2301936</v>
      </c>
      <c r="R1239">
        <v>1</v>
      </c>
      <c r="S1239" t="s">
        <v>40</v>
      </c>
      <c r="T1239">
        <v>261</v>
      </c>
      <c r="U1239">
        <v>147664</v>
      </c>
      <c r="V1239">
        <v>24</v>
      </c>
      <c r="W1239" t="s">
        <v>40</v>
      </c>
      <c r="X1239">
        <v>261</v>
      </c>
      <c r="Y1239" t="s">
        <v>377</v>
      </c>
      <c r="Z1239" t="s">
        <v>378</v>
      </c>
      <c r="AA1239" t="s">
        <v>379</v>
      </c>
      <c r="AB1239" t="s">
        <v>384</v>
      </c>
      <c r="AC1239" t="s">
        <v>41</v>
      </c>
      <c r="AD1239" t="s">
        <v>41</v>
      </c>
      <c r="AE1239" t="s">
        <v>41</v>
      </c>
      <c r="AF1239" t="s">
        <v>41</v>
      </c>
      <c r="AK1239"/>
    </row>
    <row r="1240" spans="1:38" x14ac:dyDescent="0.25">
      <c r="A1240" t="s">
        <v>44</v>
      </c>
      <c r="B1240">
        <v>46033.45989583333</v>
      </c>
      <c r="C1240">
        <v>93508</v>
      </c>
      <c r="D1240" t="s">
        <v>373</v>
      </c>
      <c r="E1240">
        <v>4508747</v>
      </c>
      <c r="F1240">
        <v>2104881</v>
      </c>
      <c r="G1240" t="s">
        <v>600</v>
      </c>
      <c r="H1240" t="s">
        <v>1484</v>
      </c>
      <c r="I1240">
        <v>5</v>
      </c>
      <c r="J1240" t="b">
        <v>1</v>
      </c>
      <c r="K1240">
        <v>1</v>
      </c>
      <c r="L1240">
        <v>2106201</v>
      </c>
      <c r="M1240" t="s">
        <v>602</v>
      </c>
      <c r="N1240">
        <v>5</v>
      </c>
      <c r="O1240">
        <v>5</v>
      </c>
      <c r="P1240"/>
      <c r="Q1240">
        <v>2301936</v>
      </c>
      <c r="R1240">
        <v>1</v>
      </c>
      <c r="S1240" t="s">
        <v>40</v>
      </c>
      <c r="T1240">
        <v>261</v>
      </c>
      <c r="U1240">
        <v>147664</v>
      </c>
      <c r="V1240">
        <v>24</v>
      </c>
      <c r="W1240" t="s">
        <v>40</v>
      </c>
      <c r="X1240">
        <v>261</v>
      </c>
      <c r="Y1240" t="s">
        <v>377</v>
      </c>
      <c r="Z1240" t="s">
        <v>378</v>
      </c>
      <c r="AA1240" t="s">
        <v>379</v>
      </c>
      <c r="AB1240" t="s">
        <v>559</v>
      </c>
      <c r="AC1240" t="s">
        <v>41</v>
      </c>
      <c r="AD1240" t="s">
        <v>41</v>
      </c>
      <c r="AE1240" t="s">
        <v>41</v>
      </c>
      <c r="AF1240" t="s">
        <v>41</v>
      </c>
      <c r="AK1240"/>
    </row>
    <row r="1241" spans="1:38" x14ac:dyDescent="0.25">
      <c r="A1241" t="s">
        <v>37</v>
      </c>
      <c r="B1241">
        <v>46033.708993055552</v>
      </c>
      <c r="C1241">
        <v>91457</v>
      </c>
      <c r="D1241" t="s">
        <v>373</v>
      </c>
      <c r="E1241">
        <v>4507400</v>
      </c>
      <c r="F1241">
        <v>2304174</v>
      </c>
      <c r="G1241" t="s">
        <v>1235</v>
      </c>
      <c r="H1241" t="s">
        <v>1390</v>
      </c>
      <c r="I1241">
        <v>3.75</v>
      </c>
      <c r="J1241" t="b">
        <v>1</v>
      </c>
      <c r="K1241">
        <v>0.9375</v>
      </c>
      <c r="L1241">
        <v>2304175</v>
      </c>
      <c r="M1241" t="s">
        <v>1236</v>
      </c>
      <c r="N1241">
        <v>4</v>
      </c>
      <c r="O1241">
        <v>4</v>
      </c>
      <c r="P1241"/>
      <c r="Q1241">
        <v>2301936</v>
      </c>
      <c r="R1241">
        <v>1</v>
      </c>
      <c r="S1241" t="s">
        <v>40</v>
      </c>
      <c r="T1241">
        <v>261</v>
      </c>
      <c r="U1241">
        <v>147664</v>
      </c>
      <c r="V1241">
        <v>24</v>
      </c>
      <c r="W1241" t="s">
        <v>40</v>
      </c>
      <c r="X1241">
        <v>261</v>
      </c>
      <c r="Y1241" t="s">
        <v>377</v>
      </c>
      <c r="Z1241" t="s">
        <v>378</v>
      </c>
      <c r="AA1241" t="s">
        <v>379</v>
      </c>
      <c r="AB1241" t="s">
        <v>384</v>
      </c>
      <c r="AC1241" t="s">
        <v>41</v>
      </c>
      <c r="AD1241" t="s">
        <v>41</v>
      </c>
      <c r="AE1241" t="s">
        <v>41</v>
      </c>
      <c r="AF1241" t="s">
        <v>41</v>
      </c>
      <c r="AK1241"/>
    </row>
    <row r="1242" spans="1:38" x14ac:dyDescent="0.25">
      <c r="A1242" t="s">
        <v>37</v>
      </c>
      <c r="B1242">
        <v>46033.709618055553</v>
      </c>
      <c r="C1242">
        <v>91457</v>
      </c>
      <c r="D1242" t="s">
        <v>373</v>
      </c>
      <c r="E1242">
        <v>4507401</v>
      </c>
      <c r="F1242">
        <v>2304174</v>
      </c>
      <c r="G1242" t="s">
        <v>1235</v>
      </c>
      <c r="H1242" t="s">
        <v>1390</v>
      </c>
      <c r="I1242">
        <v>3.75</v>
      </c>
      <c r="J1242" t="b">
        <v>1</v>
      </c>
      <c r="K1242">
        <v>0.3125</v>
      </c>
      <c r="L1242">
        <v>2304175</v>
      </c>
      <c r="M1242" t="s">
        <v>1236</v>
      </c>
      <c r="N1242">
        <v>12</v>
      </c>
      <c r="O1242">
        <v>12</v>
      </c>
      <c r="P1242"/>
      <c r="Q1242">
        <v>2301936</v>
      </c>
      <c r="R1242">
        <v>1</v>
      </c>
      <c r="S1242" t="s">
        <v>40</v>
      </c>
      <c r="T1242">
        <v>261</v>
      </c>
      <c r="U1242">
        <v>147664</v>
      </c>
      <c r="V1242">
        <v>24</v>
      </c>
      <c r="W1242" t="s">
        <v>40</v>
      </c>
      <c r="X1242">
        <v>261</v>
      </c>
      <c r="Y1242" t="s">
        <v>377</v>
      </c>
      <c r="Z1242" t="s">
        <v>378</v>
      </c>
      <c r="AA1242" t="s">
        <v>379</v>
      </c>
      <c r="AB1242" t="s">
        <v>409</v>
      </c>
      <c r="AC1242" t="s">
        <v>41</v>
      </c>
      <c r="AD1242" t="s">
        <v>41</v>
      </c>
      <c r="AE1242" t="s">
        <v>41</v>
      </c>
      <c r="AF1242" t="s">
        <v>41</v>
      </c>
      <c r="AK1242"/>
    </row>
    <row r="1243" spans="1:38" x14ac:dyDescent="0.25">
      <c r="A1243" t="s">
        <v>43</v>
      </c>
      <c r="B1243">
        <v>46034.103113425925</v>
      </c>
      <c r="C1243">
        <v>92634</v>
      </c>
      <c r="D1243" t="s">
        <v>1025</v>
      </c>
      <c r="E1243">
        <v>4507279</v>
      </c>
      <c r="F1243">
        <v>2310135</v>
      </c>
      <c r="G1243" t="s">
        <v>1052</v>
      </c>
      <c r="H1243" t="s">
        <v>1354</v>
      </c>
      <c r="I1243">
        <v>64.3</v>
      </c>
      <c r="J1243" t="b">
        <v>1</v>
      </c>
      <c r="K1243">
        <v>0.16075</v>
      </c>
      <c r="L1243">
        <v>2310136</v>
      </c>
      <c r="M1243" t="s">
        <v>1053</v>
      </c>
      <c r="N1243">
        <v>400</v>
      </c>
      <c r="O1243">
        <v>400</v>
      </c>
      <c r="P1243"/>
      <c r="Q1243">
        <v>134974</v>
      </c>
      <c r="R1243">
        <v>1</v>
      </c>
      <c r="S1243" t="s">
        <v>40</v>
      </c>
      <c r="T1243">
        <v>261</v>
      </c>
      <c r="W1243"/>
      <c r="Y1243" t="s">
        <v>377</v>
      </c>
      <c r="Z1243" t="s">
        <v>378</v>
      </c>
      <c r="AA1243" t="s">
        <v>379</v>
      </c>
      <c r="AB1243" t="s">
        <v>1079</v>
      </c>
      <c r="AC1243" t="s">
        <v>41</v>
      </c>
      <c r="AD1243" t="s">
        <v>41</v>
      </c>
      <c r="AE1243" t="s">
        <v>41</v>
      </c>
      <c r="AF1243" t="s">
        <v>41</v>
      </c>
      <c r="AK1243"/>
    </row>
    <row r="1244" spans="1:38" x14ac:dyDescent="0.25">
      <c r="A1244" t="s">
        <v>38</v>
      </c>
      <c r="B1244">
        <v>46034.161053240743</v>
      </c>
      <c r="C1244">
        <v>93509</v>
      </c>
      <c r="D1244" t="s">
        <v>1025</v>
      </c>
      <c r="E1244">
        <v>4508748</v>
      </c>
      <c r="F1244">
        <v>2104881</v>
      </c>
      <c r="G1244" t="s">
        <v>600</v>
      </c>
      <c r="H1244" t="s">
        <v>1485</v>
      </c>
      <c r="I1244">
        <v>5</v>
      </c>
      <c r="J1244" t="b">
        <v>1</v>
      </c>
      <c r="K1244">
        <v>1.25</v>
      </c>
      <c r="L1244">
        <v>2106201</v>
      </c>
      <c r="M1244" t="s">
        <v>602</v>
      </c>
      <c r="N1244">
        <v>4</v>
      </c>
      <c r="O1244">
        <v>4</v>
      </c>
      <c r="P1244"/>
      <c r="Q1244">
        <v>134905</v>
      </c>
      <c r="R1244">
        <v>1</v>
      </c>
      <c r="S1244" t="s">
        <v>40</v>
      </c>
      <c r="T1244">
        <v>261</v>
      </c>
      <c r="U1244">
        <v>147664</v>
      </c>
      <c r="V1244">
        <v>24</v>
      </c>
      <c r="W1244" t="s">
        <v>40</v>
      </c>
      <c r="X1244">
        <v>261</v>
      </c>
      <c r="Y1244" t="s">
        <v>377</v>
      </c>
      <c r="Z1244" t="s">
        <v>378</v>
      </c>
      <c r="AA1244" t="s">
        <v>379</v>
      </c>
      <c r="AB1244" t="s">
        <v>384</v>
      </c>
      <c r="AC1244" t="s">
        <v>41</v>
      </c>
      <c r="AD1244" t="s">
        <v>41</v>
      </c>
      <c r="AE1244" t="s">
        <v>41</v>
      </c>
      <c r="AF1244" t="s">
        <v>41</v>
      </c>
      <c r="AK1244"/>
    </row>
    <row r="1245" spans="1:38" x14ac:dyDescent="0.25">
      <c r="A1245" t="s">
        <v>38</v>
      </c>
      <c r="B1245">
        <v>46034.161574074074</v>
      </c>
      <c r="C1245">
        <v>93509</v>
      </c>
      <c r="D1245" t="s">
        <v>1025</v>
      </c>
      <c r="E1245">
        <v>4508749</v>
      </c>
      <c r="F1245">
        <v>2104881</v>
      </c>
      <c r="G1245" t="s">
        <v>600</v>
      </c>
      <c r="H1245" t="s">
        <v>1485</v>
      </c>
      <c r="I1245">
        <v>5</v>
      </c>
      <c r="J1245" t="b">
        <v>1</v>
      </c>
      <c r="K1245">
        <v>1</v>
      </c>
      <c r="L1245">
        <v>2106201</v>
      </c>
      <c r="M1245" t="s">
        <v>602</v>
      </c>
      <c r="N1245">
        <v>5</v>
      </c>
      <c r="O1245">
        <v>5</v>
      </c>
      <c r="P1245"/>
      <c r="Q1245">
        <v>134905</v>
      </c>
      <c r="R1245">
        <v>1</v>
      </c>
      <c r="S1245" t="s">
        <v>40</v>
      </c>
      <c r="T1245">
        <v>261</v>
      </c>
      <c r="U1245">
        <v>147664</v>
      </c>
      <c r="V1245">
        <v>24</v>
      </c>
      <c r="W1245" t="s">
        <v>40</v>
      </c>
      <c r="X1245">
        <v>261</v>
      </c>
      <c r="Y1245" t="s">
        <v>377</v>
      </c>
      <c r="Z1245" t="s">
        <v>378</v>
      </c>
      <c r="AA1245" t="s">
        <v>379</v>
      </c>
      <c r="AB1245" t="s">
        <v>559</v>
      </c>
      <c r="AC1245" t="s">
        <v>41</v>
      </c>
      <c r="AD1245" t="s">
        <v>41</v>
      </c>
      <c r="AE1245" t="s">
        <v>41</v>
      </c>
      <c r="AF1245" t="s">
        <v>41</v>
      </c>
      <c r="AK1245"/>
    </row>
    <row r="1246" spans="1:38" x14ac:dyDescent="0.25">
      <c r="A1246" t="s">
        <v>37</v>
      </c>
      <c r="B1246">
        <v>46034.406319444446</v>
      </c>
      <c r="C1246">
        <v>91458</v>
      </c>
      <c r="D1246" t="s">
        <v>843</v>
      </c>
      <c r="E1246">
        <v>4507402</v>
      </c>
      <c r="F1246">
        <v>2304174</v>
      </c>
      <c r="G1246" t="s">
        <v>1235</v>
      </c>
      <c r="H1246" t="s">
        <v>1416</v>
      </c>
      <c r="I1246">
        <v>7.5</v>
      </c>
      <c r="J1246" t="b">
        <v>1</v>
      </c>
      <c r="K1246">
        <v>0.46875</v>
      </c>
      <c r="L1246">
        <v>2304175</v>
      </c>
      <c r="M1246" t="s">
        <v>1236</v>
      </c>
      <c r="N1246">
        <v>16</v>
      </c>
      <c r="O1246">
        <v>16</v>
      </c>
      <c r="P1246" t="s">
        <v>1486</v>
      </c>
      <c r="Q1246">
        <v>155687</v>
      </c>
      <c r="R1246">
        <v>1</v>
      </c>
      <c r="S1246" t="s">
        <v>40</v>
      </c>
      <c r="T1246">
        <v>261</v>
      </c>
      <c r="U1246">
        <v>147664</v>
      </c>
      <c r="V1246">
        <v>24</v>
      </c>
      <c r="W1246" t="s">
        <v>40</v>
      </c>
      <c r="X1246">
        <v>261</v>
      </c>
      <c r="Y1246" t="s">
        <v>377</v>
      </c>
      <c r="Z1246" t="s">
        <v>378</v>
      </c>
      <c r="AA1246" t="s">
        <v>379</v>
      </c>
      <c r="AB1246" t="s">
        <v>1264</v>
      </c>
      <c r="AC1246" t="s">
        <v>41</v>
      </c>
      <c r="AD1246" t="s">
        <v>41</v>
      </c>
      <c r="AE1246" t="s">
        <v>41</v>
      </c>
      <c r="AF1246" t="s">
        <v>41</v>
      </c>
      <c r="AK1246"/>
    </row>
    <row r="1247" spans="1:38" x14ac:dyDescent="0.25">
      <c r="A1247" t="s">
        <v>47</v>
      </c>
      <c r="B1247">
        <v>46034.821747685186</v>
      </c>
      <c r="C1247">
        <v>90467</v>
      </c>
      <c r="D1247" t="s">
        <v>563</v>
      </c>
      <c r="E1247">
        <v>4470637</v>
      </c>
      <c r="F1247">
        <v>2104655</v>
      </c>
      <c r="G1247" t="s">
        <v>1487</v>
      </c>
      <c r="H1247" t="s">
        <v>1464</v>
      </c>
      <c r="I1247">
        <v>4</v>
      </c>
      <c r="J1247" t="b">
        <v>1</v>
      </c>
      <c r="K1247">
        <v>1.3468013468013467E-2</v>
      </c>
      <c r="L1247">
        <v>2105992</v>
      </c>
      <c r="M1247" t="s">
        <v>1488</v>
      </c>
      <c r="N1247">
        <v>297</v>
      </c>
      <c r="O1247">
        <v>297</v>
      </c>
      <c r="P1247"/>
      <c r="Q1247">
        <v>134976</v>
      </c>
      <c r="R1247">
        <v>1</v>
      </c>
      <c r="S1247" t="s">
        <v>40</v>
      </c>
      <c r="T1247">
        <v>261</v>
      </c>
      <c r="W1247"/>
      <c r="Y1247" t="s">
        <v>377</v>
      </c>
      <c r="Z1247" t="s">
        <v>378</v>
      </c>
      <c r="AA1247" t="s">
        <v>379</v>
      </c>
      <c r="AB1247" t="s">
        <v>1234</v>
      </c>
      <c r="AC1247" t="s">
        <v>41</v>
      </c>
      <c r="AD1247" t="s">
        <v>41</v>
      </c>
      <c r="AE1247" t="s">
        <v>41</v>
      </c>
      <c r="AF1247" t="s">
        <v>41</v>
      </c>
      <c r="AK1247"/>
    </row>
    <row r="1248" spans="1:38" x14ac:dyDescent="0.25">
      <c r="A1248" t="s">
        <v>37</v>
      </c>
      <c r="B1248">
        <v>46035.006180555552</v>
      </c>
      <c r="C1248">
        <v>91459</v>
      </c>
      <c r="D1248" t="s">
        <v>563</v>
      </c>
      <c r="E1248">
        <v>4507403</v>
      </c>
      <c r="F1248">
        <v>2304174</v>
      </c>
      <c r="G1248" t="s">
        <v>1235</v>
      </c>
      <c r="H1248" t="s">
        <v>1444</v>
      </c>
      <c r="I1248">
        <v>3</v>
      </c>
      <c r="J1248" t="b">
        <v>1</v>
      </c>
      <c r="K1248">
        <v>0.1875</v>
      </c>
      <c r="L1248">
        <v>2304175</v>
      </c>
      <c r="M1248" t="s">
        <v>1236</v>
      </c>
      <c r="N1248">
        <v>16</v>
      </c>
      <c r="O1248">
        <v>16</v>
      </c>
      <c r="P1248"/>
      <c r="Q1248">
        <v>134906</v>
      </c>
      <c r="R1248">
        <v>1</v>
      </c>
      <c r="S1248" t="s">
        <v>40</v>
      </c>
      <c r="T1248">
        <v>261</v>
      </c>
      <c r="U1248">
        <v>147664</v>
      </c>
      <c r="V1248">
        <v>48</v>
      </c>
      <c r="W1248" t="s">
        <v>40</v>
      </c>
      <c r="X1248">
        <v>261</v>
      </c>
      <c r="Y1248" t="s">
        <v>377</v>
      </c>
      <c r="Z1248" t="s">
        <v>378</v>
      </c>
      <c r="AA1248" t="s">
        <v>379</v>
      </c>
      <c r="AB1248" t="s">
        <v>703</v>
      </c>
      <c r="AC1248" t="s">
        <v>379</v>
      </c>
      <c r="AD1248" t="s">
        <v>877</v>
      </c>
      <c r="AE1248" t="s">
        <v>41</v>
      </c>
      <c r="AF1248" t="s">
        <v>41</v>
      </c>
      <c r="AI1248">
        <v>134905</v>
      </c>
      <c r="AJ1248">
        <v>1</v>
      </c>
      <c r="AK1248" t="s">
        <v>40</v>
      </c>
      <c r="AL1248">
        <v>261</v>
      </c>
    </row>
    <row r="1249" spans="1:38" x14ac:dyDescent="0.25">
      <c r="A1249" t="s">
        <v>44</v>
      </c>
      <c r="B1249">
        <v>46035.363171296296</v>
      </c>
      <c r="C1249">
        <v>93510</v>
      </c>
      <c r="D1249" t="s">
        <v>393</v>
      </c>
      <c r="E1249">
        <v>4508742</v>
      </c>
      <c r="F1249">
        <v>2104879</v>
      </c>
      <c r="G1249" t="s">
        <v>556</v>
      </c>
      <c r="H1249" t="s">
        <v>1471</v>
      </c>
      <c r="I1249">
        <v>10</v>
      </c>
      <c r="J1249" t="b">
        <v>1</v>
      </c>
      <c r="K1249">
        <v>2.5</v>
      </c>
      <c r="L1249">
        <v>2106199</v>
      </c>
      <c r="M1249" t="s">
        <v>558</v>
      </c>
      <c r="N1249">
        <v>4</v>
      </c>
      <c r="O1249">
        <v>4</v>
      </c>
      <c r="P1249"/>
      <c r="Q1249">
        <v>134971</v>
      </c>
      <c r="R1249">
        <v>1</v>
      </c>
      <c r="S1249" t="s">
        <v>40</v>
      </c>
      <c r="T1249">
        <v>261</v>
      </c>
      <c r="U1249">
        <v>147664</v>
      </c>
      <c r="V1249">
        <v>48</v>
      </c>
      <c r="W1249" t="s">
        <v>40</v>
      </c>
      <c r="X1249">
        <v>261</v>
      </c>
      <c r="Y1249" t="s">
        <v>377</v>
      </c>
      <c r="Z1249" t="s">
        <v>378</v>
      </c>
      <c r="AA1249" t="s">
        <v>379</v>
      </c>
      <c r="AB1249" t="s">
        <v>384</v>
      </c>
      <c r="AC1249" t="s">
        <v>41</v>
      </c>
      <c r="AD1249" t="s">
        <v>41</v>
      </c>
      <c r="AE1249" t="s">
        <v>41</v>
      </c>
      <c r="AF1249" t="s">
        <v>41</v>
      </c>
      <c r="AI1249">
        <v>134971</v>
      </c>
      <c r="AJ1249">
        <v>1</v>
      </c>
      <c r="AK1249" t="s">
        <v>40</v>
      </c>
      <c r="AL1249">
        <v>261</v>
      </c>
    </row>
    <row r="1250" spans="1:38" x14ac:dyDescent="0.25">
      <c r="A1250" t="s">
        <v>44</v>
      </c>
      <c r="B1250">
        <v>46035.364699074074</v>
      </c>
      <c r="C1250">
        <v>93510</v>
      </c>
      <c r="D1250" t="s">
        <v>393</v>
      </c>
      <c r="E1250">
        <v>4508743</v>
      </c>
      <c r="F1250">
        <v>2104879</v>
      </c>
      <c r="G1250" t="s">
        <v>556</v>
      </c>
      <c r="H1250" t="s">
        <v>1471</v>
      </c>
      <c r="I1250">
        <v>10</v>
      </c>
      <c r="J1250" t="b">
        <v>1</v>
      </c>
      <c r="K1250">
        <v>2</v>
      </c>
      <c r="L1250">
        <v>2106199</v>
      </c>
      <c r="M1250" t="s">
        <v>558</v>
      </c>
      <c r="N1250">
        <v>5</v>
      </c>
      <c r="O1250">
        <v>5</v>
      </c>
      <c r="P1250"/>
      <c r="Q1250">
        <v>134971</v>
      </c>
      <c r="R1250">
        <v>1</v>
      </c>
      <c r="S1250" t="s">
        <v>40</v>
      </c>
      <c r="T1250">
        <v>261</v>
      </c>
      <c r="U1250">
        <v>147664</v>
      </c>
      <c r="V1250">
        <v>24</v>
      </c>
      <c r="W1250" t="s">
        <v>40</v>
      </c>
      <c r="X1250">
        <v>261</v>
      </c>
      <c r="Y1250" t="s">
        <v>377</v>
      </c>
      <c r="Z1250" t="s">
        <v>378</v>
      </c>
      <c r="AA1250" t="s">
        <v>379</v>
      </c>
      <c r="AB1250" t="s">
        <v>559</v>
      </c>
      <c r="AC1250" t="s">
        <v>41</v>
      </c>
      <c r="AD1250" t="s">
        <v>41</v>
      </c>
      <c r="AE1250" t="s">
        <v>41</v>
      </c>
      <c r="AF1250" t="s">
        <v>41</v>
      </c>
      <c r="AK1250"/>
    </row>
    <row r="1251" spans="1:38" x14ac:dyDescent="0.25">
      <c r="A1251" t="s">
        <v>48</v>
      </c>
      <c r="B1251">
        <v>46035.632881944446</v>
      </c>
      <c r="C1251">
        <v>92635</v>
      </c>
      <c r="D1251" t="s">
        <v>393</v>
      </c>
      <c r="E1251">
        <v>4508728</v>
      </c>
      <c r="F1251">
        <v>133168</v>
      </c>
      <c r="G1251" t="s">
        <v>863</v>
      </c>
      <c r="H1251" t="s">
        <v>1464</v>
      </c>
      <c r="I1251">
        <v>64.3</v>
      </c>
      <c r="J1251" t="b">
        <v>1</v>
      </c>
      <c r="K1251">
        <v>0.75647058823529412</v>
      </c>
      <c r="L1251">
        <v>144374</v>
      </c>
      <c r="M1251" t="s">
        <v>865</v>
      </c>
      <c r="N1251">
        <v>85</v>
      </c>
      <c r="O1251">
        <v>85</v>
      </c>
      <c r="P1251"/>
      <c r="Q1251">
        <v>134908</v>
      </c>
      <c r="R1251">
        <v>1</v>
      </c>
      <c r="S1251" t="s">
        <v>40</v>
      </c>
      <c r="T1251">
        <v>261</v>
      </c>
      <c r="U1251">
        <v>147664</v>
      </c>
      <c r="V1251">
        <v>24</v>
      </c>
      <c r="W1251" t="s">
        <v>40</v>
      </c>
      <c r="X1251">
        <v>261</v>
      </c>
      <c r="Y1251" t="s">
        <v>377</v>
      </c>
      <c r="Z1251" t="s">
        <v>378</v>
      </c>
      <c r="AA1251" t="s">
        <v>379</v>
      </c>
      <c r="AB1251" t="s">
        <v>841</v>
      </c>
      <c r="AC1251" t="s">
        <v>41</v>
      </c>
      <c r="AD1251" t="s">
        <v>41</v>
      </c>
      <c r="AE1251" t="s">
        <v>41</v>
      </c>
      <c r="AF1251" t="s">
        <v>41</v>
      </c>
      <c r="AK1251"/>
    </row>
    <row r="1252" spans="1:38" x14ac:dyDescent="0.25">
      <c r="A1252" t="s">
        <v>37</v>
      </c>
      <c r="B1252">
        <v>46035.686516203707</v>
      </c>
      <c r="C1252">
        <v>91460</v>
      </c>
      <c r="D1252" t="s">
        <v>393</v>
      </c>
      <c r="E1252">
        <v>4507404</v>
      </c>
      <c r="F1252">
        <v>2304174</v>
      </c>
      <c r="G1252" t="s">
        <v>1235</v>
      </c>
      <c r="H1252" t="s">
        <v>1450</v>
      </c>
      <c r="I1252">
        <v>7.5</v>
      </c>
      <c r="J1252" t="b">
        <v>1</v>
      </c>
      <c r="K1252">
        <v>0.46875</v>
      </c>
      <c r="L1252">
        <v>2304175</v>
      </c>
      <c r="M1252" t="s">
        <v>1236</v>
      </c>
      <c r="N1252">
        <v>16</v>
      </c>
      <c r="O1252">
        <v>16</v>
      </c>
      <c r="P1252"/>
      <c r="Q1252">
        <v>134906</v>
      </c>
      <c r="R1252">
        <v>1</v>
      </c>
      <c r="S1252" t="s">
        <v>40</v>
      </c>
      <c r="T1252">
        <v>261</v>
      </c>
      <c r="U1252">
        <v>147664</v>
      </c>
      <c r="V1252">
        <v>24</v>
      </c>
      <c r="W1252" t="s">
        <v>40</v>
      </c>
      <c r="X1252">
        <v>261</v>
      </c>
      <c r="Y1252" t="s">
        <v>377</v>
      </c>
      <c r="Z1252" t="s">
        <v>378</v>
      </c>
      <c r="AA1252" t="s">
        <v>379</v>
      </c>
      <c r="AB1252" t="s">
        <v>1264</v>
      </c>
      <c r="AC1252" t="s">
        <v>41</v>
      </c>
      <c r="AD1252" t="s">
        <v>41</v>
      </c>
      <c r="AE1252" t="s">
        <v>41</v>
      </c>
      <c r="AF1252" t="s">
        <v>41</v>
      </c>
      <c r="AK1252"/>
    </row>
    <row r="1253" spans="1:38" x14ac:dyDescent="0.25">
      <c r="A1253" t="s">
        <v>43</v>
      </c>
      <c r="B1253">
        <v>46035.884548611109</v>
      </c>
      <c r="C1253">
        <v>93511</v>
      </c>
      <c r="D1253" t="s">
        <v>563</v>
      </c>
      <c r="E1253">
        <v>4508744</v>
      </c>
      <c r="F1253">
        <v>2104879</v>
      </c>
      <c r="G1253" t="s">
        <v>556</v>
      </c>
      <c r="H1253" t="s">
        <v>1484</v>
      </c>
      <c r="I1253">
        <v>10</v>
      </c>
      <c r="J1253" t="b">
        <v>1</v>
      </c>
      <c r="K1253">
        <v>2.5</v>
      </c>
      <c r="L1253">
        <v>2106199</v>
      </c>
      <c r="M1253" t="s">
        <v>558</v>
      </c>
      <c r="N1253">
        <v>4</v>
      </c>
      <c r="O1253">
        <v>4</v>
      </c>
      <c r="P1253"/>
      <c r="Q1253">
        <v>134971</v>
      </c>
      <c r="R1253">
        <v>1</v>
      </c>
      <c r="S1253" t="s">
        <v>40</v>
      </c>
      <c r="T1253">
        <v>261</v>
      </c>
      <c r="U1253">
        <v>147664</v>
      </c>
      <c r="V1253">
        <v>24</v>
      </c>
      <c r="W1253" t="s">
        <v>40</v>
      </c>
      <c r="X1253">
        <v>261</v>
      </c>
      <c r="Y1253" t="s">
        <v>377</v>
      </c>
      <c r="Z1253" t="s">
        <v>378</v>
      </c>
      <c r="AA1253" t="s">
        <v>379</v>
      </c>
      <c r="AB1253" t="s">
        <v>384</v>
      </c>
      <c r="AC1253" t="s">
        <v>41</v>
      </c>
      <c r="AD1253" t="s">
        <v>41</v>
      </c>
      <c r="AE1253" t="s">
        <v>41</v>
      </c>
      <c r="AF1253" t="s">
        <v>41</v>
      </c>
      <c r="AK1253"/>
    </row>
    <row r="1254" spans="1:38" x14ac:dyDescent="0.25">
      <c r="A1254" t="s">
        <v>43</v>
      </c>
      <c r="B1254">
        <v>46035.885104166664</v>
      </c>
      <c r="C1254">
        <v>93511</v>
      </c>
      <c r="D1254" t="s">
        <v>563</v>
      </c>
      <c r="E1254">
        <v>4508745</v>
      </c>
      <c r="F1254">
        <v>2104879</v>
      </c>
      <c r="G1254" t="s">
        <v>556</v>
      </c>
      <c r="H1254" t="s">
        <v>1484</v>
      </c>
      <c r="I1254">
        <v>10</v>
      </c>
      <c r="J1254" t="b">
        <v>1</v>
      </c>
      <c r="K1254">
        <v>2</v>
      </c>
      <c r="L1254">
        <v>2106199</v>
      </c>
      <c r="M1254" t="s">
        <v>558</v>
      </c>
      <c r="N1254">
        <v>5</v>
      </c>
      <c r="O1254">
        <v>5</v>
      </c>
      <c r="P1254"/>
      <c r="Q1254">
        <v>134971</v>
      </c>
      <c r="R1254">
        <v>1</v>
      </c>
      <c r="S1254" t="s">
        <v>40</v>
      </c>
      <c r="T1254">
        <v>261</v>
      </c>
      <c r="U1254">
        <v>147664</v>
      </c>
      <c r="V1254">
        <v>24</v>
      </c>
      <c r="W1254" t="s">
        <v>40</v>
      </c>
      <c r="X1254">
        <v>261</v>
      </c>
      <c r="Y1254" t="s">
        <v>377</v>
      </c>
      <c r="Z1254" t="s">
        <v>378</v>
      </c>
      <c r="AA1254" t="s">
        <v>379</v>
      </c>
      <c r="AB1254" t="s">
        <v>559</v>
      </c>
      <c r="AC1254" t="s">
        <v>41</v>
      </c>
      <c r="AD1254" t="s">
        <v>41</v>
      </c>
      <c r="AE1254" t="s">
        <v>41</v>
      </c>
      <c r="AF1254" t="s">
        <v>41</v>
      </c>
      <c r="AK1254"/>
    </row>
    <row r="1255" spans="1:38" x14ac:dyDescent="0.25">
      <c r="A1255" t="s">
        <v>38</v>
      </c>
      <c r="B1255">
        <v>46035.980868055558</v>
      </c>
      <c r="C1255">
        <v>91727</v>
      </c>
      <c r="D1255" t="s">
        <v>563</v>
      </c>
      <c r="E1255">
        <v>4505816</v>
      </c>
      <c r="F1255">
        <v>156292</v>
      </c>
      <c r="G1255" t="s">
        <v>46</v>
      </c>
      <c r="H1255" t="s">
        <v>1440</v>
      </c>
      <c r="I1255">
        <v>7</v>
      </c>
      <c r="J1255" t="b">
        <v>1</v>
      </c>
      <c r="K1255">
        <v>1.75</v>
      </c>
      <c r="L1255">
        <v>156291</v>
      </c>
      <c r="M1255" t="s">
        <v>433</v>
      </c>
      <c r="N1255">
        <v>4</v>
      </c>
      <c r="O1255">
        <v>4</v>
      </c>
      <c r="P1255"/>
      <c r="Q1255">
        <v>0</v>
      </c>
      <c r="R1255">
        <v>0</v>
      </c>
      <c r="S1255" t="s">
        <v>40</v>
      </c>
      <c r="T1255">
        <v>261</v>
      </c>
      <c r="W1255"/>
      <c r="Y1255" t="s">
        <v>377</v>
      </c>
      <c r="Z1255" t="s">
        <v>378</v>
      </c>
      <c r="AA1255" t="s">
        <v>379</v>
      </c>
      <c r="AB1255" t="s">
        <v>384</v>
      </c>
      <c r="AC1255" t="s">
        <v>41</v>
      </c>
      <c r="AD1255" t="s">
        <v>41</v>
      </c>
      <c r="AE1255" t="s">
        <v>41</v>
      </c>
      <c r="AF1255" t="s">
        <v>41</v>
      </c>
      <c r="AK1255"/>
    </row>
    <row r="1256" spans="1:38" x14ac:dyDescent="0.25">
      <c r="A1256" t="s">
        <v>38</v>
      </c>
      <c r="B1256">
        <v>46035.981481481482</v>
      </c>
      <c r="C1256">
        <v>91727</v>
      </c>
      <c r="D1256" t="s">
        <v>563</v>
      </c>
      <c r="E1256">
        <v>4505817</v>
      </c>
      <c r="F1256">
        <v>156292</v>
      </c>
      <c r="G1256" t="s">
        <v>46</v>
      </c>
      <c r="H1256" t="s">
        <v>1440</v>
      </c>
      <c r="I1256">
        <v>7</v>
      </c>
      <c r="J1256" t="b">
        <v>1</v>
      </c>
      <c r="K1256">
        <v>1.75</v>
      </c>
      <c r="L1256">
        <v>156291</v>
      </c>
      <c r="M1256" t="s">
        <v>433</v>
      </c>
      <c r="N1256">
        <v>4</v>
      </c>
      <c r="O1256">
        <v>4</v>
      </c>
      <c r="P1256"/>
      <c r="Q1256">
        <v>0</v>
      </c>
      <c r="R1256">
        <v>0</v>
      </c>
      <c r="S1256" t="s">
        <v>40</v>
      </c>
      <c r="T1256">
        <v>261</v>
      </c>
      <c r="W1256"/>
      <c r="Y1256" t="s">
        <v>377</v>
      </c>
      <c r="Z1256" t="s">
        <v>378</v>
      </c>
      <c r="AA1256" t="s">
        <v>379</v>
      </c>
      <c r="AB1256" t="s">
        <v>384</v>
      </c>
      <c r="AC1256" t="s">
        <v>41</v>
      </c>
      <c r="AD1256" t="s">
        <v>41</v>
      </c>
      <c r="AE1256" t="s">
        <v>41</v>
      </c>
      <c r="AF1256" t="s">
        <v>41</v>
      </c>
      <c r="AK1256"/>
    </row>
    <row r="1257" spans="1:38" x14ac:dyDescent="0.25">
      <c r="A1257" t="s">
        <v>42</v>
      </c>
      <c r="B1257">
        <v>46036.102083333331</v>
      </c>
      <c r="C1257">
        <v>92637</v>
      </c>
      <c r="D1257" t="s">
        <v>563</v>
      </c>
      <c r="E1257">
        <v>4508729</v>
      </c>
      <c r="F1257">
        <v>133168</v>
      </c>
      <c r="G1257" t="s">
        <v>863</v>
      </c>
      <c r="H1257" t="s">
        <v>1471</v>
      </c>
      <c r="I1257">
        <v>64.3</v>
      </c>
      <c r="J1257" t="b">
        <v>1</v>
      </c>
      <c r="K1257">
        <v>0.85733333333333328</v>
      </c>
      <c r="L1257">
        <v>144374</v>
      </c>
      <c r="M1257" t="s">
        <v>865</v>
      </c>
      <c r="N1257">
        <v>75</v>
      </c>
      <c r="O1257">
        <v>75</v>
      </c>
      <c r="P1257"/>
      <c r="Q1257">
        <v>134971</v>
      </c>
      <c r="R1257">
        <v>1</v>
      </c>
      <c r="S1257" t="s">
        <v>40</v>
      </c>
      <c r="T1257">
        <v>261</v>
      </c>
      <c r="U1257">
        <v>147664</v>
      </c>
      <c r="V1257">
        <v>24</v>
      </c>
      <c r="W1257" t="s">
        <v>40</v>
      </c>
      <c r="X1257">
        <v>261</v>
      </c>
      <c r="Y1257" t="s">
        <v>377</v>
      </c>
      <c r="Z1257" t="s">
        <v>378</v>
      </c>
      <c r="AA1257" t="s">
        <v>379</v>
      </c>
      <c r="AB1257" t="s">
        <v>1489</v>
      </c>
      <c r="AC1257" t="s">
        <v>41</v>
      </c>
      <c r="AD1257" t="s">
        <v>41</v>
      </c>
      <c r="AE1257" t="s">
        <v>41</v>
      </c>
      <c r="AF1257" t="s">
        <v>41</v>
      </c>
      <c r="AK1257"/>
    </row>
    <row r="1258" spans="1:38" x14ac:dyDescent="0.25">
      <c r="A1258" t="s">
        <v>37</v>
      </c>
      <c r="B1258">
        <v>46036.572013888886</v>
      </c>
      <c r="C1258">
        <v>91461</v>
      </c>
      <c r="D1258" t="s">
        <v>373</v>
      </c>
      <c r="E1258">
        <v>4507405</v>
      </c>
      <c r="F1258">
        <v>2304174</v>
      </c>
      <c r="G1258" t="s">
        <v>1235</v>
      </c>
      <c r="H1258" t="s">
        <v>1447</v>
      </c>
      <c r="I1258">
        <v>3.75</v>
      </c>
      <c r="J1258" t="b">
        <v>1</v>
      </c>
      <c r="K1258">
        <v>0.9375</v>
      </c>
      <c r="L1258">
        <v>2304175</v>
      </c>
      <c r="M1258" t="s">
        <v>1236</v>
      </c>
      <c r="N1258">
        <v>4</v>
      </c>
      <c r="O1258">
        <v>4</v>
      </c>
      <c r="P1258"/>
      <c r="Q1258">
        <v>134906</v>
      </c>
      <c r="R1258">
        <v>1</v>
      </c>
      <c r="S1258" t="s">
        <v>40</v>
      </c>
      <c r="T1258">
        <v>261</v>
      </c>
      <c r="U1258">
        <v>147664</v>
      </c>
      <c r="V1258">
        <v>24</v>
      </c>
      <c r="W1258" t="s">
        <v>40</v>
      </c>
      <c r="X1258">
        <v>261</v>
      </c>
      <c r="Y1258" t="s">
        <v>377</v>
      </c>
      <c r="Z1258" t="s">
        <v>378</v>
      </c>
      <c r="AA1258" t="s">
        <v>379</v>
      </c>
      <c r="AB1258" t="s">
        <v>384</v>
      </c>
      <c r="AC1258" t="s">
        <v>41</v>
      </c>
      <c r="AD1258" t="s">
        <v>41</v>
      </c>
      <c r="AE1258" t="s">
        <v>41</v>
      </c>
      <c r="AF1258" t="s">
        <v>41</v>
      </c>
      <c r="AK1258"/>
    </row>
    <row r="1259" spans="1:38" x14ac:dyDescent="0.25">
      <c r="A1259" t="s">
        <v>37</v>
      </c>
      <c r="B1259">
        <v>46036.572835648149</v>
      </c>
      <c r="C1259">
        <v>91461</v>
      </c>
      <c r="D1259" t="s">
        <v>373</v>
      </c>
      <c r="E1259">
        <v>4507406</v>
      </c>
      <c r="F1259">
        <v>2304174</v>
      </c>
      <c r="G1259" t="s">
        <v>1235</v>
      </c>
      <c r="H1259" t="s">
        <v>1447</v>
      </c>
      <c r="I1259">
        <v>3.75</v>
      </c>
      <c r="J1259" t="b">
        <v>1</v>
      </c>
      <c r="K1259">
        <v>0.3125</v>
      </c>
      <c r="L1259">
        <v>2304175</v>
      </c>
      <c r="M1259" t="s">
        <v>1236</v>
      </c>
      <c r="N1259">
        <v>12</v>
      </c>
      <c r="O1259">
        <v>10</v>
      </c>
      <c r="P1259"/>
      <c r="Q1259">
        <v>134906</v>
      </c>
      <c r="R1259">
        <v>1</v>
      </c>
      <c r="S1259" t="s">
        <v>40</v>
      </c>
      <c r="T1259">
        <v>261</v>
      </c>
      <c r="U1259">
        <v>147664</v>
      </c>
      <c r="V1259">
        <v>24</v>
      </c>
      <c r="W1259" t="s">
        <v>40</v>
      </c>
      <c r="X1259">
        <v>261</v>
      </c>
      <c r="Y1259" t="s">
        <v>377</v>
      </c>
      <c r="Z1259" t="s">
        <v>378</v>
      </c>
      <c r="AA1259" t="s">
        <v>379</v>
      </c>
      <c r="AB1259" t="s">
        <v>409</v>
      </c>
      <c r="AC1259" t="s">
        <v>41</v>
      </c>
      <c r="AD1259" t="s">
        <v>41</v>
      </c>
      <c r="AE1259" t="s">
        <v>41</v>
      </c>
      <c r="AF1259" t="s">
        <v>41</v>
      </c>
      <c r="AK1259"/>
    </row>
    <row r="1260" spans="1:38" x14ac:dyDescent="0.25">
      <c r="A1260" t="s">
        <v>39</v>
      </c>
      <c r="B1260">
        <v>46036.719351851854</v>
      </c>
      <c r="C1260">
        <v>90627</v>
      </c>
      <c r="D1260" t="s">
        <v>373</v>
      </c>
      <c r="E1260">
        <v>4505900</v>
      </c>
      <c r="F1260">
        <v>134469</v>
      </c>
      <c r="G1260" t="s">
        <v>1360</v>
      </c>
      <c r="H1260" t="s">
        <v>1353</v>
      </c>
      <c r="I1260">
        <v>33</v>
      </c>
      <c r="J1260" t="b">
        <v>1</v>
      </c>
      <c r="K1260">
        <v>0.24087591240875914</v>
      </c>
      <c r="L1260">
        <v>134470</v>
      </c>
      <c r="M1260" t="s">
        <v>1362</v>
      </c>
      <c r="N1260">
        <v>137</v>
      </c>
      <c r="O1260">
        <v>137</v>
      </c>
      <c r="P1260"/>
      <c r="Q1260">
        <v>0</v>
      </c>
      <c r="R1260">
        <v>0</v>
      </c>
      <c r="S1260" t="s">
        <v>40</v>
      </c>
      <c r="T1260">
        <v>261</v>
      </c>
      <c r="W1260"/>
      <c r="Y1260" t="s">
        <v>679</v>
      </c>
      <c r="Z1260" t="s">
        <v>378</v>
      </c>
      <c r="AA1260" t="s">
        <v>379</v>
      </c>
      <c r="AB1260" t="s">
        <v>1093</v>
      </c>
      <c r="AC1260" t="s">
        <v>41</v>
      </c>
      <c r="AD1260" t="s">
        <v>41</v>
      </c>
      <c r="AE1260" t="s">
        <v>41</v>
      </c>
      <c r="AF1260" t="s">
        <v>41</v>
      </c>
      <c r="AK1260"/>
    </row>
    <row r="1261" spans="1:38" x14ac:dyDescent="0.25">
      <c r="A1261" t="s">
        <v>42</v>
      </c>
      <c r="B1261">
        <v>46036.81422453704</v>
      </c>
      <c r="C1261">
        <v>90468</v>
      </c>
      <c r="D1261" t="s">
        <v>1025</v>
      </c>
      <c r="E1261">
        <v>4489401</v>
      </c>
      <c r="F1261">
        <v>2104655</v>
      </c>
      <c r="G1261" t="s">
        <v>1487</v>
      </c>
      <c r="H1261" t="s">
        <v>1471</v>
      </c>
      <c r="I1261">
        <v>4</v>
      </c>
      <c r="J1261" t="b">
        <v>1</v>
      </c>
      <c r="K1261">
        <v>1.6161616161616162E-2</v>
      </c>
      <c r="L1261">
        <v>2105992</v>
      </c>
      <c r="M1261" t="s">
        <v>1488</v>
      </c>
      <c r="N1261">
        <v>247.5</v>
      </c>
      <c r="O1261">
        <v>306</v>
      </c>
      <c r="P1261"/>
      <c r="Q1261">
        <v>134976</v>
      </c>
      <c r="R1261">
        <v>1</v>
      </c>
      <c r="S1261" t="s">
        <v>40</v>
      </c>
      <c r="T1261">
        <v>261</v>
      </c>
      <c r="W1261"/>
      <c r="Y1261" t="s">
        <v>377</v>
      </c>
      <c r="Z1261" t="s">
        <v>378</v>
      </c>
      <c r="AA1261" t="s">
        <v>379</v>
      </c>
      <c r="AB1261" t="s">
        <v>1490</v>
      </c>
      <c r="AC1261" t="s">
        <v>41</v>
      </c>
      <c r="AD1261" t="s">
        <v>41</v>
      </c>
      <c r="AE1261" t="s">
        <v>41</v>
      </c>
      <c r="AF1261" t="s">
        <v>41</v>
      </c>
      <c r="AK1261"/>
    </row>
    <row r="1262" spans="1:38" x14ac:dyDescent="0.25">
      <c r="A1262" t="s">
        <v>42</v>
      </c>
      <c r="B1262">
        <v>46037.019849537035</v>
      </c>
      <c r="C1262">
        <v>90748</v>
      </c>
      <c r="D1262" t="s">
        <v>1025</v>
      </c>
      <c r="E1262">
        <v>4505048</v>
      </c>
      <c r="F1262">
        <v>2300468</v>
      </c>
      <c r="G1262" t="s">
        <v>1491</v>
      </c>
      <c r="H1262" t="s">
        <v>1300</v>
      </c>
      <c r="I1262">
        <v>5</v>
      </c>
      <c r="J1262" t="b">
        <v>1</v>
      </c>
      <c r="K1262">
        <v>0.41666666666666669</v>
      </c>
      <c r="L1262">
        <v>2300469</v>
      </c>
      <c r="M1262" t="s">
        <v>1492</v>
      </c>
      <c r="N1262">
        <v>12</v>
      </c>
      <c r="O1262">
        <v>12</v>
      </c>
      <c r="P1262"/>
      <c r="Q1262">
        <v>134975</v>
      </c>
      <c r="R1262">
        <v>1</v>
      </c>
      <c r="S1262" t="s">
        <v>40</v>
      </c>
      <c r="T1262">
        <v>261</v>
      </c>
      <c r="W1262"/>
      <c r="Y1262" t="s">
        <v>679</v>
      </c>
      <c r="Z1262" t="s">
        <v>378</v>
      </c>
      <c r="AA1262" t="s">
        <v>379</v>
      </c>
      <c r="AB1262" t="s">
        <v>409</v>
      </c>
      <c r="AC1262" t="s">
        <v>41</v>
      </c>
      <c r="AD1262" t="s">
        <v>41</v>
      </c>
      <c r="AE1262" t="s">
        <v>41</v>
      </c>
      <c r="AF1262" t="s">
        <v>41</v>
      </c>
      <c r="AK1262"/>
    </row>
    <row r="1263" spans="1:38" x14ac:dyDescent="0.25">
      <c r="A1263" t="s">
        <v>39</v>
      </c>
      <c r="B1263">
        <v>46037.056817129633</v>
      </c>
      <c r="C1263">
        <v>90749</v>
      </c>
      <c r="D1263" t="s">
        <v>1025</v>
      </c>
      <c r="E1263">
        <v>4503339</v>
      </c>
      <c r="F1263">
        <v>161474</v>
      </c>
      <c r="G1263" t="s">
        <v>1493</v>
      </c>
      <c r="H1263" t="s">
        <v>1311</v>
      </c>
      <c r="I1263">
        <v>5</v>
      </c>
      <c r="J1263" t="b">
        <v>1</v>
      </c>
      <c r="K1263">
        <v>0.27777777777777779</v>
      </c>
      <c r="L1263">
        <v>161476</v>
      </c>
      <c r="M1263" t="s">
        <v>1494</v>
      </c>
      <c r="N1263">
        <v>18</v>
      </c>
      <c r="O1263">
        <v>18</v>
      </c>
      <c r="P1263"/>
      <c r="Q1263">
        <v>134907</v>
      </c>
      <c r="R1263">
        <v>1</v>
      </c>
      <c r="S1263" t="s">
        <v>40</v>
      </c>
      <c r="T1263">
        <v>261</v>
      </c>
      <c r="U1263">
        <v>147664</v>
      </c>
      <c r="V1263">
        <v>24</v>
      </c>
      <c r="W1263" t="s">
        <v>40</v>
      </c>
      <c r="X1263">
        <v>261</v>
      </c>
      <c r="Y1263" t="s">
        <v>679</v>
      </c>
      <c r="Z1263" t="s">
        <v>378</v>
      </c>
      <c r="AA1263" t="s">
        <v>379</v>
      </c>
      <c r="AB1263" t="s">
        <v>1341</v>
      </c>
      <c r="AC1263" t="s">
        <v>41</v>
      </c>
      <c r="AD1263" t="s">
        <v>41</v>
      </c>
      <c r="AE1263" t="s">
        <v>41</v>
      </c>
      <c r="AF1263" t="s">
        <v>41</v>
      </c>
      <c r="AK1263"/>
    </row>
    <row r="1264" spans="1:38" x14ac:dyDescent="0.25">
      <c r="A1264" t="s">
        <v>44</v>
      </c>
      <c r="B1264">
        <v>46037.086550925924</v>
      </c>
      <c r="C1264">
        <v>93512</v>
      </c>
      <c r="D1264" t="s">
        <v>1025</v>
      </c>
      <c r="E1264">
        <v>4487647</v>
      </c>
      <c r="F1264">
        <v>156695</v>
      </c>
      <c r="G1264" t="s">
        <v>1336</v>
      </c>
      <c r="H1264" t="s">
        <v>1464</v>
      </c>
      <c r="I1264">
        <v>10</v>
      </c>
      <c r="J1264" t="b">
        <v>1</v>
      </c>
      <c r="K1264">
        <v>1.25</v>
      </c>
      <c r="L1264">
        <v>156696</v>
      </c>
      <c r="M1264" t="s">
        <v>1337</v>
      </c>
      <c r="N1264">
        <v>8</v>
      </c>
      <c r="O1264">
        <v>8</v>
      </c>
      <c r="P1264"/>
      <c r="Q1264">
        <v>134906</v>
      </c>
      <c r="R1264">
        <v>2</v>
      </c>
      <c r="S1264" t="s">
        <v>40</v>
      </c>
      <c r="T1264">
        <v>261</v>
      </c>
      <c r="U1264">
        <v>147664</v>
      </c>
      <c r="V1264">
        <v>48</v>
      </c>
      <c r="W1264" t="s">
        <v>40</v>
      </c>
      <c r="X1264">
        <v>261</v>
      </c>
      <c r="Y1264" t="s">
        <v>377</v>
      </c>
      <c r="Z1264" t="s">
        <v>378</v>
      </c>
      <c r="AA1264" t="s">
        <v>384</v>
      </c>
      <c r="AB1264" t="s">
        <v>384</v>
      </c>
      <c r="AC1264" t="s">
        <v>41</v>
      </c>
      <c r="AD1264" t="s">
        <v>41</v>
      </c>
      <c r="AE1264" t="s">
        <v>41</v>
      </c>
      <c r="AF1264" t="s">
        <v>41</v>
      </c>
      <c r="AK1264"/>
    </row>
    <row r="1265" spans="1:38" x14ac:dyDescent="0.25">
      <c r="A1265" t="s">
        <v>37</v>
      </c>
      <c r="B1265">
        <v>46037.218263888892</v>
      </c>
      <c r="C1265">
        <v>91462</v>
      </c>
      <c r="D1265" t="s">
        <v>1025</v>
      </c>
      <c r="E1265">
        <v>4507407</v>
      </c>
      <c r="F1265">
        <v>2304174</v>
      </c>
      <c r="G1265" t="s">
        <v>1235</v>
      </c>
      <c r="H1265" t="s">
        <v>1297</v>
      </c>
      <c r="I1265">
        <v>7.5</v>
      </c>
      <c r="J1265" t="b">
        <v>1</v>
      </c>
      <c r="K1265">
        <v>0.46875</v>
      </c>
      <c r="L1265">
        <v>2304175</v>
      </c>
      <c r="M1265" t="s">
        <v>1236</v>
      </c>
      <c r="N1265">
        <v>16</v>
      </c>
      <c r="O1265">
        <v>16</v>
      </c>
      <c r="P1265"/>
      <c r="Q1265">
        <v>134905</v>
      </c>
      <c r="R1265">
        <v>1</v>
      </c>
      <c r="S1265" t="s">
        <v>40</v>
      </c>
      <c r="T1265">
        <v>261</v>
      </c>
      <c r="U1265">
        <v>147664</v>
      </c>
      <c r="V1265">
        <v>24</v>
      </c>
      <c r="W1265" t="s">
        <v>40</v>
      </c>
      <c r="X1265">
        <v>261</v>
      </c>
      <c r="Y1265" t="s">
        <v>377</v>
      </c>
      <c r="Z1265" t="s">
        <v>378</v>
      </c>
      <c r="AA1265" t="s">
        <v>379</v>
      </c>
      <c r="AB1265" t="s">
        <v>1264</v>
      </c>
      <c r="AC1265" t="s">
        <v>41</v>
      </c>
      <c r="AD1265" t="s">
        <v>41</v>
      </c>
      <c r="AE1265" t="s">
        <v>41</v>
      </c>
      <c r="AF1265" t="s">
        <v>41</v>
      </c>
      <c r="AK1265"/>
    </row>
    <row r="1266" spans="1:38" x14ac:dyDescent="0.25">
      <c r="A1266" t="s">
        <v>45</v>
      </c>
      <c r="B1266">
        <v>46037.459178240744</v>
      </c>
      <c r="C1266">
        <v>92638</v>
      </c>
      <c r="D1266" t="s">
        <v>373</v>
      </c>
      <c r="E1266">
        <v>4508730</v>
      </c>
      <c r="F1266">
        <v>133168</v>
      </c>
      <c r="G1266" t="s">
        <v>863</v>
      </c>
      <c r="H1266" t="s">
        <v>1484</v>
      </c>
      <c r="I1266">
        <v>64.3</v>
      </c>
      <c r="J1266" t="b">
        <v>1</v>
      </c>
      <c r="K1266">
        <v>0.85733333333333328</v>
      </c>
      <c r="L1266">
        <v>144374</v>
      </c>
      <c r="M1266" t="s">
        <v>865</v>
      </c>
      <c r="N1266">
        <v>75</v>
      </c>
      <c r="O1266">
        <v>75</v>
      </c>
      <c r="P1266"/>
      <c r="Q1266">
        <v>134907</v>
      </c>
      <c r="R1266">
        <v>1</v>
      </c>
      <c r="S1266" t="s">
        <v>40</v>
      </c>
      <c r="T1266">
        <v>261</v>
      </c>
      <c r="U1266">
        <v>147664</v>
      </c>
      <c r="V1266">
        <v>24</v>
      </c>
      <c r="W1266" t="s">
        <v>40</v>
      </c>
      <c r="X1266">
        <v>261</v>
      </c>
      <c r="Y1266" t="s">
        <v>377</v>
      </c>
      <c r="Z1266" t="s">
        <v>378</v>
      </c>
      <c r="AA1266" t="s">
        <v>379</v>
      </c>
      <c r="AB1266" t="s">
        <v>1489</v>
      </c>
      <c r="AC1266" t="s">
        <v>41</v>
      </c>
      <c r="AD1266" t="s">
        <v>41</v>
      </c>
      <c r="AE1266" t="s">
        <v>41</v>
      </c>
      <c r="AF1266" t="s">
        <v>41</v>
      </c>
      <c r="AK1266"/>
    </row>
    <row r="1267" spans="1:38" x14ac:dyDescent="0.25">
      <c r="A1267" t="s">
        <v>43</v>
      </c>
      <c r="B1267">
        <v>46037.501956018517</v>
      </c>
      <c r="C1267">
        <v>90628</v>
      </c>
      <c r="D1267" t="s">
        <v>373</v>
      </c>
      <c r="E1267">
        <v>4505900</v>
      </c>
      <c r="F1267">
        <v>134469</v>
      </c>
      <c r="G1267" t="s">
        <v>1360</v>
      </c>
      <c r="H1267" t="s">
        <v>1353</v>
      </c>
      <c r="I1267">
        <v>33</v>
      </c>
      <c r="J1267" t="b">
        <v>1</v>
      </c>
      <c r="K1267">
        <v>0.24087591240875914</v>
      </c>
      <c r="L1267">
        <v>134470</v>
      </c>
      <c r="M1267" t="s">
        <v>1362</v>
      </c>
      <c r="N1267">
        <v>137</v>
      </c>
      <c r="O1267">
        <v>137</v>
      </c>
      <c r="P1267"/>
      <c r="Q1267">
        <v>0</v>
      </c>
      <c r="R1267">
        <v>0</v>
      </c>
      <c r="S1267" t="s">
        <v>40</v>
      </c>
      <c r="T1267">
        <v>261</v>
      </c>
      <c r="W1267"/>
      <c r="Y1267" t="s">
        <v>679</v>
      </c>
      <c r="Z1267" t="s">
        <v>378</v>
      </c>
      <c r="AA1267" t="s">
        <v>379</v>
      </c>
      <c r="AB1267" t="s">
        <v>1093</v>
      </c>
      <c r="AC1267" t="s">
        <v>41</v>
      </c>
      <c r="AD1267" t="s">
        <v>41</v>
      </c>
      <c r="AE1267" t="s">
        <v>41</v>
      </c>
      <c r="AF1267" t="s">
        <v>41</v>
      </c>
      <c r="AK1267"/>
    </row>
    <row r="1268" spans="1:38" x14ac:dyDescent="0.25">
      <c r="A1268" t="s">
        <v>37</v>
      </c>
      <c r="B1268">
        <v>46037.547488425924</v>
      </c>
      <c r="C1268">
        <v>90746</v>
      </c>
      <c r="D1268" t="s">
        <v>373</v>
      </c>
      <c r="E1268">
        <v>4505047</v>
      </c>
      <c r="F1268">
        <v>2300468</v>
      </c>
      <c r="G1268" t="s">
        <v>1491</v>
      </c>
      <c r="H1268" t="s">
        <v>1311</v>
      </c>
      <c r="I1268">
        <v>5</v>
      </c>
      <c r="J1268" t="b">
        <v>1</v>
      </c>
      <c r="K1268">
        <v>0.41666666666666669</v>
      </c>
      <c r="L1268">
        <v>2300469</v>
      </c>
      <c r="M1268" t="s">
        <v>1492</v>
      </c>
      <c r="N1268">
        <v>12</v>
      </c>
      <c r="O1268">
        <v>12</v>
      </c>
      <c r="P1268"/>
      <c r="Q1268">
        <v>134974</v>
      </c>
      <c r="R1268">
        <v>1</v>
      </c>
      <c r="S1268" t="s">
        <v>40</v>
      </c>
      <c r="T1268">
        <v>261</v>
      </c>
      <c r="W1268"/>
      <c r="Y1268" t="s">
        <v>679</v>
      </c>
      <c r="Z1268" t="s">
        <v>378</v>
      </c>
      <c r="AA1268" t="s">
        <v>379</v>
      </c>
      <c r="AB1268" t="s">
        <v>409</v>
      </c>
      <c r="AC1268" t="s">
        <v>41</v>
      </c>
      <c r="AD1268" t="s">
        <v>41</v>
      </c>
      <c r="AE1268" t="s">
        <v>41</v>
      </c>
      <c r="AF1268" t="s">
        <v>41</v>
      </c>
      <c r="AK1268"/>
    </row>
    <row r="1269" spans="1:38" x14ac:dyDescent="0.25">
      <c r="A1269" t="s">
        <v>39</v>
      </c>
      <c r="B1269">
        <v>46037.548819444448</v>
      </c>
      <c r="C1269">
        <v>93513</v>
      </c>
      <c r="D1269" t="s">
        <v>373</v>
      </c>
      <c r="E1269">
        <v>4499840</v>
      </c>
      <c r="F1269">
        <v>156695</v>
      </c>
      <c r="G1269" t="s">
        <v>1336</v>
      </c>
      <c r="H1269" t="s">
        <v>1471</v>
      </c>
      <c r="I1269">
        <v>10</v>
      </c>
      <c r="J1269" t="b">
        <v>1</v>
      </c>
      <c r="K1269">
        <v>1.25</v>
      </c>
      <c r="L1269">
        <v>156696</v>
      </c>
      <c r="M1269" t="s">
        <v>1337</v>
      </c>
      <c r="N1269">
        <v>8</v>
      </c>
      <c r="O1269">
        <v>8</v>
      </c>
      <c r="P1269"/>
      <c r="Q1269">
        <v>0</v>
      </c>
      <c r="R1269">
        <v>0</v>
      </c>
      <c r="S1269" t="s">
        <v>40</v>
      </c>
      <c r="T1269">
        <v>261</v>
      </c>
      <c r="W1269"/>
      <c r="Y1269" t="s">
        <v>377</v>
      </c>
      <c r="Z1269" t="s">
        <v>378</v>
      </c>
      <c r="AA1269" t="s">
        <v>379</v>
      </c>
      <c r="AB1269" t="s">
        <v>400</v>
      </c>
      <c r="AC1269" t="s">
        <v>41</v>
      </c>
      <c r="AD1269" t="s">
        <v>41</v>
      </c>
      <c r="AE1269" t="s">
        <v>41</v>
      </c>
      <c r="AF1269" t="s">
        <v>41</v>
      </c>
      <c r="AK1269"/>
    </row>
    <row r="1270" spans="1:38" x14ac:dyDescent="0.25">
      <c r="A1270" t="s">
        <v>42</v>
      </c>
      <c r="B1270">
        <v>46037.633055555554</v>
      </c>
      <c r="C1270">
        <v>91463</v>
      </c>
      <c r="D1270" t="s">
        <v>373</v>
      </c>
      <c r="E1270">
        <v>4507408</v>
      </c>
      <c r="F1270">
        <v>2304174</v>
      </c>
      <c r="G1270" t="s">
        <v>1235</v>
      </c>
      <c r="H1270" t="s">
        <v>1495</v>
      </c>
      <c r="I1270">
        <v>7.5</v>
      </c>
      <c r="J1270" t="b">
        <v>1</v>
      </c>
      <c r="K1270">
        <v>0.46875</v>
      </c>
      <c r="L1270">
        <v>2304175</v>
      </c>
      <c r="M1270" t="s">
        <v>1236</v>
      </c>
      <c r="N1270">
        <v>16</v>
      </c>
      <c r="O1270">
        <v>16</v>
      </c>
      <c r="P1270"/>
      <c r="Q1270">
        <v>134906</v>
      </c>
      <c r="R1270">
        <v>1</v>
      </c>
      <c r="S1270" t="s">
        <v>40</v>
      </c>
      <c r="T1270">
        <v>261</v>
      </c>
      <c r="U1270">
        <v>147664</v>
      </c>
      <c r="V1270">
        <v>24</v>
      </c>
      <c r="W1270" t="s">
        <v>40</v>
      </c>
      <c r="X1270">
        <v>261</v>
      </c>
      <c r="Y1270" t="s">
        <v>377</v>
      </c>
      <c r="Z1270" t="s">
        <v>378</v>
      </c>
      <c r="AA1270" t="s">
        <v>379</v>
      </c>
      <c r="AB1270" t="s">
        <v>1264</v>
      </c>
      <c r="AC1270" t="s">
        <v>41</v>
      </c>
      <c r="AD1270" t="s">
        <v>41</v>
      </c>
      <c r="AE1270" t="s">
        <v>41</v>
      </c>
      <c r="AF1270" t="s">
        <v>41</v>
      </c>
      <c r="AK1270"/>
    </row>
    <row r="1271" spans="1:38" x14ac:dyDescent="0.25">
      <c r="A1271" t="s">
        <v>45</v>
      </c>
      <c r="B1271">
        <v>46037.853541666664</v>
      </c>
      <c r="C1271">
        <v>90469</v>
      </c>
      <c r="D1271" t="s">
        <v>866</v>
      </c>
      <c r="E1271">
        <v>4490294</v>
      </c>
      <c r="F1271">
        <v>2104716</v>
      </c>
      <c r="G1271" t="s">
        <v>1496</v>
      </c>
      <c r="H1271" t="s">
        <v>1464</v>
      </c>
      <c r="I1271">
        <v>3</v>
      </c>
      <c r="J1271" t="b">
        <v>1</v>
      </c>
      <c r="K1271">
        <v>9.6774193548387101E-3</v>
      </c>
      <c r="L1271">
        <v>2106042</v>
      </c>
      <c r="M1271" t="s">
        <v>1497</v>
      </c>
      <c r="N1271">
        <v>310</v>
      </c>
      <c r="O1271">
        <v>302</v>
      </c>
      <c r="P1271"/>
      <c r="Q1271">
        <v>134976</v>
      </c>
      <c r="R1271">
        <v>1</v>
      </c>
      <c r="S1271" t="s">
        <v>40</v>
      </c>
      <c r="T1271">
        <v>261</v>
      </c>
      <c r="W1271"/>
      <c r="Y1271" t="s">
        <v>377</v>
      </c>
      <c r="Z1271" t="s">
        <v>378</v>
      </c>
      <c r="AA1271" t="s">
        <v>379</v>
      </c>
      <c r="AB1271" t="s">
        <v>1498</v>
      </c>
      <c r="AC1271" t="s">
        <v>41</v>
      </c>
      <c r="AD1271" t="s">
        <v>41</v>
      </c>
      <c r="AE1271" t="s">
        <v>41</v>
      </c>
      <c r="AF1271" t="s">
        <v>41</v>
      </c>
      <c r="AK1271"/>
    </row>
    <row r="1272" spans="1:38" x14ac:dyDescent="0.25">
      <c r="A1272" t="s">
        <v>39</v>
      </c>
      <c r="B1272">
        <v>46038.074513888889</v>
      </c>
      <c r="C1272">
        <v>90756</v>
      </c>
      <c r="D1272" t="s">
        <v>866</v>
      </c>
      <c r="E1272">
        <v>4505839</v>
      </c>
      <c r="F1272">
        <v>2123936</v>
      </c>
      <c r="G1272" t="s">
        <v>1475</v>
      </c>
      <c r="H1272" t="s">
        <v>1311</v>
      </c>
      <c r="I1272">
        <v>5</v>
      </c>
      <c r="J1272" t="b">
        <v>1</v>
      </c>
      <c r="K1272">
        <v>0.23809523809523808</v>
      </c>
      <c r="L1272">
        <v>2105901</v>
      </c>
      <c r="M1272" t="s">
        <v>1476</v>
      </c>
      <c r="N1272">
        <v>21</v>
      </c>
      <c r="O1272">
        <v>21</v>
      </c>
      <c r="P1272"/>
      <c r="Q1272">
        <v>134971</v>
      </c>
      <c r="R1272">
        <v>1</v>
      </c>
      <c r="S1272" t="s">
        <v>40</v>
      </c>
      <c r="T1272">
        <v>261</v>
      </c>
      <c r="U1272">
        <v>147664</v>
      </c>
      <c r="V1272">
        <v>24</v>
      </c>
      <c r="W1272" t="s">
        <v>40</v>
      </c>
      <c r="X1272">
        <v>261</v>
      </c>
      <c r="Y1272" t="s">
        <v>679</v>
      </c>
      <c r="Z1272" t="s">
        <v>378</v>
      </c>
      <c r="AA1272" t="s">
        <v>379</v>
      </c>
      <c r="AB1272" t="s">
        <v>1099</v>
      </c>
      <c r="AC1272" t="s">
        <v>41</v>
      </c>
      <c r="AD1272" t="s">
        <v>41</v>
      </c>
      <c r="AE1272" t="s">
        <v>41</v>
      </c>
      <c r="AF1272" t="s">
        <v>41</v>
      </c>
      <c r="AK1272"/>
    </row>
    <row r="1273" spans="1:38" x14ac:dyDescent="0.25">
      <c r="A1273" t="s">
        <v>37</v>
      </c>
      <c r="B1273">
        <v>46038.166493055556</v>
      </c>
      <c r="C1273">
        <v>91464</v>
      </c>
      <c r="D1273" t="s">
        <v>866</v>
      </c>
      <c r="E1273">
        <v>4507409</v>
      </c>
      <c r="F1273">
        <v>2304174</v>
      </c>
      <c r="G1273" t="s">
        <v>1235</v>
      </c>
      <c r="H1273" t="s">
        <v>1499</v>
      </c>
      <c r="I1273">
        <v>7.5</v>
      </c>
      <c r="J1273" t="b">
        <v>1</v>
      </c>
      <c r="K1273">
        <v>0.46875</v>
      </c>
      <c r="L1273">
        <v>2304175</v>
      </c>
      <c r="M1273" t="s">
        <v>1236</v>
      </c>
      <c r="N1273">
        <v>16</v>
      </c>
      <c r="O1273">
        <v>16</v>
      </c>
      <c r="P1273"/>
      <c r="Q1273">
        <v>134905</v>
      </c>
      <c r="R1273">
        <v>1</v>
      </c>
      <c r="S1273" t="s">
        <v>40</v>
      </c>
      <c r="T1273">
        <v>261</v>
      </c>
      <c r="U1273">
        <v>147664</v>
      </c>
      <c r="V1273">
        <v>24</v>
      </c>
      <c r="W1273" t="s">
        <v>40</v>
      </c>
      <c r="X1273">
        <v>261</v>
      </c>
      <c r="Y1273" t="s">
        <v>377</v>
      </c>
      <c r="Z1273" t="s">
        <v>378</v>
      </c>
      <c r="AA1273" t="s">
        <v>379</v>
      </c>
      <c r="AB1273" t="s">
        <v>1264</v>
      </c>
      <c r="AC1273" t="s">
        <v>41</v>
      </c>
      <c r="AD1273" t="s">
        <v>41</v>
      </c>
      <c r="AE1273" t="s">
        <v>41</v>
      </c>
      <c r="AF1273" t="s">
        <v>41</v>
      </c>
      <c r="AK1273"/>
    </row>
    <row r="1274" spans="1:38" x14ac:dyDescent="0.25">
      <c r="A1274" t="s">
        <v>38</v>
      </c>
      <c r="B1274">
        <v>46038.21497685185</v>
      </c>
      <c r="C1274">
        <v>91719</v>
      </c>
      <c r="D1274" t="s">
        <v>866</v>
      </c>
      <c r="E1274">
        <v>4506397</v>
      </c>
      <c r="F1274">
        <v>120138</v>
      </c>
      <c r="G1274" t="s">
        <v>911</v>
      </c>
      <c r="H1274" t="s">
        <v>1322</v>
      </c>
      <c r="I1274">
        <v>14</v>
      </c>
      <c r="J1274" t="b">
        <v>1</v>
      </c>
      <c r="K1274">
        <v>1.75</v>
      </c>
      <c r="L1274">
        <v>120139</v>
      </c>
      <c r="M1274" t="s">
        <v>1092</v>
      </c>
      <c r="N1274">
        <v>8</v>
      </c>
      <c r="O1274">
        <v>8</v>
      </c>
      <c r="P1274"/>
      <c r="Q1274">
        <v>134905</v>
      </c>
      <c r="R1274">
        <v>1</v>
      </c>
      <c r="S1274" t="s">
        <v>40</v>
      </c>
      <c r="T1274">
        <v>261</v>
      </c>
      <c r="U1274">
        <v>147664</v>
      </c>
      <c r="V1274">
        <v>48</v>
      </c>
      <c r="W1274" t="s">
        <v>40</v>
      </c>
      <c r="X1274">
        <v>261</v>
      </c>
      <c r="Y1274" t="s">
        <v>377</v>
      </c>
      <c r="Z1274" t="s">
        <v>378</v>
      </c>
      <c r="AA1274" t="s">
        <v>379</v>
      </c>
      <c r="AB1274" t="s">
        <v>384</v>
      </c>
      <c r="AC1274" t="s">
        <v>379</v>
      </c>
      <c r="AD1274" t="s">
        <v>384</v>
      </c>
      <c r="AE1274" t="s">
        <v>41</v>
      </c>
      <c r="AF1274" t="s">
        <v>41</v>
      </c>
      <c r="AI1274">
        <v>134905</v>
      </c>
      <c r="AJ1274">
        <v>1</v>
      </c>
      <c r="AK1274" t="s">
        <v>40</v>
      </c>
      <c r="AL1274">
        <v>261</v>
      </c>
    </row>
    <row r="1275" spans="1:38" x14ac:dyDescent="0.25">
      <c r="A1275" t="s">
        <v>47</v>
      </c>
      <c r="B1275">
        <v>46038.232407407406</v>
      </c>
      <c r="C1275">
        <v>92639</v>
      </c>
      <c r="D1275" t="s">
        <v>866</v>
      </c>
      <c r="E1275">
        <v>4508731</v>
      </c>
      <c r="F1275">
        <v>133168</v>
      </c>
      <c r="G1275" t="s">
        <v>863</v>
      </c>
      <c r="H1275" t="s">
        <v>1485</v>
      </c>
      <c r="I1275">
        <v>64.3</v>
      </c>
      <c r="J1275" t="b">
        <v>1</v>
      </c>
      <c r="K1275">
        <v>0.85733333333333328</v>
      </c>
      <c r="L1275">
        <v>144374</v>
      </c>
      <c r="M1275" t="s">
        <v>865</v>
      </c>
      <c r="N1275">
        <v>75</v>
      </c>
      <c r="O1275">
        <v>75</v>
      </c>
      <c r="P1275"/>
      <c r="Q1275">
        <v>134971</v>
      </c>
      <c r="R1275">
        <v>1</v>
      </c>
      <c r="S1275" t="s">
        <v>40</v>
      </c>
      <c r="T1275">
        <v>261</v>
      </c>
      <c r="U1275">
        <v>147664</v>
      </c>
      <c r="V1275">
        <v>24</v>
      </c>
      <c r="W1275" t="s">
        <v>40</v>
      </c>
      <c r="X1275">
        <v>261</v>
      </c>
      <c r="Y1275" t="s">
        <v>377</v>
      </c>
      <c r="Z1275" t="s">
        <v>378</v>
      </c>
      <c r="AA1275" t="s">
        <v>379</v>
      </c>
      <c r="AB1275" t="s">
        <v>1489</v>
      </c>
      <c r="AC1275" t="s">
        <v>41</v>
      </c>
      <c r="AD1275" t="s">
        <v>41</v>
      </c>
      <c r="AE1275" t="s">
        <v>41</v>
      </c>
      <c r="AF1275" t="s">
        <v>41</v>
      </c>
      <c r="AK1275"/>
    </row>
    <row r="1276" spans="1:38" x14ac:dyDescent="0.25">
      <c r="A1276" t="s">
        <v>43</v>
      </c>
      <c r="B1276">
        <v>46038.311712962961</v>
      </c>
      <c r="C1276">
        <v>91731</v>
      </c>
      <c r="D1276" t="s">
        <v>393</v>
      </c>
      <c r="E1276">
        <v>4505818</v>
      </c>
      <c r="F1276">
        <v>156292</v>
      </c>
      <c r="G1276" t="s">
        <v>46</v>
      </c>
      <c r="H1276" t="s">
        <v>1443</v>
      </c>
      <c r="I1276">
        <v>14</v>
      </c>
      <c r="J1276" t="b">
        <v>1</v>
      </c>
      <c r="K1276">
        <v>3.5</v>
      </c>
      <c r="L1276">
        <v>156291</v>
      </c>
      <c r="M1276" t="s">
        <v>433</v>
      </c>
      <c r="N1276">
        <v>4</v>
      </c>
      <c r="O1276">
        <v>4</v>
      </c>
      <c r="P1276"/>
      <c r="Q1276">
        <v>134905</v>
      </c>
      <c r="R1276">
        <v>1</v>
      </c>
      <c r="S1276" t="s">
        <v>40</v>
      </c>
      <c r="T1276">
        <v>261</v>
      </c>
      <c r="U1276">
        <v>147664</v>
      </c>
      <c r="V1276">
        <v>24</v>
      </c>
      <c r="W1276" t="s">
        <v>40</v>
      </c>
      <c r="X1276">
        <v>261</v>
      </c>
      <c r="Y1276" t="s">
        <v>377</v>
      </c>
      <c r="Z1276" t="s">
        <v>378</v>
      </c>
      <c r="AA1276" t="s">
        <v>379</v>
      </c>
      <c r="AB1276" t="s">
        <v>384</v>
      </c>
      <c r="AC1276" t="s">
        <v>41</v>
      </c>
      <c r="AD1276" t="s">
        <v>41</v>
      </c>
      <c r="AE1276" t="s">
        <v>41</v>
      </c>
      <c r="AF1276" t="s">
        <v>41</v>
      </c>
      <c r="AK1276"/>
    </row>
    <row r="1277" spans="1:38" x14ac:dyDescent="0.25">
      <c r="A1277" t="s">
        <v>43</v>
      </c>
      <c r="B1277">
        <v>46038.312951388885</v>
      </c>
      <c r="C1277">
        <v>91731</v>
      </c>
      <c r="D1277" t="s">
        <v>393</v>
      </c>
      <c r="E1277">
        <v>4505819</v>
      </c>
      <c r="F1277">
        <v>156292</v>
      </c>
      <c r="G1277" t="s">
        <v>46</v>
      </c>
      <c r="H1277" t="s">
        <v>1443</v>
      </c>
      <c r="I1277">
        <v>14</v>
      </c>
      <c r="J1277" t="b">
        <v>1</v>
      </c>
      <c r="K1277">
        <v>3.5</v>
      </c>
      <c r="L1277">
        <v>156291</v>
      </c>
      <c r="M1277" t="s">
        <v>433</v>
      </c>
      <c r="N1277">
        <v>4</v>
      </c>
      <c r="O1277">
        <v>4</v>
      </c>
      <c r="P1277"/>
      <c r="Q1277">
        <v>134905</v>
      </c>
      <c r="R1277">
        <v>1</v>
      </c>
      <c r="S1277" t="s">
        <v>40</v>
      </c>
      <c r="T1277">
        <v>261</v>
      </c>
      <c r="U1277">
        <v>147664</v>
      </c>
      <c r="V1277">
        <v>24</v>
      </c>
      <c r="W1277" t="s">
        <v>40</v>
      </c>
      <c r="X1277">
        <v>261</v>
      </c>
      <c r="Y1277" t="s">
        <v>377</v>
      </c>
      <c r="Z1277" t="s">
        <v>378</v>
      </c>
      <c r="AA1277" t="s">
        <v>379</v>
      </c>
      <c r="AB1277" t="s">
        <v>384</v>
      </c>
      <c r="AC1277" t="s">
        <v>41</v>
      </c>
      <c r="AD1277" t="s">
        <v>41</v>
      </c>
      <c r="AE1277" t="s">
        <v>41</v>
      </c>
      <c r="AF1277" t="s">
        <v>41</v>
      </c>
      <c r="AK1277"/>
    </row>
    <row r="1278" spans="1:38" x14ac:dyDescent="0.25">
      <c r="A1278" t="s">
        <v>37</v>
      </c>
      <c r="B1278">
        <v>46038.944386574076</v>
      </c>
      <c r="C1278">
        <v>91465</v>
      </c>
      <c r="D1278" t="s">
        <v>563</v>
      </c>
      <c r="E1278">
        <v>4507410</v>
      </c>
      <c r="F1278">
        <v>2304174</v>
      </c>
      <c r="G1278" t="s">
        <v>1235</v>
      </c>
      <c r="H1278" t="s">
        <v>1421</v>
      </c>
      <c r="I1278">
        <v>1.5</v>
      </c>
      <c r="J1278" t="b">
        <v>1</v>
      </c>
      <c r="K1278">
        <v>0.375</v>
      </c>
      <c r="L1278">
        <v>2304175</v>
      </c>
      <c r="M1278" t="s">
        <v>1236</v>
      </c>
      <c r="N1278">
        <v>4</v>
      </c>
      <c r="O1278">
        <v>4</v>
      </c>
      <c r="P1278"/>
      <c r="Q1278">
        <v>134905</v>
      </c>
      <c r="R1278">
        <v>1</v>
      </c>
      <c r="S1278" t="s">
        <v>40</v>
      </c>
      <c r="T1278">
        <v>261</v>
      </c>
      <c r="U1278">
        <v>147664</v>
      </c>
      <c r="V1278">
        <v>24</v>
      </c>
      <c r="W1278" t="s">
        <v>40</v>
      </c>
      <c r="X1278">
        <v>261</v>
      </c>
      <c r="Y1278" t="s">
        <v>377</v>
      </c>
      <c r="Z1278" t="s">
        <v>378</v>
      </c>
      <c r="AA1278" t="s">
        <v>379</v>
      </c>
      <c r="AB1278" t="s">
        <v>384</v>
      </c>
      <c r="AC1278" t="s">
        <v>41</v>
      </c>
      <c r="AD1278" t="s">
        <v>41</v>
      </c>
      <c r="AE1278" t="s">
        <v>41</v>
      </c>
      <c r="AF1278" t="s">
        <v>41</v>
      </c>
      <c r="AK1278"/>
    </row>
    <row r="1279" spans="1:38" x14ac:dyDescent="0.25">
      <c r="A1279" t="s">
        <v>37</v>
      </c>
      <c r="B1279">
        <v>46038.945243055554</v>
      </c>
      <c r="C1279">
        <v>91465</v>
      </c>
      <c r="D1279" t="s">
        <v>563</v>
      </c>
      <c r="E1279">
        <v>4507411</v>
      </c>
      <c r="F1279">
        <v>2304174</v>
      </c>
      <c r="G1279" t="s">
        <v>1235</v>
      </c>
      <c r="H1279" t="s">
        <v>1421</v>
      </c>
      <c r="I1279">
        <v>6</v>
      </c>
      <c r="J1279" t="b">
        <v>1</v>
      </c>
      <c r="K1279">
        <v>0.5</v>
      </c>
      <c r="L1279">
        <v>2304175</v>
      </c>
      <c r="M1279" t="s">
        <v>1236</v>
      </c>
      <c r="N1279">
        <v>12</v>
      </c>
      <c r="O1279">
        <v>12</v>
      </c>
      <c r="P1279"/>
      <c r="Q1279">
        <v>134905</v>
      </c>
      <c r="R1279">
        <v>1</v>
      </c>
      <c r="S1279" t="s">
        <v>40</v>
      </c>
      <c r="T1279">
        <v>261</v>
      </c>
      <c r="U1279">
        <v>147664</v>
      </c>
      <c r="V1279">
        <v>24</v>
      </c>
      <c r="W1279" t="s">
        <v>40</v>
      </c>
      <c r="X1279">
        <v>261</v>
      </c>
      <c r="Y1279" t="s">
        <v>377</v>
      </c>
      <c r="Z1279" t="s">
        <v>378</v>
      </c>
      <c r="AA1279" t="s">
        <v>379</v>
      </c>
      <c r="AB1279" t="s">
        <v>409</v>
      </c>
      <c r="AC1279" t="s">
        <v>41</v>
      </c>
      <c r="AD1279" t="s">
        <v>41</v>
      </c>
      <c r="AE1279" t="s">
        <v>41</v>
      </c>
      <c r="AF1279" t="s">
        <v>41</v>
      </c>
      <c r="AK1279"/>
    </row>
    <row r="1280" spans="1:38" x14ac:dyDescent="0.25">
      <c r="A1280" t="s">
        <v>38</v>
      </c>
      <c r="B1280">
        <v>46038.963738425926</v>
      </c>
      <c r="C1280">
        <v>93514</v>
      </c>
      <c r="D1280" t="s">
        <v>563</v>
      </c>
      <c r="E1280">
        <v>4508750</v>
      </c>
      <c r="F1280">
        <v>2104881</v>
      </c>
      <c r="G1280" t="s">
        <v>600</v>
      </c>
      <c r="H1280" t="s">
        <v>1500</v>
      </c>
      <c r="I1280">
        <v>4</v>
      </c>
      <c r="J1280" t="b">
        <v>1</v>
      </c>
      <c r="K1280">
        <v>1</v>
      </c>
      <c r="L1280">
        <v>2106201</v>
      </c>
      <c r="M1280" t="s">
        <v>602</v>
      </c>
      <c r="N1280">
        <v>4</v>
      </c>
      <c r="O1280">
        <v>4</v>
      </c>
      <c r="P1280"/>
      <c r="Q1280">
        <v>134905</v>
      </c>
      <c r="R1280">
        <v>1</v>
      </c>
      <c r="S1280" t="s">
        <v>40</v>
      </c>
      <c r="T1280">
        <v>261</v>
      </c>
      <c r="U1280">
        <v>147664</v>
      </c>
      <c r="V1280">
        <v>24</v>
      </c>
      <c r="W1280" t="s">
        <v>40</v>
      </c>
      <c r="X1280">
        <v>261</v>
      </c>
      <c r="Y1280" t="s">
        <v>377</v>
      </c>
      <c r="Z1280" t="s">
        <v>378</v>
      </c>
      <c r="AA1280" t="s">
        <v>379</v>
      </c>
      <c r="AB1280" t="s">
        <v>384</v>
      </c>
      <c r="AC1280" t="s">
        <v>41</v>
      </c>
      <c r="AD1280" t="s">
        <v>41</v>
      </c>
      <c r="AE1280" t="s">
        <v>41</v>
      </c>
      <c r="AF1280" t="s">
        <v>41</v>
      </c>
      <c r="AK1280"/>
    </row>
    <row r="1281" spans="1:37" x14ac:dyDescent="0.25">
      <c r="A1281" t="s">
        <v>38</v>
      </c>
      <c r="B1281">
        <v>46038.96434027778</v>
      </c>
      <c r="C1281">
        <v>93514</v>
      </c>
      <c r="D1281" t="s">
        <v>563</v>
      </c>
      <c r="E1281">
        <v>4508750</v>
      </c>
      <c r="F1281">
        <v>2104881</v>
      </c>
      <c r="G1281" t="s">
        <v>600</v>
      </c>
      <c r="H1281" t="s">
        <v>1500</v>
      </c>
      <c r="I1281">
        <v>6</v>
      </c>
      <c r="J1281" t="b">
        <v>1</v>
      </c>
      <c r="K1281">
        <v>1.2</v>
      </c>
      <c r="L1281">
        <v>2106201</v>
      </c>
      <c r="M1281" t="s">
        <v>602</v>
      </c>
      <c r="N1281">
        <v>5</v>
      </c>
      <c r="O1281">
        <v>5</v>
      </c>
      <c r="P1281"/>
      <c r="Q1281">
        <v>134905</v>
      </c>
      <c r="R1281">
        <v>1</v>
      </c>
      <c r="S1281" t="s">
        <v>40</v>
      </c>
      <c r="T1281">
        <v>261</v>
      </c>
      <c r="U1281">
        <v>147664</v>
      </c>
      <c r="V1281">
        <v>24</v>
      </c>
      <c r="W1281" t="s">
        <v>40</v>
      </c>
      <c r="X1281">
        <v>261</v>
      </c>
      <c r="Y1281" t="s">
        <v>377</v>
      </c>
      <c r="Z1281" t="s">
        <v>378</v>
      </c>
      <c r="AA1281" t="s">
        <v>379</v>
      </c>
      <c r="AB1281" t="s">
        <v>559</v>
      </c>
      <c r="AC1281" t="s">
        <v>41</v>
      </c>
      <c r="AD1281" t="s">
        <v>41</v>
      </c>
      <c r="AE1281" t="s">
        <v>41</v>
      </c>
      <c r="AF1281" t="s">
        <v>41</v>
      </c>
      <c r="AK1281"/>
    </row>
    <row r="1282" spans="1:37" x14ac:dyDescent="0.25">
      <c r="A1282" t="s">
        <v>39</v>
      </c>
      <c r="B1282">
        <v>46039.055231481485</v>
      </c>
      <c r="C1282">
        <v>90470</v>
      </c>
      <c r="D1282" t="s">
        <v>563</v>
      </c>
      <c r="E1282">
        <v>4504762</v>
      </c>
      <c r="F1282">
        <v>2104716</v>
      </c>
      <c r="G1282" t="s">
        <v>1496</v>
      </c>
      <c r="H1282" t="s">
        <v>1471</v>
      </c>
      <c r="I1282">
        <v>3</v>
      </c>
      <c r="J1282" t="b">
        <v>1</v>
      </c>
      <c r="K1282">
        <v>1.0067114093959731E-2</v>
      </c>
      <c r="L1282">
        <v>2106042</v>
      </c>
      <c r="M1282" t="s">
        <v>1497</v>
      </c>
      <c r="N1282">
        <v>298</v>
      </c>
      <c r="O1282">
        <v>298</v>
      </c>
      <c r="P1282"/>
      <c r="Q1282">
        <v>134976</v>
      </c>
      <c r="R1282">
        <v>1</v>
      </c>
      <c r="S1282" t="s">
        <v>40</v>
      </c>
      <c r="T1282">
        <v>261</v>
      </c>
      <c r="W1282"/>
      <c r="Y1282" t="s">
        <v>377</v>
      </c>
      <c r="Z1282" t="s">
        <v>378</v>
      </c>
      <c r="AA1282" t="s">
        <v>379</v>
      </c>
      <c r="AB1282" t="s">
        <v>1501</v>
      </c>
      <c r="AC1282" t="s">
        <v>41</v>
      </c>
      <c r="AD1282" t="s">
        <v>41</v>
      </c>
      <c r="AE1282" t="s">
        <v>41</v>
      </c>
      <c r="AF1282" t="s">
        <v>41</v>
      </c>
      <c r="AK1282"/>
    </row>
    <row r="1283" spans="1:37" x14ac:dyDescent="0.25">
      <c r="A1283" t="s">
        <v>42</v>
      </c>
      <c r="B1283">
        <v>46039.414780092593</v>
      </c>
      <c r="C1283">
        <v>90631</v>
      </c>
      <c r="D1283" t="s">
        <v>401</v>
      </c>
      <c r="E1283">
        <v>4503349</v>
      </c>
      <c r="F1283">
        <v>134469</v>
      </c>
      <c r="G1283" t="s">
        <v>1360</v>
      </c>
      <c r="H1283" t="s">
        <v>1298</v>
      </c>
      <c r="I1283">
        <v>16.5</v>
      </c>
      <c r="J1283" t="b">
        <v>1</v>
      </c>
      <c r="K1283">
        <v>0.24264705882352941</v>
      </c>
      <c r="L1283">
        <v>134470</v>
      </c>
      <c r="M1283" t="s">
        <v>1362</v>
      </c>
      <c r="N1283">
        <v>68</v>
      </c>
      <c r="O1283">
        <v>68</v>
      </c>
      <c r="P1283"/>
      <c r="Q1283">
        <v>0</v>
      </c>
      <c r="R1283">
        <v>0</v>
      </c>
      <c r="S1283" t="s">
        <v>40</v>
      </c>
      <c r="T1283">
        <v>261</v>
      </c>
      <c r="W1283"/>
      <c r="Y1283" t="s">
        <v>679</v>
      </c>
      <c r="Z1283" t="s">
        <v>378</v>
      </c>
      <c r="AA1283" t="s">
        <v>379</v>
      </c>
      <c r="AB1283" t="s">
        <v>1502</v>
      </c>
      <c r="AC1283" t="s">
        <v>41</v>
      </c>
      <c r="AD1283" t="s">
        <v>41</v>
      </c>
      <c r="AE1283" t="s">
        <v>41</v>
      </c>
      <c r="AF1283" t="s">
        <v>41</v>
      </c>
      <c r="AK1283"/>
    </row>
    <row r="1284" spans="1:37" x14ac:dyDescent="0.25">
      <c r="A1284" t="s">
        <v>42</v>
      </c>
      <c r="B1284">
        <v>46039.417118055557</v>
      </c>
      <c r="C1284">
        <v>90629</v>
      </c>
      <c r="D1284" t="s">
        <v>401</v>
      </c>
      <c r="E1284">
        <v>4505900</v>
      </c>
      <c r="F1284">
        <v>134469</v>
      </c>
      <c r="G1284" t="s">
        <v>1360</v>
      </c>
      <c r="H1284" t="s">
        <v>1353</v>
      </c>
      <c r="I1284">
        <v>16.5</v>
      </c>
      <c r="J1284" t="b">
        <v>1</v>
      </c>
      <c r="K1284">
        <v>0.35869565217391303</v>
      </c>
      <c r="L1284">
        <v>134470</v>
      </c>
      <c r="M1284" t="s">
        <v>1362</v>
      </c>
      <c r="N1284">
        <v>46</v>
      </c>
      <c r="O1284">
        <v>46</v>
      </c>
      <c r="P1284"/>
      <c r="Q1284">
        <v>0</v>
      </c>
      <c r="R1284">
        <v>0</v>
      </c>
      <c r="S1284" t="s">
        <v>40</v>
      </c>
      <c r="T1284">
        <v>261</v>
      </c>
      <c r="W1284"/>
      <c r="Y1284" t="s">
        <v>679</v>
      </c>
      <c r="Z1284" t="s">
        <v>378</v>
      </c>
      <c r="AA1284" t="s">
        <v>379</v>
      </c>
      <c r="AB1284" t="s">
        <v>1503</v>
      </c>
      <c r="AC1284" t="s">
        <v>41</v>
      </c>
      <c r="AD1284" t="s">
        <v>41</v>
      </c>
      <c r="AE1284" t="s">
        <v>41</v>
      </c>
      <c r="AF1284" t="s">
        <v>41</v>
      </c>
      <c r="AK1284"/>
    </row>
    <row r="1285" spans="1:37" x14ac:dyDescent="0.25">
      <c r="A1285" t="s">
        <v>37</v>
      </c>
      <c r="B1285">
        <v>46039.484664351854</v>
      </c>
      <c r="C1285">
        <v>91466</v>
      </c>
      <c r="D1285" t="s">
        <v>401</v>
      </c>
      <c r="E1285">
        <v>4507443</v>
      </c>
      <c r="F1285">
        <v>2104840</v>
      </c>
      <c r="G1285" t="s">
        <v>1504</v>
      </c>
      <c r="H1285" t="s">
        <v>1471</v>
      </c>
      <c r="I1285">
        <v>7.5</v>
      </c>
      <c r="J1285" t="b">
        <v>1</v>
      </c>
      <c r="K1285">
        <v>0.375</v>
      </c>
      <c r="L1285">
        <v>2106160</v>
      </c>
      <c r="M1285" t="s">
        <v>1505</v>
      </c>
      <c r="N1285">
        <v>20</v>
      </c>
      <c r="O1285">
        <v>20</v>
      </c>
      <c r="P1285"/>
      <c r="Q1285">
        <v>134971</v>
      </c>
      <c r="R1285">
        <v>2</v>
      </c>
      <c r="S1285" t="s">
        <v>40</v>
      </c>
      <c r="T1285">
        <v>261</v>
      </c>
      <c r="U1285">
        <v>147664</v>
      </c>
      <c r="V1285">
        <v>48</v>
      </c>
      <c r="W1285" t="s">
        <v>40</v>
      </c>
      <c r="X1285">
        <v>261</v>
      </c>
      <c r="Y1285" t="s">
        <v>377</v>
      </c>
      <c r="Z1285" t="s">
        <v>378</v>
      </c>
      <c r="AA1285" t="s">
        <v>379</v>
      </c>
      <c r="AB1285" t="s">
        <v>1264</v>
      </c>
      <c r="AC1285" t="s">
        <v>379</v>
      </c>
      <c r="AD1285" t="s">
        <v>384</v>
      </c>
      <c r="AE1285" t="s">
        <v>41</v>
      </c>
      <c r="AF1285" t="s">
        <v>41</v>
      </c>
      <c r="AK1285"/>
    </row>
    <row r="1286" spans="1:37" x14ac:dyDescent="0.25">
      <c r="A1286" t="s">
        <v>43</v>
      </c>
      <c r="B1286">
        <v>46039.515370370369</v>
      </c>
      <c r="C1286">
        <v>93515</v>
      </c>
      <c r="D1286" t="s">
        <v>401</v>
      </c>
      <c r="E1286">
        <v>4508753</v>
      </c>
      <c r="F1286">
        <v>2104881</v>
      </c>
      <c r="G1286" t="s">
        <v>600</v>
      </c>
      <c r="H1286" t="s">
        <v>1506</v>
      </c>
      <c r="I1286">
        <v>5</v>
      </c>
      <c r="J1286" t="b">
        <v>1</v>
      </c>
      <c r="K1286">
        <v>1</v>
      </c>
      <c r="L1286">
        <v>2106201</v>
      </c>
      <c r="M1286" t="s">
        <v>602</v>
      </c>
      <c r="N1286">
        <v>5</v>
      </c>
      <c r="O1286">
        <v>5</v>
      </c>
      <c r="P1286"/>
      <c r="Q1286">
        <v>134905</v>
      </c>
      <c r="R1286">
        <v>1</v>
      </c>
      <c r="S1286" t="s">
        <v>40</v>
      </c>
      <c r="T1286">
        <v>261</v>
      </c>
      <c r="U1286">
        <v>147664</v>
      </c>
      <c r="V1286">
        <v>24</v>
      </c>
      <c r="W1286" t="s">
        <v>40</v>
      </c>
      <c r="X1286">
        <v>261</v>
      </c>
      <c r="Y1286" t="s">
        <v>377</v>
      </c>
      <c r="Z1286" t="s">
        <v>378</v>
      </c>
      <c r="AA1286" t="s">
        <v>379</v>
      </c>
      <c r="AB1286" t="s">
        <v>559</v>
      </c>
      <c r="AC1286" t="s">
        <v>41</v>
      </c>
      <c r="AD1286" t="s">
        <v>41</v>
      </c>
      <c r="AE1286" t="s">
        <v>41</v>
      </c>
      <c r="AF1286" t="s">
        <v>41</v>
      </c>
      <c r="AK1286"/>
    </row>
    <row r="1287" spans="1:37" x14ac:dyDescent="0.25">
      <c r="A1287" t="s">
        <v>43</v>
      </c>
      <c r="B1287">
        <v>46039.516469907408</v>
      </c>
      <c r="C1287">
        <v>93515</v>
      </c>
      <c r="D1287" t="s">
        <v>401</v>
      </c>
      <c r="E1287">
        <v>4508752</v>
      </c>
      <c r="F1287">
        <v>2104881</v>
      </c>
      <c r="G1287" t="s">
        <v>600</v>
      </c>
      <c r="H1287" t="s">
        <v>1506</v>
      </c>
      <c r="I1287">
        <v>5</v>
      </c>
      <c r="J1287" t="b">
        <v>1</v>
      </c>
      <c r="K1287">
        <v>1.25</v>
      </c>
      <c r="L1287">
        <v>2106201</v>
      </c>
      <c r="M1287" t="s">
        <v>602</v>
      </c>
      <c r="N1287">
        <v>4</v>
      </c>
      <c r="O1287">
        <v>4</v>
      </c>
      <c r="P1287"/>
      <c r="Q1287">
        <v>134905</v>
      </c>
      <c r="R1287">
        <v>1</v>
      </c>
      <c r="S1287" t="s">
        <v>40</v>
      </c>
      <c r="T1287">
        <v>261</v>
      </c>
      <c r="U1287">
        <v>147664</v>
      </c>
      <c r="V1287">
        <v>24</v>
      </c>
      <c r="W1287" t="s">
        <v>40</v>
      </c>
      <c r="X1287">
        <v>261</v>
      </c>
      <c r="Y1287" t="s">
        <v>377</v>
      </c>
      <c r="Z1287" t="s">
        <v>378</v>
      </c>
      <c r="AA1287" t="s">
        <v>379</v>
      </c>
      <c r="AB1287" t="s">
        <v>384</v>
      </c>
      <c r="AC1287" t="s">
        <v>41</v>
      </c>
      <c r="AD1287" t="s">
        <v>41</v>
      </c>
      <c r="AE1287" t="s">
        <v>41</v>
      </c>
      <c r="AF1287" t="s">
        <v>41</v>
      </c>
      <c r="AK1287"/>
    </row>
    <row r="1288" spans="1:37" x14ac:dyDescent="0.25">
      <c r="A1288" t="s">
        <v>48</v>
      </c>
      <c r="B1288">
        <v>46039.661006944443</v>
      </c>
      <c r="C1288">
        <v>92641</v>
      </c>
      <c r="D1288" t="s">
        <v>401</v>
      </c>
      <c r="E1288">
        <v>4508732</v>
      </c>
      <c r="F1288">
        <v>133168</v>
      </c>
      <c r="G1288" t="s">
        <v>863</v>
      </c>
      <c r="H1288" t="s">
        <v>1500</v>
      </c>
      <c r="I1288">
        <v>64.3</v>
      </c>
      <c r="J1288" t="b">
        <v>1</v>
      </c>
      <c r="K1288">
        <v>0.85733333333333328</v>
      </c>
      <c r="L1288">
        <v>144374</v>
      </c>
      <c r="M1288" t="s">
        <v>865</v>
      </c>
      <c r="N1288">
        <v>75</v>
      </c>
      <c r="O1288">
        <v>75</v>
      </c>
      <c r="P1288"/>
      <c r="Q1288">
        <v>134971</v>
      </c>
      <c r="R1288">
        <v>1</v>
      </c>
      <c r="S1288" t="s">
        <v>40</v>
      </c>
      <c r="T1288">
        <v>261</v>
      </c>
      <c r="U1288">
        <v>147664</v>
      </c>
      <c r="V1288">
        <v>24</v>
      </c>
      <c r="W1288" t="s">
        <v>40</v>
      </c>
      <c r="X1288">
        <v>261</v>
      </c>
      <c r="Y1288" t="s">
        <v>377</v>
      </c>
      <c r="Z1288" t="s">
        <v>378</v>
      </c>
      <c r="AA1288" t="s">
        <v>379</v>
      </c>
      <c r="AB1288" t="s">
        <v>1489</v>
      </c>
      <c r="AC1288" t="s">
        <v>41</v>
      </c>
      <c r="AD1288" t="s">
        <v>41</v>
      </c>
      <c r="AE1288" t="s">
        <v>41</v>
      </c>
      <c r="AF1288" t="s">
        <v>41</v>
      </c>
      <c r="AK1288"/>
    </row>
    <row r="1289" spans="1:37" x14ac:dyDescent="0.25">
      <c r="A1289" t="s">
        <v>38</v>
      </c>
      <c r="B1289">
        <v>46039.833958333336</v>
      </c>
      <c r="C1289">
        <v>91733</v>
      </c>
      <c r="D1289" t="s">
        <v>745</v>
      </c>
      <c r="E1289">
        <v>4508450</v>
      </c>
      <c r="F1289">
        <v>160991</v>
      </c>
      <c r="G1289" t="s">
        <v>1507</v>
      </c>
      <c r="H1289">
        <v>4508446</v>
      </c>
      <c r="I1289">
        <v>14</v>
      </c>
      <c r="J1289" t="b">
        <v>0</v>
      </c>
      <c r="K1289">
        <v>2.3333333333333335</v>
      </c>
      <c r="L1289">
        <v>160988</v>
      </c>
      <c r="M1289" t="s">
        <v>1508</v>
      </c>
      <c r="N1289">
        <v>6</v>
      </c>
      <c r="O1289">
        <v>6</v>
      </c>
      <c r="P1289"/>
      <c r="Q1289">
        <v>155687</v>
      </c>
      <c r="R1289">
        <v>2</v>
      </c>
      <c r="S1289" t="s">
        <v>40</v>
      </c>
      <c r="T1289">
        <v>261</v>
      </c>
      <c r="U1289">
        <v>147664</v>
      </c>
      <c r="V1289">
        <v>48</v>
      </c>
      <c r="W1289" t="s">
        <v>40</v>
      </c>
      <c r="X1289">
        <v>261</v>
      </c>
      <c r="Y1289" t="s">
        <v>377</v>
      </c>
      <c r="Z1289" t="s">
        <v>378</v>
      </c>
      <c r="AA1289" t="s">
        <v>384</v>
      </c>
      <c r="AB1289" t="s">
        <v>622</v>
      </c>
      <c r="AC1289" t="s">
        <v>41</v>
      </c>
      <c r="AD1289" t="s">
        <v>41</v>
      </c>
      <c r="AE1289" t="s">
        <v>41</v>
      </c>
      <c r="AF1289" t="s">
        <v>41</v>
      </c>
      <c r="AK1289"/>
    </row>
    <row r="1290" spans="1:37" x14ac:dyDescent="0.25">
      <c r="A1290" t="s">
        <v>37</v>
      </c>
      <c r="B1290">
        <v>46039.9140162037</v>
      </c>
      <c r="C1290">
        <v>91468</v>
      </c>
      <c r="D1290" t="s">
        <v>745</v>
      </c>
      <c r="E1290">
        <v>4507445</v>
      </c>
      <c r="F1290">
        <v>2104840</v>
      </c>
      <c r="G1290" t="s">
        <v>1504</v>
      </c>
      <c r="H1290" t="s">
        <v>1484</v>
      </c>
      <c r="I1290">
        <v>3.75</v>
      </c>
      <c r="J1290" t="b">
        <v>1</v>
      </c>
      <c r="K1290">
        <v>0.234375</v>
      </c>
      <c r="L1290">
        <v>2106160</v>
      </c>
      <c r="M1290" t="s">
        <v>1505</v>
      </c>
      <c r="N1290">
        <v>16</v>
      </c>
      <c r="O1290">
        <v>16</v>
      </c>
      <c r="P1290"/>
      <c r="Q1290">
        <v>134971</v>
      </c>
      <c r="R1290">
        <v>2</v>
      </c>
      <c r="S1290" t="s">
        <v>40</v>
      </c>
      <c r="T1290">
        <v>261</v>
      </c>
      <c r="U1290">
        <v>147664</v>
      </c>
      <c r="V1290">
        <v>48</v>
      </c>
      <c r="W1290" t="s">
        <v>40</v>
      </c>
      <c r="X1290">
        <v>261</v>
      </c>
      <c r="Y1290" t="s">
        <v>377</v>
      </c>
      <c r="Z1290" t="s">
        <v>378</v>
      </c>
      <c r="AA1290" t="s">
        <v>379</v>
      </c>
      <c r="AB1290" t="s">
        <v>1264</v>
      </c>
      <c r="AC1290" t="s">
        <v>41</v>
      </c>
      <c r="AD1290" t="s">
        <v>41</v>
      </c>
      <c r="AE1290" t="s">
        <v>41</v>
      </c>
      <c r="AF1290" t="s">
        <v>41</v>
      </c>
      <c r="AK1290"/>
    </row>
    <row r="1291" spans="1:37" x14ac:dyDescent="0.25">
      <c r="A1291" t="s">
        <v>37</v>
      </c>
      <c r="B1291">
        <v>46039.915219907409</v>
      </c>
      <c r="C1291">
        <v>91468</v>
      </c>
      <c r="D1291" t="s">
        <v>745</v>
      </c>
      <c r="E1291">
        <v>4507444</v>
      </c>
      <c r="F1291">
        <v>2104840</v>
      </c>
      <c r="G1291" t="s">
        <v>1504</v>
      </c>
      <c r="H1291" t="s">
        <v>1484</v>
      </c>
      <c r="I1291">
        <v>3.75</v>
      </c>
      <c r="J1291" t="b">
        <v>1</v>
      </c>
      <c r="K1291">
        <v>0.9375</v>
      </c>
      <c r="L1291">
        <v>2106160</v>
      </c>
      <c r="M1291" t="s">
        <v>1505</v>
      </c>
      <c r="N1291">
        <v>4</v>
      </c>
      <c r="O1291">
        <v>4</v>
      </c>
      <c r="P1291"/>
      <c r="Q1291">
        <v>134971</v>
      </c>
      <c r="R1291">
        <v>1</v>
      </c>
      <c r="S1291" t="s">
        <v>40</v>
      </c>
      <c r="T1291">
        <v>261</v>
      </c>
      <c r="U1291">
        <v>147664</v>
      </c>
      <c r="V1291">
        <v>24</v>
      </c>
      <c r="W1291" t="s">
        <v>40</v>
      </c>
      <c r="X1291">
        <v>261</v>
      </c>
      <c r="Y1291" t="s">
        <v>377</v>
      </c>
      <c r="Z1291" t="s">
        <v>378</v>
      </c>
      <c r="AA1291" t="s">
        <v>379</v>
      </c>
      <c r="AB1291" t="s">
        <v>384</v>
      </c>
      <c r="AC1291" t="s">
        <v>41</v>
      </c>
      <c r="AD1291" t="s">
        <v>41</v>
      </c>
      <c r="AE1291" t="s">
        <v>41</v>
      </c>
      <c r="AF1291" t="s">
        <v>41</v>
      </c>
      <c r="AK1291"/>
    </row>
    <row r="1292" spans="1:37" x14ac:dyDescent="0.25">
      <c r="A1292" t="s">
        <v>44</v>
      </c>
      <c r="B1292">
        <v>46040.021423611113</v>
      </c>
      <c r="C1292">
        <v>92642</v>
      </c>
      <c r="D1292" t="s">
        <v>745</v>
      </c>
      <c r="E1292">
        <v>4508733</v>
      </c>
      <c r="F1292">
        <v>133168</v>
      </c>
      <c r="H1292" t="s">
        <v>1506</v>
      </c>
      <c r="I1292">
        <v>64.3</v>
      </c>
      <c r="J1292" t="b">
        <v>0</v>
      </c>
      <c r="K1292">
        <v>0.85733333333333328</v>
      </c>
      <c r="L1292">
        <v>144374</v>
      </c>
      <c r="M1292" t="s">
        <v>865</v>
      </c>
      <c r="N1292">
        <v>75</v>
      </c>
      <c r="O1292">
        <v>75</v>
      </c>
      <c r="P1292"/>
      <c r="Q1292">
        <v>134971</v>
      </c>
      <c r="R1292">
        <v>1</v>
      </c>
      <c r="S1292" t="s">
        <v>40</v>
      </c>
      <c r="T1292">
        <v>261</v>
      </c>
      <c r="U1292">
        <v>147664</v>
      </c>
      <c r="V1292">
        <v>24</v>
      </c>
      <c r="W1292" t="s">
        <v>40</v>
      </c>
      <c r="X1292">
        <v>261</v>
      </c>
      <c r="Y1292" t="s">
        <v>377</v>
      </c>
      <c r="Z1292" t="s">
        <v>378</v>
      </c>
      <c r="AA1292" t="s">
        <v>379</v>
      </c>
      <c r="AB1292" t="s">
        <v>1489</v>
      </c>
      <c r="AC1292" t="s">
        <v>41</v>
      </c>
      <c r="AD1292" t="s">
        <v>41</v>
      </c>
      <c r="AE1292" t="s">
        <v>41</v>
      </c>
      <c r="AF1292" t="s">
        <v>41</v>
      </c>
      <c r="AK1292"/>
    </row>
    <row r="1293" spans="1:37" x14ac:dyDescent="0.25">
      <c r="A1293" t="s">
        <v>44</v>
      </c>
      <c r="B1293">
        <v>46040.02443287037</v>
      </c>
      <c r="C1293">
        <v>92642</v>
      </c>
      <c r="D1293" t="s">
        <v>745</v>
      </c>
      <c r="E1293">
        <v>4508733</v>
      </c>
      <c r="F1293">
        <v>133168</v>
      </c>
      <c r="G1293" t="s">
        <v>863</v>
      </c>
      <c r="H1293" t="s">
        <v>1506</v>
      </c>
      <c r="I1293">
        <v>64.3</v>
      </c>
      <c r="J1293" t="b">
        <v>1</v>
      </c>
      <c r="K1293">
        <v>0.85733333333333328</v>
      </c>
      <c r="L1293">
        <v>144374</v>
      </c>
      <c r="M1293" t="s">
        <v>865</v>
      </c>
      <c r="N1293">
        <v>75</v>
      </c>
      <c r="O1293">
        <v>75</v>
      </c>
      <c r="P1293"/>
      <c r="Q1293">
        <v>134971</v>
      </c>
      <c r="R1293">
        <v>1</v>
      </c>
      <c r="S1293" t="s">
        <v>40</v>
      </c>
      <c r="T1293">
        <v>261</v>
      </c>
      <c r="U1293">
        <v>147664</v>
      </c>
      <c r="V1293">
        <v>24</v>
      </c>
      <c r="W1293" t="s">
        <v>40</v>
      </c>
      <c r="X1293">
        <v>261</v>
      </c>
      <c r="Y1293" t="s">
        <v>377</v>
      </c>
      <c r="Z1293" t="s">
        <v>378</v>
      </c>
      <c r="AA1293" t="s">
        <v>379</v>
      </c>
      <c r="AB1293" t="s">
        <v>1489</v>
      </c>
      <c r="AC1293" t="s">
        <v>41</v>
      </c>
      <c r="AD1293" t="s">
        <v>41</v>
      </c>
      <c r="AE1293" t="s">
        <v>41</v>
      </c>
      <c r="AF1293" t="s">
        <v>41</v>
      </c>
      <c r="AK1293"/>
    </row>
    <row r="1294" spans="1:37" x14ac:dyDescent="0.25">
      <c r="A1294" t="s">
        <v>43</v>
      </c>
      <c r="B1294">
        <v>46040.326157407406</v>
      </c>
      <c r="C1294">
        <v>93517</v>
      </c>
      <c r="D1294" t="s">
        <v>843</v>
      </c>
      <c r="E1294">
        <v>4508755</v>
      </c>
      <c r="F1294">
        <v>2104881</v>
      </c>
      <c r="G1294" t="s">
        <v>600</v>
      </c>
      <c r="H1294" t="s">
        <v>1509</v>
      </c>
      <c r="I1294">
        <v>10</v>
      </c>
      <c r="J1294" t="b">
        <v>1</v>
      </c>
      <c r="K1294">
        <v>2</v>
      </c>
      <c r="L1294">
        <v>2106201</v>
      </c>
      <c r="M1294" t="s">
        <v>602</v>
      </c>
      <c r="N1294">
        <v>5</v>
      </c>
      <c r="O1294">
        <v>9</v>
      </c>
      <c r="P1294"/>
      <c r="Q1294">
        <v>134906</v>
      </c>
      <c r="R1294">
        <v>1</v>
      </c>
      <c r="S1294" t="s">
        <v>40</v>
      </c>
      <c r="T1294">
        <v>261</v>
      </c>
      <c r="U1294">
        <v>147664</v>
      </c>
      <c r="V1294">
        <v>24</v>
      </c>
      <c r="W1294" t="s">
        <v>40</v>
      </c>
      <c r="X1294">
        <v>261</v>
      </c>
      <c r="Y1294" t="s">
        <v>377</v>
      </c>
      <c r="Z1294" t="s">
        <v>378</v>
      </c>
      <c r="AA1294" t="s">
        <v>379</v>
      </c>
      <c r="AB1294" t="s">
        <v>559</v>
      </c>
      <c r="AC1294" t="s">
        <v>41</v>
      </c>
      <c r="AD1294" t="s">
        <v>41</v>
      </c>
      <c r="AE1294" t="s">
        <v>41</v>
      </c>
      <c r="AF1294" t="s">
        <v>41</v>
      </c>
      <c r="AK1294"/>
    </row>
    <row r="1295" spans="1:37" x14ac:dyDescent="0.25">
      <c r="A1295" t="s">
        <v>43</v>
      </c>
      <c r="B1295">
        <v>46040.327268518522</v>
      </c>
      <c r="C1295">
        <v>93517</v>
      </c>
      <c r="D1295" t="s">
        <v>843</v>
      </c>
      <c r="E1295">
        <v>4508754</v>
      </c>
      <c r="F1295">
        <v>2104881</v>
      </c>
      <c r="G1295" t="s">
        <v>600</v>
      </c>
      <c r="H1295" t="s">
        <v>1509</v>
      </c>
      <c r="I1295">
        <v>5</v>
      </c>
      <c r="J1295" t="b">
        <v>1</v>
      </c>
      <c r="K1295">
        <v>1.25</v>
      </c>
      <c r="L1295">
        <v>2106201</v>
      </c>
      <c r="M1295" t="s">
        <v>602</v>
      </c>
      <c r="N1295">
        <v>4</v>
      </c>
      <c r="O1295">
        <v>4</v>
      </c>
      <c r="P1295"/>
      <c r="Q1295">
        <v>134906</v>
      </c>
      <c r="R1295">
        <v>1</v>
      </c>
      <c r="S1295" t="s">
        <v>40</v>
      </c>
      <c r="T1295">
        <v>261</v>
      </c>
      <c r="U1295">
        <v>147664</v>
      </c>
      <c r="V1295">
        <v>24</v>
      </c>
      <c r="W1295" t="s">
        <v>40</v>
      </c>
      <c r="X1295">
        <v>261</v>
      </c>
      <c r="Y1295" t="s">
        <v>377</v>
      </c>
      <c r="Z1295" t="s">
        <v>378</v>
      </c>
      <c r="AA1295" t="s">
        <v>379</v>
      </c>
      <c r="AB1295" t="s">
        <v>384</v>
      </c>
      <c r="AC1295" t="s">
        <v>41</v>
      </c>
      <c r="AD1295" t="s">
        <v>41</v>
      </c>
      <c r="AE1295" t="s">
        <v>41</v>
      </c>
      <c r="AF1295" t="s">
        <v>41</v>
      </c>
      <c r="AK1295"/>
    </row>
    <row r="1296" spans="1:37" x14ac:dyDescent="0.25">
      <c r="A1296" t="s">
        <v>45</v>
      </c>
      <c r="B1296">
        <v>46040.419571759259</v>
      </c>
      <c r="C1296">
        <v>90630</v>
      </c>
      <c r="D1296" t="s">
        <v>843</v>
      </c>
      <c r="E1296">
        <v>4503344</v>
      </c>
      <c r="F1296">
        <v>2104771</v>
      </c>
      <c r="G1296" t="s">
        <v>1510</v>
      </c>
      <c r="H1296" t="s">
        <v>1300</v>
      </c>
      <c r="I1296">
        <v>42</v>
      </c>
      <c r="J1296" t="b">
        <v>1</v>
      </c>
      <c r="K1296">
        <v>0.42857142857142855</v>
      </c>
      <c r="L1296">
        <v>2106099</v>
      </c>
      <c r="M1296" t="s">
        <v>1511</v>
      </c>
      <c r="N1296">
        <v>98</v>
      </c>
      <c r="O1296">
        <v>100</v>
      </c>
      <c r="P1296" t="s">
        <v>681</v>
      </c>
      <c r="Q1296">
        <v>0</v>
      </c>
      <c r="R1296">
        <v>0</v>
      </c>
      <c r="S1296" t="s">
        <v>40</v>
      </c>
      <c r="T1296">
        <v>261</v>
      </c>
      <c r="W1296"/>
      <c r="Y1296" t="s">
        <v>679</v>
      </c>
      <c r="Z1296" t="s">
        <v>378</v>
      </c>
      <c r="AA1296" t="s">
        <v>379</v>
      </c>
      <c r="AB1296" t="s">
        <v>511</v>
      </c>
      <c r="AC1296" t="s">
        <v>41</v>
      </c>
      <c r="AD1296" t="s">
        <v>41</v>
      </c>
      <c r="AE1296" t="s">
        <v>41</v>
      </c>
      <c r="AF1296" t="s">
        <v>41</v>
      </c>
      <c r="AK1296"/>
    </row>
    <row r="1297" spans="1:38" x14ac:dyDescent="0.25">
      <c r="A1297" t="s">
        <v>37</v>
      </c>
      <c r="B1297">
        <v>46040.468668981484</v>
      </c>
      <c r="C1297">
        <v>90471</v>
      </c>
      <c r="D1297" t="s">
        <v>843</v>
      </c>
      <c r="E1297">
        <v>4497112</v>
      </c>
      <c r="F1297">
        <v>2104715</v>
      </c>
      <c r="G1297" t="s">
        <v>1512</v>
      </c>
      <c r="H1297" t="s">
        <v>1464</v>
      </c>
      <c r="I1297">
        <v>3</v>
      </c>
      <c r="J1297" t="b">
        <v>1</v>
      </c>
      <c r="K1297">
        <v>9.8684210526315784E-3</v>
      </c>
      <c r="L1297">
        <v>2106041</v>
      </c>
      <c r="M1297" t="s">
        <v>1513</v>
      </c>
      <c r="N1297">
        <v>304</v>
      </c>
      <c r="O1297">
        <v>304</v>
      </c>
      <c r="P1297"/>
      <c r="Q1297">
        <v>134976</v>
      </c>
      <c r="R1297">
        <v>1</v>
      </c>
      <c r="S1297" t="s">
        <v>40</v>
      </c>
      <c r="T1297">
        <v>261</v>
      </c>
      <c r="W1297"/>
      <c r="Y1297" t="s">
        <v>377</v>
      </c>
      <c r="Z1297" t="s">
        <v>378</v>
      </c>
      <c r="AA1297" t="s">
        <v>379</v>
      </c>
      <c r="AB1297" t="s">
        <v>1005</v>
      </c>
      <c r="AC1297" t="s">
        <v>41</v>
      </c>
      <c r="AD1297" t="s">
        <v>41</v>
      </c>
      <c r="AE1297" t="s">
        <v>41</v>
      </c>
      <c r="AF1297" t="s">
        <v>41</v>
      </c>
      <c r="AK1297"/>
    </row>
    <row r="1298" spans="1:38" x14ac:dyDescent="0.25">
      <c r="A1298" t="s">
        <v>42</v>
      </c>
      <c r="B1298">
        <v>46040.670370370368</v>
      </c>
      <c r="C1298">
        <v>91469</v>
      </c>
      <c r="D1298" t="s">
        <v>843</v>
      </c>
      <c r="E1298">
        <v>4509048</v>
      </c>
      <c r="F1298">
        <v>2104840</v>
      </c>
      <c r="G1298" t="s">
        <v>1504</v>
      </c>
      <c r="H1298" t="s">
        <v>1485</v>
      </c>
      <c r="I1298">
        <v>7.5</v>
      </c>
      <c r="J1298" t="b">
        <v>1</v>
      </c>
      <c r="K1298">
        <v>0.375</v>
      </c>
      <c r="L1298">
        <v>2106160</v>
      </c>
      <c r="M1298" t="s">
        <v>1505</v>
      </c>
      <c r="N1298">
        <v>20</v>
      </c>
      <c r="O1298">
        <v>20</v>
      </c>
      <c r="P1298"/>
      <c r="Q1298">
        <v>134971</v>
      </c>
      <c r="R1298">
        <v>2</v>
      </c>
      <c r="S1298" t="s">
        <v>40</v>
      </c>
      <c r="T1298">
        <v>261</v>
      </c>
      <c r="U1298">
        <v>147664</v>
      </c>
      <c r="V1298">
        <v>48</v>
      </c>
      <c r="W1298" t="s">
        <v>40</v>
      </c>
      <c r="X1298">
        <v>261</v>
      </c>
      <c r="Y1298" t="s">
        <v>377</v>
      </c>
      <c r="Z1298" t="s">
        <v>378</v>
      </c>
      <c r="AA1298" t="s">
        <v>384</v>
      </c>
      <c r="AB1298" t="s">
        <v>877</v>
      </c>
      <c r="AC1298" t="s">
        <v>41</v>
      </c>
      <c r="AD1298" t="s">
        <v>41</v>
      </c>
      <c r="AE1298" t="s">
        <v>41</v>
      </c>
      <c r="AF1298" t="s">
        <v>41</v>
      </c>
      <c r="AK1298"/>
    </row>
    <row r="1299" spans="1:38" x14ac:dyDescent="0.25">
      <c r="A1299" t="s">
        <v>38</v>
      </c>
      <c r="B1299">
        <v>46040.687638888892</v>
      </c>
      <c r="C1299">
        <v>91732</v>
      </c>
      <c r="D1299" t="s">
        <v>843</v>
      </c>
      <c r="E1299">
        <v>4505961</v>
      </c>
      <c r="F1299">
        <v>155446</v>
      </c>
      <c r="G1299" t="s">
        <v>785</v>
      </c>
      <c r="H1299" t="s">
        <v>1389</v>
      </c>
      <c r="I1299">
        <v>7</v>
      </c>
      <c r="J1299" t="b">
        <v>1</v>
      </c>
      <c r="K1299">
        <v>2.3333333333333335</v>
      </c>
      <c r="L1299">
        <v>155444</v>
      </c>
      <c r="M1299" t="s">
        <v>786</v>
      </c>
      <c r="N1299">
        <v>3</v>
      </c>
      <c r="O1299">
        <v>6</v>
      </c>
      <c r="P1299"/>
      <c r="Q1299">
        <v>155687</v>
      </c>
      <c r="R1299">
        <v>1</v>
      </c>
      <c r="S1299" t="s">
        <v>40</v>
      </c>
      <c r="T1299">
        <v>261</v>
      </c>
      <c r="U1299">
        <v>147664</v>
      </c>
      <c r="V1299">
        <v>24</v>
      </c>
      <c r="W1299" t="s">
        <v>40</v>
      </c>
      <c r="X1299">
        <v>261</v>
      </c>
      <c r="Y1299" t="s">
        <v>377</v>
      </c>
      <c r="Z1299" t="s">
        <v>378</v>
      </c>
      <c r="AA1299" t="s">
        <v>379</v>
      </c>
      <c r="AB1299" t="s">
        <v>622</v>
      </c>
      <c r="AC1299" t="s">
        <v>41</v>
      </c>
      <c r="AD1299" t="s">
        <v>41</v>
      </c>
      <c r="AE1299" t="s">
        <v>41</v>
      </c>
      <c r="AF1299" t="s">
        <v>41</v>
      </c>
      <c r="AK1299"/>
    </row>
    <row r="1300" spans="1:38" x14ac:dyDescent="0.25">
      <c r="A1300" t="s">
        <v>38</v>
      </c>
      <c r="B1300">
        <v>46040.688564814816</v>
      </c>
      <c r="C1300">
        <v>91732</v>
      </c>
      <c r="D1300" t="s">
        <v>843</v>
      </c>
      <c r="E1300">
        <v>4505820</v>
      </c>
      <c r="F1300">
        <v>155446</v>
      </c>
      <c r="G1300" t="s">
        <v>785</v>
      </c>
      <c r="H1300" t="s">
        <v>1389</v>
      </c>
      <c r="I1300">
        <v>7</v>
      </c>
      <c r="J1300" t="b">
        <v>1</v>
      </c>
      <c r="K1300">
        <v>2.3333333333333335</v>
      </c>
      <c r="L1300">
        <v>155444</v>
      </c>
      <c r="M1300" t="s">
        <v>786</v>
      </c>
      <c r="N1300">
        <v>3</v>
      </c>
      <c r="O1300">
        <v>3</v>
      </c>
      <c r="P1300"/>
      <c r="Q1300">
        <v>155687</v>
      </c>
      <c r="R1300">
        <v>1</v>
      </c>
      <c r="S1300" t="s">
        <v>40</v>
      </c>
      <c r="T1300">
        <v>261</v>
      </c>
      <c r="U1300">
        <v>147664</v>
      </c>
      <c r="V1300">
        <v>24</v>
      </c>
      <c r="W1300" t="s">
        <v>40</v>
      </c>
      <c r="X1300">
        <v>261</v>
      </c>
      <c r="Y1300" t="s">
        <v>377</v>
      </c>
      <c r="Z1300" t="s">
        <v>378</v>
      </c>
      <c r="AA1300" t="s">
        <v>379</v>
      </c>
      <c r="AB1300" t="s">
        <v>622</v>
      </c>
      <c r="AC1300" t="s">
        <v>41</v>
      </c>
      <c r="AD1300" t="s">
        <v>41</v>
      </c>
      <c r="AE1300" t="s">
        <v>41</v>
      </c>
      <c r="AF1300" t="s">
        <v>41</v>
      </c>
      <c r="AK1300"/>
    </row>
    <row r="1301" spans="1:38" x14ac:dyDescent="0.25">
      <c r="A1301" t="s">
        <v>43</v>
      </c>
      <c r="B1301">
        <v>46041.215162037035</v>
      </c>
      <c r="C1301">
        <v>93518</v>
      </c>
      <c r="D1301" t="s">
        <v>682</v>
      </c>
      <c r="E1301">
        <v>4508756</v>
      </c>
      <c r="F1301">
        <v>2104881</v>
      </c>
      <c r="G1301" t="s">
        <v>600</v>
      </c>
      <c r="H1301" t="s">
        <v>1514</v>
      </c>
      <c r="I1301">
        <v>10</v>
      </c>
      <c r="J1301" t="b">
        <v>1</v>
      </c>
      <c r="K1301">
        <v>2.5</v>
      </c>
      <c r="L1301">
        <v>2106201</v>
      </c>
      <c r="M1301" t="s">
        <v>602</v>
      </c>
      <c r="N1301">
        <v>4</v>
      </c>
      <c r="O1301">
        <v>4</v>
      </c>
      <c r="P1301"/>
      <c r="Q1301">
        <v>134905</v>
      </c>
      <c r="R1301">
        <v>1</v>
      </c>
      <c r="S1301" t="s">
        <v>40</v>
      </c>
      <c r="T1301">
        <v>261</v>
      </c>
      <c r="U1301">
        <v>147664</v>
      </c>
      <c r="V1301">
        <v>24</v>
      </c>
      <c r="W1301" t="s">
        <v>40</v>
      </c>
      <c r="X1301">
        <v>261</v>
      </c>
      <c r="Y1301" t="s">
        <v>377</v>
      </c>
      <c r="Z1301" t="s">
        <v>378</v>
      </c>
      <c r="AA1301" t="s">
        <v>379</v>
      </c>
      <c r="AB1301" t="s">
        <v>384</v>
      </c>
      <c r="AC1301" t="s">
        <v>41</v>
      </c>
      <c r="AD1301" t="s">
        <v>41</v>
      </c>
      <c r="AE1301" t="s">
        <v>41</v>
      </c>
      <c r="AF1301" t="s">
        <v>41</v>
      </c>
      <c r="AK1301"/>
    </row>
    <row r="1302" spans="1:38" x14ac:dyDescent="0.25">
      <c r="A1302" t="s">
        <v>43</v>
      </c>
      <c r="B1302">
        <v>46041.216990740744</v>
      </c>
      <c r="C1302">
        <v>93518</v>
      </c>
      <c r="D1302" t="s">
        <v>682</v>
      </c>
      <c r="E1302">
        <v>4508757</v>
      </c>
      <c r="F1302">
        <v>2104881</v>
      </c>
      <c r="G1302" t="s">
        <v>600</v>
      </c>
      <c r="H1302" t="s">
        <v>1514</v>
      </c>
      <c r="I1302">
        <v>5</v>
      </c>
      <c r="J1302" t="b">
        <v>1</v>
      </c>
      <c r="K1302">
        <v>1</v>
      </c>
      <c r="L1302">
        <v>2106201</v>
      </c>
      <c r="M1302" t="s">
        <v>602</v>
      </c>
      <c r="N1302">
        <v>5</v>
      </c>
      <c r="O1302">
        <v>5</v>
      </c>
      <c r="P1302"/>
      <c r="Q1302">
        <v>134905</v>
      </c>
      <c r="R1302">
        <v>1</v>
      </c>
      <c r="S1302" t="s">
        <v>40</v>
      </c>
      <c r="T1302">
        <v>261</v>
      </c>
      <c r="U1302">
        <v>147664</v>
      </c>
      <c r="V1302">
        <v>24</v>
      </c>
      <c r="W1302" t="s">
        <v>40</v>
      </c>
      <c r="X1302">
        <v>261</v>
      </c>
      <c r="Y1302" t="s">
        <v>377</v>
      </c>
      <c r="Z1302" t="s">
        <v>378</v>
      </c>
      <c r="AA1302" t="s">
        <v>379</v>
      </c>
      <c r="AB1302" t="s">
        <v>559</v>
      </c>
      <c r="AC1302" t="s">
        <v>41</v>
      </c>
      <c r="AD1302" t="s">
        <v>41</v>
      </c>
      <c r="AE1302" t="s">
        <v>41</v>
      </c>
      <c r="AF1302" t="s">
        <v>41</v>
      </c>
      <c r="AK1302"/>
    </row>
    <row r="1303" spans="1:38" x14ac:dyDescent="0.25">
      <c r="A1303" t="s">
        <v>44</v>
      </c>
      <c r="B1303">
        <v>46041.45753472222</v>
      </c>
      <c r="C1303">
        <v>91734</v>
      </c>
      <c r="D1303" t="s">
        <v>373</v>
      </c>
      <c r="E1303">
        <v>4508979</v>
      </c>
      <c r="F1303">
        <v>155442</v>
      </c>
      <c r="G1303" t="s">
        <v>813</v>
      </c>
      <c r="H1303" t="s">
        <v>1464</v>
      </c>
      <c r="I1303">
        <v>14</v>
      </c>
      <c r="J1303" t="b">
        <v>1</v>
      </c>
      <c r="K1303">
        <v>2.3333333333333335</v>
      </c>
      <c r="L1303">
        <v>155441</v>
      </c>
      <c r="M1303" t="s">
        <v>814</v>
      </c>
      <c r="N1303">
        <v>6</v>
      </c>
      <c r="O1303">
        <v>6</v>
      </c>
      <c r="P1303"/>
      <c r="Q1303">
        <v>155687</v>
      </c>
      <c r="R1303">
        <v>1</v>
      </c>
      <c r="S1303" t="s">
        <v>40</v>
      </c>
      <c r="T1303">
        <v>261</v>
      </c>
      <c r="U1303">
        <v>147664</v>
      </c>
      <c r="V1303">
        <v>48</v>
      </c>
      <c r="W1303" t="s">
        <v>40</v>
      </c>
      <c r="X1303">
        <v>261</v>
      </c>
      <c r="Y1303" t="s">
        <v>377</v>
      </c>
      <c r="Z1303" t="s">
        <v>378</v>
      </c>
      <c r="AA1303" t="s">
        <v>379</v>
      </c>
      <c r="AB1303" t="s">
        <v>622</v>
      </c>
      <c r="AC1303" t="s">
        <v>379</v>
      </c>
      <c r="AD1303" t="s">
        <v>622</v>
      </c>
      <c r="AE1303" t="s">
        <v>41</v>
      </c>
      <c r="AF1303" t="s">
        <v>41</v>
      </c>
      <c r="AI1303">
        <v>155687</v>
      </c>
      <c r="AJ1303">
        <v>1</v>
      </c>
      <c r="AK1303" t="s">
        <v>40</v>
      </c>
      <c r="AL1303">
        <v>261</v>
      </c>
    </row>
    <row r="1304" spans="1:38" x14ac:dyDescent="0.25">
      <c r="A1304" t="s">
        <v>37</v>
      </c>
      <c r="B1304">
        <v>46041.545787037037</v>
      </c>
      <c r="C1304">
        <v>91470</v>
      </c>
      <c r="D1304" t="s">
        <v>373</v>
      </c>
      <c r="E1304">
        <v>4509049</v>
      </c>
      <c r="F1304">
        <v>2104840</v>
      </c>
      <c r="G1304" t="s">
        <v>1504</v>
      </c>
      <c r="H1304" t="s">
        <v>1500</v>
      </c>
      <c r="I1304">
        <v>7.5</v>
      </c>
      <c r="J1304" t="b">
        <v>1</v>
      </c>
      <c r="K1304">
        <v>0.375</v>
      </c>
      <c r="L1304">
        <v>2106160</v>
      </c>
      <c r="M1304" t="s">
        <v>1505</v>
      </c>
      <c r="N1304">
        <v>20</v>
      </c>
      <c r="O1304">
        <v>20</v>
      </c>
      <c r="P1304"/>
      <c r="Q1304">
        <v>134971</v>
      </c>
      <c r="R1304">
        <v>1</v>
      </c>
      <c r="S1304" t="s">
        <v>40</v>
      </c>
      <c r="T1304">
        <v>261</v>
      </c>
      <c r="U1304">
        <v>147664</v>
      </c>
      <c r="V1304">
        <v>48</v>
      </c>
      <c r="W1304" t="s">
        <v>40</v>
      </c>
      <c r="X1304">
        <v>261</v>
      </c>
      <c r="Y1304" t="s">
        <v>377</v>
      </c>
      <c r="Z1304" t="s">
        <v>378</v>
      </c>
      <c r="AA1304" t="s">
        <v>384</v>
      </c>
      <c r="AB1304" t="s">
        <v>877</v>
      </c>
      <c r="AC1304" t="s">
        <v>41</v>
      </c>
      <c r="AD1304" t="s">
        <v>41</v>
      </c>
      <c r="AE1304" t="s">
        <v>41</v>
      </c>
      <c r="AF1304" t="s">
        <v>41</v>
      </c>
      <c r="AI1304">
        <v>134971</v>
      </c>
      <c r="AJ1304">
        <v>1</v>
      </c>
      <c r="AK1304" t="s">
        <v>40</v>
      </c>
      <c r="AL1304">
        <v>261</v>
      </c>
    </row>
    <row r="1305" spans="1:38" x14ac:dyDescent="0.25">
      <c r="A1305" t="s">
        <v>47</v>
      </c>
      <c r="B1305">
        <v>46041.598877314813</v>
      </c>
      <c r="C1305">
        <v>92643</v>
      </c>
      <c r="D1305" t="s">
        <v>373</v>
      </c>
      <c r="E1305">
        <v>4507343</v>
      </c>
      <c r="F1305">
        <v>2310135</v>
      </c>
      <c r="G1305" t="s">
        <v>1052</v>
      </c>
      <c r="H1305" t="s">
        <v>1464</v>
      </c>
      <c r="I1305">
        <v>64.3</v>
      </c>
      <c r="J1305" t="b">
        <v>1</v>
      </c>
      <c r="K1305">
        <v>0.15644768856447688</v>
      </c>
      <c r="L1305">
        <v>2310136</v>
      </c>
      <c r="M1305" t="s">
        <v>1053</v>
      </c>
      <c r="N1305">
        <v>411</v>
      </c>
      <c r="O1305">
        <v>400</v>
      </c>
      <c r="P1305"/>
      <c r="Q1305">
        <v>134974</v>
      </c>
      <c r="R1305">
        <v>1</v>
      </c>
      <c r="S1305" t="s">
        <v>40</v>
      </c>
      <c r="T1305">
        <v>261</v>
      </c>
      <c r="W1305"/>
      <c r="Y1305" t="s">
        <v>377</v>
      </c>
      <c r="Z1305" t="s">
        <v>378</v>
      </c>
      <c r="AA1305" t="s">
        <v>379</v>
      </c>
      <c r="AB1305" t="s">
        <v>1446</v>
      </c>
      <c r="AC1305" t="s">
        <v>41</v>
      </c>
      <c r="AD1305" t="s">
        <v>41</v>
      </c>
      <c r="AE1305" t="s">
        <v>41</v>
      </c>
      <c r="AF1305" t="s">
        <v>41</v>
      </c>
      <c r="AK1305"/>
    </row>
    <row r="1306" spans="1:38" x14ac:dyDescent="0.25">
      <c r="A1306" t="s">
        <v>42</v>
      </c>
      <c r="B1306">
        <v>46041.736701388887</v>
      </c>
      <c r="C1306">
        <v>91471</v>
      </c>
      <c r="D1306" t="s">
        <v>373</v>
      </c>
      <c r="E1306">
        <v>4509050</v>
      </c>
      <c r="F1306">
        <v>2104840</v>
      </c>
      <c r="G1306" t="s">
        <v>1504</v>
      </c>
      <c r="H1306" t="s">
        <v>1506</v>
      </c>
      <c r="I1306">
        <v>7.5</v>
      </c>
      <c r="J1306" t="b">
        <v>1</v>
      </c>
      <c r="K1306">
        <v>0.375</v>
      </c>
      <c r="L1306">
        <v>2106160</v>
      </c>
      <c r="M1306" t="s">
        <v>1505</v>
      </c>
      <c r="N1306">
        <v>20</v>
      </c>
      <c r="O1306">
        <v>20</v>
      </c>
      <c r="P1306"/>
      <c r="Q1306">
        <v>134971</v>
      </c>
      <c r="R1306">
        <v>1</v>
      </c>
      <c r="S1306" t="s">
        <v>40</v>
      </c>
      <c r="T1306">
        <v>261</v>
      </c>
      <c r="U1306">
        <v>147664</v>
      </c>
      <c r="V1306">
        <v>48</v>
      </c>
      <c r="W1306" t="s">
        <v>40</v>
      </c>
      <c r="X1306">
        <v>261</v>
      </c>
      <c r="Y1306" t="s">
        <v>377</v>
      </c>
      <c r="Z1306" t="s">
        <v>378</v>
      </c>
      <c r="AA1306" t="s">
        <v>384</v>
      </c>
      <c r="AB1306" t="s">
        <v>877</v>
      </c>
      <c r="AC1306" t="s">
        <v>41</v>
      </c>
      <c r="AD1306" t="s">
        <v>41</v>
      </c>
      <c r="AE1306" t="s">
        <v>41</v>
      </c>
      <c r="AF1306" t="s">
        <v>41</v>
      </c>
      <c r="AI1306">
        <v>134971</v>
      </c>
      <c r="AJ1306">
        <v>1</v>
      </c>
      <c r="AK1306" t="s">
        <v>40</v>
      </c>
      <c r="AL1306">
        <v>261</v>
      </c>
    </row>
    <row r="1307" spans="1:38" x14ac:dyDescent="0.25">
      <c r="A1307" t="s">
        <v>43</v>
      </c>
      <c r="B1307">
        <v>46041.817812499998</v>
      </c>
      <c r="C1307">
        <v>93519</v>
      </c>
      <c r="D1307" t="s">
        <v>563</v>
      </c>
      <c r="E1307">
        <v>4508741</v>
      </c>
      <c r="F1307">
        <v>2106201</v>
      </c>
      <c r="G1307" t="s">
        <v>602</v>
      </c>
      <c r="H1307" t="s">
        <v>1514</v>
      </c>
      <c r="I1307">
        <v>10</v>
      </c>
      <c r="J1307" t="b">
        <v>1</v>
      </c>
      <c r="K1307">
        <v>3.3333333333333335</v>
      </c>
      <c r="L1307">
        <v>2106201</v>
      </c>
      <c r="M1307" t="s">
        <v>602</v>
      </c>
      <c r="N1307">
        <v>3</v>
      </c>
      <c r="O1307">
        <v>3</v>
      </c>
      <c r="P1307"/>
      <c r="Q1307">
        <v>134905</v>
      </c>
      <c r="R1307">
        <v>1</v>
      </c>
      <c r="S1307" t="s">
        <v>40</v>
      </c>
      <c r="T1307">
        <v>261</v>
      </c>
      <c r="U1307">
        <v>147664</v>
      </c>
      <c r="V1307">
        <v>24</v>
      </c>
      <c r="W1307" t="s">
        <v>40</v>
      </c>
      <c r="X1307">
        <v>261</v>
      </c>
      <c r="Y1307" t="s">
        <v>377</v>
      </c>
      <c r="Z1307" t="s">
        <v>378</v>
      </c>
      <c r="AA1307" t="s">
        <v>379</v>
      </c>
      <c r="AB1307" t="s">
        <v>622</v>
      </c>
      <c r="AC1307" t="s">
        <v>41</v>
      </c>
      <c r="AD1307" t="s">
        <v>41</v>
      </c>
      <c r="AE1307" t="s">
        <v>41</v>
      </c>
      <c r="AF1307" t="s">
        <v>41</v>
      </c>
      <c r="AK1307"/>
    </row>
    <row r="1308" spans="1:38" x14ac:dyDescent="0.25">
      <c r="A1308" t="s">
        <v>37</v>
      </c>
      <c r="B1308">
        <v>46041.894826388889</v>
      </c>
      <c r="C1308">
        <v>91839</v>
      </c>
      <c r="D1308" t="s">
        <v>563</v>
      </c>
      <c r="E1308">
        <v>4501500</v>
      </c>
      <c r="F1308">
        <v>2104493</v>
      </c>
      <c r="G1308" t="s">
        <v>1109</v>
      </c>
      <c r="H1308" t="s">
        <v>1156</v>
      </c>
      <c r="I1308">
        <v>4.5</v>
      </c>
      <c r="J1308" t="b">
        <v>1</v>
      </c>
      <c r="K1308">
        <v>0.15</v>
      </c>
      <c r="L1308">
        <v>2105861</v>
      </c>
      <c r="M1308" t="s">
        <v>1110</v>
      </c>
      <c r="N1308">
        <v>30</v>
      </c>
      <c r="O1308">
        <v>30</v>
      </c>
      <c r="P1308"/>
      <c r="Q1308">
        <v>134974</v>
      </c>
      <c r="R1308">
        <v>1</v>
      </c>
      <c r="S1308" t="s">
        <v>40</v>
      </c>
      <c r="T1308">
        <v>261</v>
      </c>
      <c r="W1308"/>
      <c r="Y1308" t="s">
        <v>679</v>
      </c>
      <c r="Z1308" t="s">
        <v>378</v>
      </c>
      <c r="AA1308" t="s">
        <v>379</v>
      </c>
      <c r="AB1308" t="s">
        <v>1058</v>
      </c>
      <c r="AC1308" t="s">
        <v>41</v>
      </c>
      <c r="AD1308" t="s">
        <v>41</v>
      </c>
      <c r="AE1308" t="s">
        <v>41</v>
      </c>
      <c r="AF1308" t="s">
        <v>41</v>
      </c>
      <c r="AK1308"/>
    </row>
    <row r="1309" spans="1:38" x14ac:dyDescent="0.25">
      <c r="A1309" t="s">
        <v>38</v>
      </c>
      <c r="B1309">
        <v>46042.050949074073</v>
      </c>
      <c r="C1309">
        <v>91738</v>
      </c>
      <c r="D1309" t="s">
        <v>563</v>
      </c>
      <c r="E1309">
        <v>4507453</v>
      </c>
      <c r="F1309">
        <v>155446</v>
      </c>
      <c r="G1309" t="s">
        <v>785</v>
      </c>
      <c r="H1309" t="s">
        <v>1388</v>
      </c>
      <c r="I1309">
        <v>7</v>
      </c>
      <c r="J1309" t="b">
        <v>1</v>
      </c>
      <c r="K1309">
        <v>2.3333333333333335</v>
      </c>
      <c r="L1309">
        <v>155444</v>
      </c>
      <c r="M1309" t="s">
        <v>786</v>
      </c>
      <c r="N1309">
        <v>3</v>
      </c>
      <c r="O1309">
        <v>3</v>
      </c>
      <c r="P1309"/>
      <c r="Q1309">
        <v>155687</v>
      </c>
      <c r="R1309">
        <v>1</v>
      </c>
      <c r="S1309" t="s">
        <v>40</v>
      </c>
      <c r="T1309">
        <v>261</v>
      </c>
      <c r="U1309">
        <v>147664</v>
      </c>
      <c r="V1309">
        <v>24</v>
      </c>
      <c r="W1309" t="s">
        <v>40</v>
      </c>
      <c r="X1309">
        <v>261</v>
      </c>
      <c r="Y1309" t="s">
        <v>377</v>
      </c>
      <c r="Z1309" t="s">
        <v>378</v>
      </c>
      <c r="AA1309" t="s">
        <v>379</v>
      </c>
      <c r="AB1309" t="s">
        <v>622</v>
      </c>
      <c r="AC1309" t="s">
        <v>41</v>
      </c>
      <c r="AD1309" t="s">
        <v>41</v>
      </c>
      <c r="AE1309" t="s">
        <v>41</v>
      </c>
      <c r="AF1309" t="s">
        <v>41</v>
      </c>
      <c r="AK1309"/>
    </row>
    <row r="1310" spans="1:38" x14ac:dyDescent="0.25">
      <c r="A1310" t="s">
        <v>38</v>
      </c>
      <c r="B1310">
        <v>46042.051446759258</v>
      </c>
      <c r="C1310">
        <v>91738</v>
      </c>
      <c r="D1310" t="s">
        <v>563</v>
      </c>
      <c r="E1310">
        <v>4507454</v>
      </c>
      <c r="F1310">
        <v>155446</v>
      </c>
      <c r="G1310" t="s">
        <v>785</v>
      </c>
      <c r="H1310" t="s">
        <v>1388</v>
      </c>
      <c r="I1310">
        <v>7</v>
      </c>
      <c r="J1310" t="b">
        <v>1</v>
      </c>
      <c r="K1310">
        <v>2.3333333333333335</v>
      </c>
      <c r="L1310">
        <v>155444</v>
      </c>
      <c r="M1310" t="s">
        <v>786</v>
      </c>
      <c r="N1310">
        <v>3</v>
      </c>
      <c r="O1310">
        <v>3</v>
      </c>
      <c r="P1310"/>
      <c r="Q1310">
        <v>155687</v>
      </c>
      <c r="R1310">
        <v>1</v>
      </c>
      <c r="S1310" t="s">
        <v>40</v>
      </c>
      <c r="T1310">
        <v>261</v>
      </c>
      <c r="U1310">
        <v>147664</v>
      </c>
      <c r="V1310">
        <v>24</v>
      </c>
      <c r="W1310" t="s">
        <v>40</v>
      </c>
      <c r="X1310">
        <v>261</v>
      </c>
      <c r="Y1310" t="s">
        <v>377</v>
      </c>
      <c r="Z1310" t="s">
        <v>378</v>
      </c>
      <c r="AA1310" t="s">
        <v>379</v>
      </c>
      <c r="AB1310" t="s">
        <v>622</v>
      </c>
      <c r="AC1310" t="s">
        <v>41</v>
      </c>
      <c r="AD1310" t="s">
        <v>41</v>
      </c>
      <c r="AE1310" t="s">
        <v>41</v>
      </c>
      <c r="AF1310" t="s">
        <v>41</v>
      </c>
      <c r="AK1310"/>
    </row>
    <row r="1311" spans="1:38" x14ac:dyDescent="0.25">
      <c r="A1311" t="s">
        <v>42</v>
      </c>
      <c r="B1311">
        <v>46042.174305555556</v>
      </c>
      <c r="C1311">
        <v>91472</v>
      </c>
      <c r="D1311" t="s">
        <v>563</v>
      </c>
      <c r="E1311">
        <v>4509051</v>
      </c>
      <c r="F1311">
        <v>2104840</v>
      </c>
      <c r="G1311" t="s">
        <v>1504</v>
      </c>
      <c r="H1311" t="s">
        <v>1509</v>
      </c>
      <c r="I1311">
        <v>3.75</v>
      </c>
      <c r="J1311" t="b">
        <v>1</v>
      </c>
      <c r="K1311">
        <v>0.375</v>
      </c>
      <c r="L1311">
        <v>2106160</v>
      </c>
      <c r="M1311" t="s">
        <v>1505</v>
      </c>
      <c r="N1311">
        <v>10</v>
      </c>
      <c r="O1311">
        <v>10</v>
      </c>
      <c r="P1311"/>
      <c r="Q1311">
        <v>134971</v>
      </c>
      <c r="R1311">
        <v>1</v>
      </c>
      <c r="S1311" t="s">
        <v>40</v>
      </c>
      <c r="T1311">
        <v>261</v>
      </c>
      <c r="U1311">
        <v>147664</v>
      </c>
      <c r="V1311">
        <v>24</v>
      </c>
      <c r="W1311" t="s">
        <v>40</v>
      </c>
      <c r="X1311">
        <v>261</v>
      </c>
      <c r="Y1311" t="s">
        <v>377</v>
      </c>
      <c r="Z1311" t="s">
        <v>378</v>
      </c>
      <c r="AA1311" t="s">
        <v>379</v>
      </c>
      <c r="AB1311" t="s">
        <v>877</v>
      </c>
      <c r="AC1311" t="s">
        <v>41</v>
      </c>
      <c r="AD1311" t="s">
        <v>41</v>
      </c>
      <c r="AE1311" t="s">
        <v>41</v>
      </c>
      <c r="AF1311" t="s">
        <v>41</v>
      </c>
      <c r="AK1311"/>
    </row>
    <row r="1312" spans="1:38" x14ac:dyDescent="0.25">
      <c r="A1312" t="s">
        <v>42</v>
      </c>
      <c r="B1312">
        <v>46042.174930555557</v>
      </c>
      <c r="C1312">
        <v>91472</v>
      </c>
      <c r="D1312" t="s">
        <v>563</v>
      </c>
      <c r="E1312">
        <v>4509052</v>
      </c>
      <c r="F1312">
        <v>2104840</v>
      </c>
      <c r="G1312" t="s">
        <v>1504</v>
      </c>
      <c r="H1312" t="s">
        <v>1509</v>
      </c>
      <c r="I1312">
        <v>3.75</v>
      </c>
      <c r="J1312" t="b">
        <v>1</v>
      </c>
      <c r="K1312">
        <v>0.375</v>
      </c>
      <c r="L1312">
        <v>2106160</v>
      </c>
      <c r="M1312" t="s">
        <v>1505</v>
      </c>
      <c r="N1312">
        <v>10</v>
      </c>
      <c r="O1312">
        <v>10</v>
      </c>
      <c r="P1312"/>
      <c r="Q1312">
        <v>134971</v>
      </c>
      <c r="R1312">
        <v>1</v>
      </c>
      <c r="S1312" t="s">
        <v>40</v>
      </c>
      <c r="T1312">
        <v>261</v>
      </c>
      <c r="U1312">
        <v>147664</v>
      </c>
      <c r="V1312">
        <v>24</v>
      </c>
      <c r="W1312" t="s">
        <v>40</v>
      </c>
      <c r="X1312">
        <v>261</v>
      </c>
      <c r="Y1312" t="s">
        <v>377</v>
      </c>
      <c r="Z1312" t="s">
        <v>378</v>
      </c>
      <c r="AA1312" t="s">
        <v>379</v>
      </c>
      <c r="AB1312" t="s">
        <v>877</v>
      </c>
      <c r="AC1312" t="s">
        <v>41</v>
      </c>
      <c r="AD1312" t="s">
        <v>41</v>
      </c>
      <c r="AE1312" t="s">
        <v>41</v>
      </c>
      <c r="AF1312" t="s">
        <v>41</v>
      </c>
      <c r="AK1312"/>
    </row>
    <row r="1313" spans="1:38" x14ac:dyDescent="0.25">
      <c r="A1313" t="s">
        <v>44</v>
      </c>
      <c r="B1313">
        <v>46042.507256944446</v>
      </c>
      <c r="C1313">
        <v>91737</v>
      </c>
      <c r="D1313" t="s">
        <v>373</v>
      </c>
      <c r="E1313">
        <v>4508451</v>
      </c>
      <c r="F1313">
        <v>160991</v>
      </c>
      <c r="G1313" t="s">
        <v>1507</v>
      </c>
      <c r="H1313" t="s">
        <v>1471</v>
      </c>
      <c r="I1313">
        <v>14</v>
      </c>
      <c r="J1313" t="b">
        <v>1</v>
      </c>
      <c r="K1313">
        <v>2.3333333333333335</v>
      </c>
      <c r="L1313">
        <v>160988</v>
      </c>
      <c r="M1313" t="s">
        <v>1508</v>
      </c>
      <c r="N1313">
        <v>6</v>
      </c>
      <c r="O1313">
        <v>6</v>
      </c>
      <c r="P1313"/>
      <c r="Q1313">
        <v>155687</v>
      </c>
      <c r="R1313">
        <v>2</v>
      </c>
      <c r="S1313" t="s">
        <v>40</v>
      </c>
      <c r="T1313">
        <v>261</v>
      </c>
      <c r="U1313">
        <v>147664</v>
      </c>
      <c r="V1313">
        <v>48</v>
      </c>
      <c r="W1313" t="s">
        <v>40</v>
      </c>
      <c r="X1313">
        <v>261</v>
      </c>
      <c r="Y1313" t="s">
        <v>377</v>
      </c>
      <c r="Z1313" t="s">
        <v>378</v>
      </c>
      <c r="AA1313" t="s">
        <v>384</v>
      </c>
      <c r="AB1313" t="s">
        <v>622</v>
      </c>
      <c r="AC1313" t="s">
        <v>41</v>
      </c>
      <c r="AD1313" t="s">
        <v>41</v>
      </c>
      <c r="AE1313" t="s">
        <v>41</v>
      </c>
      <c r="AF1313" t="s">
        <v>41</v>
      </c>
      <c r="AK1313"/>
    </row>
    <row r="1314" spans="1:38" x14ac:dyDescent="0.25">
      <c r="A1314" t="s">
        <v>37</v>
      </c>
      <c r="B1314">
        <v>46042.536921296298</v>
      </c>
      <c r="C1314">
        <v>90472</v>
      </c>
      <c r="D1314" t="s">
        <v>373</v>
      </c>
      <c r="E1314">
        <v>4483855</v>
      </c>
      <c r="F1314">
        <v>2104715</v>
      </c>
      <c r="G1314" t="s">
        <v>1512</v>
      </c>
      <c r="H1314" t="s">
        <v>1471</v>
      </c>
      <c r="I1314">
        <v>3</v>
      </c>
      <c r="J1314" t="b">
        <v>1</v>
      </c>
      <c r="K1314">
        <v>8.21917808219178E-3</v>
      </c>
      <c r="L1314">
        <v>2106041</v>
      </c>
      <c r="M1314" t="s">
        <v>1513</v>
      </c>
      <c r="N1314">
        <v>365</v>
      </c>
      <c r="O1314">
        <v>301</v>
      </c>
      <c r="P1314"/>
      <c r="Q1314">
        <v>134975</v>
      </c>
      <c r="R1314">
        <v>1</v>
      </c>
      <c r="S1314" t="s">
        <v>40</v>
      </c>
      <c r="T1314">
        <v>261</v>
      </c>
      <c r="W1314"/>
      <c r="Y1314" t="s">
        <v>377</v>
      </c>
      <c r="Z1314" t="s">
        <v>378</v>
      </c>
      <c r="AA1314" t="s">
        <v>379</v>
      </c>
      <c r="AB1314" t="s">
        <v>1162</v>
      </c>
      <c r="AC1314" t="s">
        <v>41</v>
      </c>
      <c r="AD1314" t="s">
        <v>41</v>
      </c>
      <c r="AE1314" t="s">
        <v>41</v>
      </c>
      <c r="AF1314" t="s">
        <v>41</v>
      </c>
      <c r="AK1314"/>
    </row>
    <row r="1315" spans="1:38" x14ac:dyDescent="0.25">
      <c r="A1315" t="s">
        <v>39</v>
      </c>
      <c r="B1315">
        <v>46042.694201388891</v>
      </c>
      <c r="C1315">
        <v>92644</v>
      </c>
      <c r="D1315" t="s">
        <v>373</v>
      </c>
      <c r="E1315">
        <v>4507344</v>
      </c>
      <c r="F1315">
        <v>2310135</v>
      </c>
      <c r="G1315" t="s">
        <v>1052</v>
      </c>
      <c r="H1315" t="s">
        <v>1471</v>
      </c>
      <c r="I1315">
        <v>64.3</v>
      </c>
      <c r="J1315" t="b">
        <v>1</v>
      </c>
      <c r="K1315">
        <v>0.15759803921568627</v>
      </c>
      <c r="L1315">
        <v>2310136</v>
      </c>
      <c r="M1315" t="s">
        <v>1053</v>
      </c>
      <c r="N1315">
        <v>408</v>
      </c>
      <c r="O1315">
        <v>400</v>
      </c>
      <c r="P1315"/>
      <c r="Q1315">
        <v>134974</v>
      </c>
      <c r="R1315">
        <v>1</v>
      </c>
      <c r="S1315" t="s">
        <v>40</v>
      </c>
      <c r="T1315">
        <v>261</v>
      </c>
      <c r="W1315"/>
      <c r="Y1315" t="s">
        <v>377</v>
      </c>
      <c r="Z1315" t="s">
        <v>378</v>
      </c>
      <c r="AA1315" t="s">
        <v>379</v>
      </c>
      <c r="AB1315" t="s">
        <v>1296</v>
      </c>
      <c r="AC1315" t="s">
        <v>41</v>
      </c>
      <c r="AD1315" t="s">
        <v>41</v>
      </c>
      <c r="AE1315" t="s">
        <v>41</v>
      </c>
      <c r="AF1315" t="s">
        <v>41</v>
      </c>
      <c r="AK1315"/>
    </row>
    <row r="1316" spans="1:38" x14ac:dyDescent="0.25">
      <c r="A1316" t="s">
        <v>37</v>
      </c>
      <c r="B1316">
        <v>46043.039780092593</v>
      </c>
      <c r="C1316">
        <v>91473</v>
      </c>
      <c r="D1316" t="s">
        <v>1025</v>
      </c>
      <c r="E1316">
        <v>4509053</v>
      </c>
      <c r="F1316">
        <v>2104840</v>
      </c>
      <c r="G1316" t="s">
        <v>1504</v>
      </c>
      <c r="H1316" t="s">
        <v>1514</v>
      </c>
      <c r="I1316">
        <v>7.5</v>
      </c>
      <c r="J1316" t="b">
        <v>1</v>
      </c>
      <c r="K1316">
        <v>0.375</v>
      </c>
      <c r="L1316">
        <v>2106160</v>
      </c>
      <c r="M1316" t="s">
        <v>1505</v>
      </c>
      <c r="N1316">
        <v>20</v>
      </c>
      <c r="O1316">
        <v>20</v>
      </c>
      <c r="P1316"/>
      <c r="Q1316">
        <v>134971</v>
      </c>
      <c r="R1316">
        <v>2</v>
      </c>
      <c r="S1316" t="s">
        <v>40</v>
      </c>
      <c r="T1316">
        <v>261</v>
      </c>
      <c r="U1316">
        <v>147664</v>
      </c>
      <c r="V1316">
        <v>48</v>
      </c>
      <c r="W1316" t="s">
        <v>40</v>
      </c>
      <c r="X1316">
        <v>261</v>
      </c>
      <c r="Y1316" t="s">
        <v>377</v>
      </c>
      <c r="Z1316" t="s">
        <v>378</v>
      </c>
      <c r="AA1316" t="s">
        <v>384</v>
      </c>
      <c r="AB1316" t="s">
        <v>877</v>
      </c>
      <c r="AC1316" t="s">
        <v>41</v>
      </c>
      <c r="AD1316" t="s">
        <v>41</v>
      </c>
      <c r="AE1316" t="s">
        <v>41</v>
      </c>
      <c r="AF1316" t="s">
        <v>41</v>
      </c>
      <c r="AK1316"/>
    </row>
    <row r="1317" spans="1:38" x14ac:dyDescent="0.25">
      <c r="A1317" t="s">
        <v>47</v>
      </c>
      <c r="B1317">
        <v>46043.16909722222</v>
      </c>
      <c r="C1317">
        <v>89993</v>
      </c>
      <c r="D1317" t="s">
        <v>1025</v>
      </c>
      <c r="E1317">
        <v>4503349</v>
      </c>
      <c r="F1317">
        <v>134469</v>
      </c>
      <c r="G1317" t="s">
        <v>1360</v>
      </c>
      <c r="H1317" t="s">
        <v>1298</v>
      </c>
      <c r="I1317">
        <v>33</v>
      </c>
      <c r="J1317" t="b">
        <v>1</v>
      </c>
      <c r="K1317">
        <v>0.24087591240875914</v>
      </c>
      <c r="L1317">
        <v>134470</v>
      </c>
      <c r="M1317" t="s">
        <v>1362</v>
      </c>
      <c r="N1317">
        <v>137</v>
      </c>
      <c r="O1317">
        <v>232</v>
      </c>
      <c r="P1317"/>
      <c r="Q1317">
        <v>0</v>
      </c>
      <c r="R1317">
        <v>0</v>
      </c>
      <c r="S1317" t="s">
        <v>40</v>
      </c>
      <c r="T1317">
        <v>261</v>
      </c>
      <c r="W1317"/>
      <c r="Y1317" t="s">
        <v>679</v>
      </c>
      <c r="Z1317" t="s">
        <v>378</v>
      </c>
      <c r="AA1317" t="s">
        <v>379</v>
      </c>
      <c r="AB1317" t="s">
        <v>1093</v>
      </c>
      <c r="AC1317" t="s">
        <v>41</v>
      </c>
      <c r="AD1317" t="s">
        <v>41</v>
      </c>
      <c r="AE1317" t="s">
        <v>41</v>
      </c>
      <c r="AF1317" t="s">
        <v>41</v>
      </c>
      <c r="AK1317"/>
    </row>
    <row r="1318" spans="1:38" x14ac:dyDescent="0.25">
      <c r="A1318" t="s">
        <v>39</v>
      </c>
      <c r="B1318">
        <v>46043.457673611112</v>
      </c>
      <c r="C1318">
        <v>91739</v>
      </c>
      <c r="D1318" t="s">
        <v>393</v>
      </c>
      <c r="E1318">
        <v>4507459</v>
      </c>
      <c r="F1318">
        <v>156316</v>
      </c>
      <c r="G1318" t="s">
        <v>899</v>
      </c>
      <c r="H1318" t="s">
        <v>1439</v>
      </c>
      <c r="I1318">
        <v>14</v>
      </c>
      <c r="J1318" t="b">
        <v>1</v>
      </c>
      <c r="K1318">
        <v>3.5</v>
      </c>
      <c r="L1318">
        <v>156315</v>
      </c>
      <c r="M1318" t="s">
        <v>901</v>
      </c>
      <c r="N1318">
        <v>4</v>
      </c>
      <c r="O1318">
        <v>4</v>
      </c>
      <c r="P1318"/>
      <c r="Q1318">
        <v>134905</v>
      </c>
      <c r="R1318">
        <v>1</v>
      </c>
      <c r="S1318" t="s">
        <v>40</v>
      </c>
      <c r="T1318">
        <v>261</v>
      </c>
      <c r="U1318">
        <v>147664</v>
      </c>
      <c r="V1318">
        <v>24</v>
      </c>
      <c r="W1318" t="s">
        <v>40</v>
      </c>
      <c r="X1318">
        <v>261</v>
      </c>
      <c r="Y1318" t="s">
        <v>377</v>
      </c>
      <c r="Z1318" t="s">
        <v>378</v>
      </c>
      <c r="AA1318" t="s">
        <v>379</v>
      </c>
      <c r="AB1318" t="s">
        <v>384</v>
      </c>
      <c r="AC1318" t="s">
        <v>41</v>
      </c>
      <c r="AD1318" t="s">
        <v>41</v>
      </c>
      <c r="AE1318" t="s">
        <v>41</v>
      </c>
      <c r="AF1318" t="s">
        <v>41</v>
      </c>
      <c r="AK1318"/>
    </row>
    <row r="1319" spans="1:38" x14ac:dyDescent="0.25">
      <c r="A1319" t="s">
        <v>39</v>
      </c>
      <c r="B1319">
        <v>46043.459236111114</v>
      </c>
      <c r="C1319">
        <v>91739</v>
      </c>
      <c r="D1319" t="s">
        <v>393</v>
      </c>
      <c r="E1319">
        <v>4507460</v>
      </c>
      <c r="F1319">
        <v>156316</v>
      </c>
      <c r="G1319" t="s">
        <v>899</v>
      </c>
      <c r="H1319" t="s">
        <v>1439</v>
      </c>
      <c r="I1319">
        <v>14</v>
      </c>
      <c r="J1319" t="b">
        <v>1</v>
      </c>
      <c r="K1319">
        <v>3.5</v>
      </c>
      <c r="L1319">
        <v>156315</v>
      </c>
      <c r="M1319" t="s">
        <v>901</v>
      </c>
      <c r="N1319">
        <v>4</v>
      </c>
      <c r="O1319">
        <v>4</v>
      </c>
      <c r="P1319"/>
      <c r="Q1319">
        <v>134905</v>
      </c>
      <c r="R1319">
        <v>1</v>
      </c>
      <c r="S1319" t="s">
        <v>40</v>
      </c>
      <c r="T1319">
        <v>261</v>
      </c>
      <c r="U1319">
        <v>147664</v>
      </c>
      <c r="V1319">
        <v>24</v>
      </c>
      <c r="W1319" t="s">
        <v>40</v>
      </c>
      <c r="X1319">
        <v>261</v>
      </c>
      <c r="Y1319" t="s">
        <v>377</v>
      </c>
      <c r="Z1319" t="s">
        <v>378</v>
      </c>
      <c r="AA1319" t="s">
        <v>379</v>
      </c>
      <c r="AB1319" t="s">
        <v>384</v>
      </c>
      <c r="AC1319" t="s">
        <v>41</v>
      </c>
      <c r="AD1319" t="s">
        <v>41</v>
      </c>
      <c r="AE1319" t="s">
        <v>41</v>
      </c>
      <c r="AF1319" t="s">
        <v>41</v>
      </c>
      <c r="AK1319"/>
    </row>
    <row r="1320" spans="1:38" x14ac:dyDescent="0.25">
      <c r="A1320" t="s">
        <v>45</v>
      </c>
      <c r="B1320">
        <v>46043.594652777778</v>
      </c>
      <c r="C1320">
        <v>92645</v>
      </c>
      <c r="D1320" t="s">
        <v>393</v>
      </c>
      <c r="E1320">
        <v>4507345</v>
      </c>
      <c r="F1320">
        <v>2310135</v>
      </c>
      <c r="G1320" t="s">
        <v>1052</v>
      </c>
      <c r="H1320" t="s">
        <v>1484</v>
      </c>
      <c r="I1320">
        <v>64.3</v>
      </c>
      <c r="J1320" t="b">
        <v>1</v>
      </c>
      <c r="K1320">
        <v>0.1572127139364303</v>
      </c>
      <c r="L1320">
        <v>2310136</v>
      </c>
      <c r="M1320" t="s">
        <v>1053</v>
      </c>
      <c r="N1320">
        <v>409</v>
      </c>
      <c r="O1320">
        <v>400</v>
      </c>
      <c r="P1320"/>
      <c r="Q1320">
        <v>134974</v>
      </c>
      <c r="R1320">
        <v>1</v>
      </c>
      <c r="S1320" t="s">
        <v>40</v>
      </c>
      <c r="T1320">
        <v>261</v>
      </c>
      <c r="W1320"/>
      <c r="Y1320" t="s">
        <v>377</v>
      </c>
      <c r="Z1320" t="s">
        <v>378</v>
      </c>
      <c r="AA1320" t="s">
        <v>379</v>
      </c>
      <c r="AB1320" t="s">
        <v>907</v>
      </c>
      <c r="AC1320" t="s">
        <v>41</v>
      </c>
      <c r="AD1320" t="s">
        <v>41</v>
      </c>
      <c r="AE1320" t="s">
        <v>41</v>
      </c>
      <c r="AF1320" t="s">
        <v>41</v>
      </c>
      <c r="AK1320"/>
    </row>
    <row r="1321" spans="1:38" x14ac:dyDescent="0.25">
      <c r="A1321" t="s">
        <v>43</v>
      </c>
      <c r="B1321">
        <v>46044.113252314812</v>
      </c>
      <c r="C1321">
        <v>91474</v>
      </c>
      <c r="D1321" t="s">
        <v>563</v>
      </c>
      <c r="E1321">
        <v>4508985</v>
      </c>
      <c r="F1321">
        <v>2104843</v>
      </c>
      <c r="G1321" t="s">
        <v>1310</v>
      </c>
      <c r="H1321" t="s">
        <v>1464</v>
      </c>
      <c r="I1321">
        <v>7.5</v>
      </c>
      <c r="J1321" t="b">
        <v>1</v>
      </c>
      <c r="K1321">
        <v>0.375</v>
      </c>
      <c r="L1321">
        <v>2106162</v>
      </c>
      <c r="M1321" t="s">
        <v>1312</v>
      </c>
      <c r="N1321">
        <v>20</v>
      </c>
      <c r="O1321">
        <v>20</v>
      </c>
      <c r="P1321"/>
      <c r="Q1321">
        <v>134906</v>
      </c>
      <c r="R1321">
        <v>1</v>
      </c>
      <c r="S1321" t="s">
        <v>40</v>
      </c>
      <c r="T1321">
        <v>261</v>
      </c>
      <c r="U1321">
        <v>147664</v>
      </c>
      <c r="V1321">
        <v>48</v>
      </c>
      <c r="W1321" t="s">
        <v>40</v>
      </c>
      <c r="X1321">
        <v>261</v>
      </c>
      <c r="Y1321" t="s">
        <v>377</v>
      </c>
      <c r="Z1321" t="s">
        <v>378</v>
      </c>
      <c r="AA1321" t="s">
        <v>384</v>
      </c>
      <c r="AB1321" t="s">
        <v>877</v>
      </c>
      <c r="AC1321" t="s">
        <v>41</v>
      </c>
      <c r="AD1321" t="s">
        <v>41</v>
      </c>
      <c r="AE1321" t="s">
        <v>41</v>
      </c>
      <c r="AF1321" t="s">
        <v>41</v>
      </c>
      <c r="AI1321">
        <v>134906</v>
      </c>
      <c r="AJ1321">
        <v>1</v>
      </c>
      <c r="AK1321" t="s">
        <v>40</v>
      </c>
      <c r="AL1321">
        <v>261</v>
      </c>
    </row>
    <row r="1322" spans="1:38" x14ac:dyDescent="0.25">
      <c r="A1322" t="s">
        <v>47</v>
      </c>
      <c r="B1322">
        <v>46044.197222222225</v>
      </c>
      <c r="C1322">
        <v>90473</v>
      </c>
      <c r="D1322" t="s">
        <v>563</v>
      </c>
      <c r="E1322">
        <v>4483856</v>
      </c>
      <c r="F1322">
        <v>2104715</v>
      </c>
      <c r="G1322" t="s">
        <v>1512</v>
      </c>
      <c r="H1322" t="s">
        <v>1484</v>
      </c>
      <c r="I1322">
        <v>3</v>
      </c>
      <c r="J1322" t="b">
        <v>1</v>
      </c>
      <c r="K1322">
        <v>9.8684210526315784E-3</v>
      </c>
      <c r="L1322">
        <v>2106041</v>
      </c>
      <c r="M1322" t="s">
        <v>1513</v>
      </c>
      <c r="N1322">
        <v>304</v>
      </c>
      <c r="O1322">
        <v>304</v>
      </c>
      <c r="P1322"/>
      <c r="Q1322">
        <v>134976</v>
      </c>
      <c r="R1322">
        <v>1</v>
      </c>
      <c r="S1322" t="s">
        <v>40</v>
      </c>
      <c r="T1322">
        <v>261</v>
      </c>
      <c r="W1322"/>
      <c r="Y1322" t="s">
        <v>377</v>
      </c>
      <c r="Z1322" t="s">
        <v>378</v>
      </c>
      <c r="AA1322" t="s">
        <v>379</v>
      </c>
      <c r="AB1322" t="s">
        <v>1005</v>
      </c>
      <c r="AC1322" t="s">
        <v>41</v>
      </c>
      <c r="AD1322" t="s">
        <v>41</v>
      </c>
      <c r="AE1322" t="s">
        <v>41</v>
      </c>
      <c r="AF1322" t="s">
        <v>41</v>
      </c>
      <c r="AK1322"/>
    </row>
    <row r="1323" spans="1:38" x14ac:dyDescent="0.25">
      <c r="A1323" t="s">
        <v>42</v>
      </c>
      <c r="B1323">
        <v>46044.320625</v>
      </c>
      <c r="C1323">
        <v>92105</v>
      </c>
      <c r="D1323" t="s">
        <v>393</v>
      </c>
      <c r="E1323">
        <v>4503349</v>
      </c>
      <c r="F1323">
        <v>134469</v>
      </c>
      <c r="G1323" t="s">
        <v>1360</v>
      </c>
      <c r="H1323" t="s">
        <v>1298</v>
      </c>
      <c r="I1323">
        <v>33</v>
      </c>
      <c r="J1323" t="b">
        <v>1</v>
      </c>
      <c r="K1323">
        <v>0.32673267326732675</v>
      </c>
      <c r="L1323">
        <v>134470</v>
      </c>
      <c r="M1323" t="s">
        <v>1362</v>
      </c>
      <c r="N1323">
        <v>101</v>
      </c>
      <c r="O1323">
        <v>101</v>
      </c>
      <c r="P1323" t="s">
        <v>681</v>
      </c>
      <c r="Q1323">
        <v>0</v>
      </c>
      <c r="R1323">
        <v>0</v>
      </c>
      <c r="S1323" t="s">
        <v>40</v>
      </c>
      <c r="T1323">
        <v>261</v>
      </c>
      <c r="W1323"/>
      <c r="Y1323" t="s">
        <v>377</v>
      </c>
      <c r="Z1323" t="s">
        <v>378</v>
      </c>
      <c r="AA1323" t="s">
        <v>379</v>
      </c>
      <c r="AB1323" t="s">
        <v>616</v>
      </c>
      <c r="AC1323" t="s">
        <v>41</v>
      </c>
      <c r="AD1323" t="s">
        <v>41</v>
      </c>
      <c r="AE1323" t="s">
        <v>41</v>
      </c>
      <c r="AF1323" t="s">
        <v>41</v>
      </c>
      <c r="AK1323"/>
    </row>
    <row r="1324" spans="1:38" x14ac:dyDescent="0.25">
      <c r="A1324" t="s">
        <v>37</v>
      </c>
      <c r="B1324">
        <v>46044.454050925924</v>
      </c>
      <c r="C1324">
        <v>91476</v>
      </c>
      <c r="D1324" t="s">
        <v>393</v>
      </c>
      <c r="E1324">
        <v>4508986</v>
      </c>
      <c r="F1324">
        <v>2104843</v>
      </c>
      <c r="G1324" t="s">
        <v>1310</v>
      </c>
      <c r="H1324" t="s">
        <v>1471</v>
      </c>
      <c r="I1324">
        <v>7.5</v>
      </c>
      <c r="J1324" t="b">
        <v>1</v>
      </c>
      <c r="K1324">
        <v>0.375</v>
      </c>
      <c r="L1324">
        <v>2106162</v>
      </c>
      <c r="M1324" t="s">
        <v>1312</v>
      </c>
      <c r="N1324">
        <v>20</v>
      </c>
      <c r="O1324">
        <v>20</v>
      </c>
      <c r="P1324"/>
      <c r="Q1324">
        <v>134906</v>
      </c>
      <c r="R1324">
        <v>1</v>
      </c>
      <c r="S1324" t="s">
        <v>40</v>
      </c>
      <c r="T1324">
        <v>261</v>
      </c>
      <c r="U1324">
        <v>147664</v>
      </c>
      <c r="V1324">
        <v>48</v>
      </c>
      <c r="W1324" t="s">
        <v>40</v>
      </c>
      <c r="X1324">
        <v>261</v>
      </c>
      <c r="Y1324" t="s">
        <v>377</v>
      </c>
      <c r="Z1324" t="s">
        <v>378</v>
      </c>
      <c r="AA1324" t="s">
        <v>384</v>
      </c>
      <c r="AB1324" t="s">
        <v>877</v>
      </c>
      <c r="AC1324" t="s">
        <v>41</v>
      </c>
      <c r="AD1324" t="s">
        <v>41</v>
      </c>
      <c r="AE1324" t="s">
        <v>41</v>
      </c>
      <c r="AF1324" t="s">
        <v>41</v>
      </c>
      <c r="AI1324">
        <v>134906</v>
      </c>
      <c r="AJ1324">
        <v>1</v>
      </c>
      <c r="AK1324" t="s">
        <v>40</v>
      </c>
      <c r="AL1324">
        <v>261</v>
      </c>
    </row>
    <row r="1325" spans="1:38" x14ac:dyDescent="0.25">
      <c r="A1325" t="s">
        <v>38</v>
      </c>
      <c r="B1325">
        <v>46044.645601851851</v>
      </c>
      <c r="C1325">
        <v>93520</v>
      </c>
      <c r="D1325" t="s">
        <v>393</v>
      </c>
      <c r="E1325">
        <v>4495198</v>
      </c>
      <c r="F1325">
        <v>129839</v>
      </c>
      <c r="G1325" t="s">
        <v>1266</v>
      </c>
      <c r="H1325" t="s">
        <v>1464</v>
      </c>
      <c r="I1325">
        <v>10</v>
      </c>
      <c r="J1325" t="b">
        <v>1</v>
      </c>
      <c r="K1325">
        <v>1.25</v>
      </c>
      <c r="L1325">
        <v>129840</v>
      </c>
      <c r="M1325" t="s">
        <v>1267</v>
      </c>
      <c r="N1325">
        <v>8</v>
      </c>
      <c r="O1325">
        <v>8</v>
      </c>
      <c r="P1325"/>
      <c r="Q1325">
        <v>0</v>
      </c>
      <c r="R1325">
        <v>0</v>
      </c>
      <c r="S1325" t="s">
        <v>40</v>
      </c>
      <c r="T1325">
        <v>261</v>
      </c>
      <c r="W1325"/>
      <c r="Y1325" t="s">
        <v>377</v>
      </c>
      <c r="Z1325" t="s">
        <v>378</v>
      </c>
      <c r="AA1325" t="s">
        <v>379</v>
      </c>
      <c r="AB1325" t="s">
        <v>400</v>
      </c>
      <c r="AC1325" t="s">
        <v>41</v>
      </c>
      <c r="AD1325" t="s">
        <v>41</v>
      </c>
      <c r="AE1325" t="s">
        <v>41</v>
      </c>
      <c r="AF1325" t="s">
        <v>41</v>
      </c>
      <c r="AK1325"/>
    </row>
    <row r="1326" spans="1:38" x14ac:dyDescent="0.25">
      <c r="A1326" t="s">
        <v>48</v>
      </c>
      <c r="B1326">
        <v>46044.674097222225</v>
      </c>
      <c r="C1326">
        <v>92647</v>
      </c>
      <c r="D1326" t="s">
        <v>393</v>
      </c>
      <c r="E1326">
        <v>4507346</v>
      </c>
      <c r="F1326">
        <v>2310135</v>
      </c>
      <c r="G1326" t="s">
        <v>1052</v>
      </c>
      <c r="H1326" t="s">
        <v>1484</v>
      </c>
      <c r="I1326">
        <v>64.3</v>
      </c>
      <c r="J1326" t="b">
        <v>1</v>
      </c>
      <c r="K1326">
        <v>0.1572127139364303</v>
      </c>
      <c r="L1326">
        <v>2310136</v>
      </c>
      <c r="M1326" t="s">
        <v>1053</v>
      </c>
      <c r="N1326">
        <v>409</v>
      </c>
      <c r="O1326">
        <v>400</v>
      </c>
      <c r="P1326"/>
      <c r="Q1326">
        <v>134974</v>
      </c>
      <c r="R1326">
        <v>1</v>
      </c>
      <c r="S1326" t="s">
        <v>40</v>
      </c>
      <c r="T1326">
        <v>261</v>
      </c>
      <c r="W1326"/>
      <c r="Y1326" t="s">
        <v>377</v>
      </c>
      <c r="Z1326" t="s">
        <v>378</v>
      </c>
      <c r="AA1326" t="s">
        <v>379</v>
      </c>
      <c r="AB1326" t="s">
        <v>907</v>
      </c>
      <c r="AC1326" t="s">
        <v>41</v>
      </c>
      <c r="AD1326" t="s">
        <v>41</v>
      </c>
      <c r="AE1326" t="s">
        <v>41</v>
      </c>
      <c r="AF1326" t="s">
        <v>41</v>
      </c>
      <c r="AK1326"/>
    </row>
    <row r="1327" spans="1:38" x14ac:dyDescent="0.25">
      <c r="A1327" t="s">
        <v>37</v>
      </c>
      <c r="B1327">
        <v>46044.908437500002</v>
      </c>
      <c r="C1327">
        <v>91477</v>
      </c>
      <c r="D1327" t="s">
        <v>745</v>
      </c>
      <c r="E1327">
        <v>4509045</v>
      </c>
      <c r="F1327">
        <v>2104844</v>
      </c>
      <c r="G1327" t="s">
        <v>1515</v>
      </c>
      <c r="H1327" t="s">
        <v>1464</v>
      </c>
      <c r="I1327">
        <v>7.5</v>
      </c>
      <c r="J1327" t="b">
        <v>1</v>
      </c>
      <c r="K1327">
        <v>0.46875</v>
      </c>
      <c r="L1327">
        <v>2106163</v>
      </c>
      <c r="M1327" t="s">
        <v>1516</v>
      </c>
      <c r="N1327">
        <v>16</v>
      </c>
      <c r="O1327">
        <v>16</v>
      </c>
      <c r="P1327"/>
      <c r="Q1327">
        <v>134905</v>
      </c>
      <c r="R1327">
        <v>1</v>
      </c>
      <c r="S1327" t="s">
        <v>40</v>
      </c>
      <c r="T1327">
        <v>261</v>
      </c>
      <c r="U1327">
        <v>147664</v>
      </c>
      <c r="V1327">
        <v>24</v>
      </c>
      <c r="W1327" t="s">
        <v>40</v>
      </c>
      <c r="X1327">
        <v>261</v>
      </c>
      <c r="Y1327" t="s">
        <v>377</v>
      </c>
      <c r="Z1327" t="s">
        <v>378</v>
      </c>
      <c r="AA1327" t="s">
        <v>379</v>
      </c>
      <c r="AB1327" t="s">
        <v>1264</v>
      </c>
      <c r="AC1327" t="s">
        <v>41</v>
      </c>
      <c r="AD1327" t="s">
        <v>41</v>
      </c>
      <c r="AE1327" t="s">
        <v>41</v>
      </c>
      <c r="AF1327" t="s">
        <v>41</v>
      </c>
      <c r="AK1327"/>
    </row>
    <row r="1328" spans="1:38" x14ac:dyDescent="0.25">
      <c r="A1328" t="s">
        <v>44</v>
      </c>
      <c r="B1328">
        <v>46045.437106481484</v>
      </c>
      <c r="C1328">
        <v>92648</v>
      </c>
      <c r="D1328" t="s">
        <v>373</v>
      </c>
      <c r="E1328">
        <v>4507347</v>
      </c>
      <c r="F1328">
        <v>2310135</v>
      </c>
      <c r="G1328" t="s">
        <v>1052</v>
      </c>
      <c r="H1328" t="s">
        <v>1500</v>
      </c>
      <c r="I1328">
        <v>64.3</v>
      </c>
      <c r="J1328" t="b">
        <v>1</v>
      </c>
      <c r="K1328">
        <v>0.15759803921568627</v>
      </c>
      <c r="L1328">
        <v>2310136</v>
      </c>
      <c r="M1328" t="s">
        <v>1053</v>
      </c>
      <c r="N1328">
        <v>408</v>
      </c>
      <c r="O1328">
        <v>403</v>
      </c>
      <c r="P1328"/>
      <c r="Q1328">
        <v>134974</v>
      </c>
      <c r="R1328">
        <v>1</v>
      </c>
      <c r="S1328" t="s">
        <v>40</v>
      </c>
      <c r="T1328">
        <v>261</v>
      </c>
      <c r="W1328"/>
      <c r="Y1328" t="s">
        <v>377</v>
      </c>
      <c r="Z1328" t="s">
        <v>378</v>
      </c>
      <c r="AA1328" t="s">
        <v>379</v>
      </c>
      <c r="AB1328" t="s">
        <v>1296</v>
      </c>
      <c r="AC1328" t="s">
        <v>41</v>
      </c>
      <c r="AD1328" t="s">
        <v>41</v>
      </c>
      <c r="AE1328" t="s">
        <v>41</v>
      </c>
      <c r="AF1328" t="s">
        <v>41</v>
      </c>
      <c r="AK1328"/>
    </row>
    <row r="1329" spans="1:38" x14ac:dyDescent="0.25">
      <c r="A1329" t="s">
        <v>38</v>
      </c>
      <c r="B1329">
        <v>46045.43891203704</v>
      </c>
      <c r="C1329">
        <v>93522</v>
      </c>
      <c r="D1329" t="s">
        <v>373</v>
      </c>
      <c r="E1329">
        <v>4495197</v>
      </c>
      <c r="F1329">
        <v>129839</v>
      </c>
      <c r="G1329" t="s">
        <v>1266</v>
      </c>
      <c r="H1329" t="s">
        <v>1471</v>
      </c>
      <c r="I1329">
        <v>10</v>
      </c>
      <c r="J1329" t="b">
        <v>1</v>
      </c>
      <c r="K1329">
        <v>1.25</v>
      </c>
      <c r="L1329">
        <v>129840</v>
      </c>
      <c r="M1329" t="s">
        <v>1267</v>
      </c>
      <c r="N1329">
        <v>8</v>
      </c>
      <c r="O1329">
        <v>8</v>
      </c>
      <c r="P1329"/>
      <c r="Q1329">
        <v>0</v>
      </c>
      <c r="R1329">
        <v>0</v>
      </c>
      <c r="S1329" t="s">
        <v>40</v>
      </c>
      <c r="T1329">
        <v>261</v>
      </c>
      <c r="W1329"/>
      <c r="Y1329" t="s">
        <v>377</v>
      </c>
      <c r="Z1329" t="s">
        <v>378</v>
      </c>
      <c r="AA1329" t="s">
        <v>379</v>
      </c>
      <c r="AB1329" t="s">
        <v>400</v>
      </c>
      <c r="AC1329" t="s">
        <v>41</v>
      </c>
      <c r="AD1329" t="s">
        <v>41</v>
      </c>
      <c r="AE1329" t="s">
        <v>41</v>
      </c>
      <c r="AF1329" t="s">
        <v>41</v>
      </c>
      <c r="AK1329"/>
    </row>
    <row r="1330" spans="1:38" x14ac:dyDescent="0.25">
      <c r="A1330" t="s">
        <v>42</v>
      </c>
      <c r="B1330">
        <v>46045.499560185184</v>
      </c>
      <c r="C1330">
        <v>91740</v>
      </c>
      <c r="D1330" t="s">
        <v>373</v>
      </c>
      <c r="E1330">
        <v>4507461</v>
      </c>
      <c r="F1330">
        <v>156316</v>
      </c>
      <c r="G1330" t="s">
        <v>899</v>
      </c>
      <c r="H1330" t="s">
        <v>1440</v>
      </c>
      <c r="I1330">
        <v>7</v>
      </c>
      <c r="J1330" t="b">
        <v>1</v>
      </c>
      <c r="K1330">
        <v>1.75</v>
      </c>
      <c r="L1330">
        <v>156315</v>
      </c>
      <c r="M1330" t="s">
        <v>901</v>
      </c>
      <c r="N1330">
        <v>4</v>
      </c>
      <c r="O1330">
        <v>4</v>
      </c>
      <c r="P1330"/>
      <c r="Q1330">
        <v>134905</v>
      </c>
      <c r="R1330">
        <v>1</v>
      </c>
      <c r="S1330" t="s">
        <v>40</v>
      </c>
      <c r="T1330">
        <v>261</v>
      </c>
      <c r="U1330">
        <v>147664</v>
      </c>
      <c r="V1330">
        <v>24</v>
      </c>
      <c r="W1330" t="s">
        <v>40</v>
      </c>
      <c r="X1330">
        <v>261</v>
      </c>
      <c r="Y1330" t="s">
        <v>377</v>
      </c>
      <c r="Z1330" t="s">
        <v>378</v>
      </c>
      <c r="AA1330" t="s">
        <v>379</v>
      </c>
      <c r="AB1330" t="s">
        <v>384</v>
      </c>
      <c r="AC1330" t="s">
        <v>41</v>
      </c>
      <c r="AD1330" t="s">
        <v>41</v>
      </c>
      <c r="AE1330" t="s">
        <v>41</v>
      </c>
      <c r="AF1330" t="s">
        <v>41</v>
      </c>
      <c r="AK1330"/>
    </row>
    <row r="1331" spans="1:38" x14ac:dyDescent="0.25">
      <c r="A1331" t="s">
        <v>42</v>
      </c>
      <c r="B1331">
        <v>46045.500752314816</v>
      </c>
      <c r="C1331">
        <v>91740</v>
      </c>
      <c r="D1331" t="s">
        <v>373</v>
      </c>
      <c r="E1331">
        <v>4507462</v>
      </c>
      <c r="F1331">
        <v>156316</v>
      </c>
      <c r="G1331" t="s">
        <v>899</v>
      </c>
      <c r="H1331" t="s">
        <v>1440</v>
      </c>
      <c r="I1331">
        <v>7</v>
      </c>
      <c r="J1331" t="b">
        <v>1</v>
      </c>
      <c r="K1331">
        <v>1.75</v>
      </c>
      <c r="L1331">
        <v>156315</v>
      </c>
      <c r="M1331" t="s">
        <v>901</v>
      </c>
      <c r="N1331">
        <v>4</v>
      </c>
      <c r="O1331">
        <v>4</v>
      </c>
      <c r="P1331"/>
      <c r="Q1331">
        <v>134905</v>
      </c>
      <c r="R1331">
        <v>1</v>
      </c>
      <c r="S1331" t="s">
        <v>40</v>
      </c>
      <c r="T1331">
        <v>261</v>
      </c>
      <c r="U1331">
        <v>147664</v>
      </c>
      <c r="V1331">
        <v>24</v>
      </c>
      <c r="W1331" t="s">
        <v>40</v>
      </c>
      <c r="X1331">
        <v>261</v>
      </c>
      <c r="Y1331" t="s">
        <v>377</v>
      </c>
      <c r="Z1331" t="s">
        <v>378</v>
      </c>
      <c r="AA1331" t="s">
        <v>379</v>
      </c>
      <c r="AB1331" t="s">
        <v>384</v>
      </c>
      <c r="AC1331" t="s">
        <v>41</v>
      </c>
      <c r="AD1331" t="s">
        <v>41</v>
      </c>
      <c r="AE1331" t="s">
        <v>41</v>
      </c>
      <c r="AF1331" t="s">
        <v>41</v>
      </c>
      <c r="AK1331"/>
    </row>
    <row r="1332" spans="1:38" x14ac:dyDescent="0.25">
      <c r="A1332" t="s">
        <v>39</v>
      </c>
      <c r="B1332">
        <v>46045.556064814817</v>
      </c>
      <c r="C1332">
        <v>90474</v>
      </c>
      <c r="D1332" t="s">
        <v>373</v>
      </c>
      <c r="E1332">
        <v>4492178</v>
      </c>
      <c r="F1332">
        <v>2104715</v>
      </c>
      <c r="G1332" t="s">
        <v>1512</v>
      </c>
      <c r="H1332" t="s">
        <v>1485</v>
      </c>
      <c r="I1332">
        <v>3</v>
      </c>
      <c r="J1332" t="b">
        <v>1</v>
      </c>
      <c r="K1332">
        <v>9.6153846153846159E-3</v>
      </c>
      <c r="L1332">
        <v>2106041</v>
      </c>
      <c r="M1332" t="s">
        <v>1513</v>
      </c>
      <c r="N1332">
        <v>312</v>
      </c>
      <c r="O1332">
        <v>315</v>
      </c>
      <c r="P1332"/>
      <c r="Q1332">
        <v>134976</v>
      </c>
      <c r="R1332">
        <v>1</v>
      </c>
      <c r="S1332" t="s">
        <v>40</v>
      </c>
      <c r="T1332">
        <v>261</v>
      </c>
      <c r="W1332"/>
      <c r="Y1332" t="s">
        <v>377</v>
      </c>
      <c r="Z1332" t="s">
        <v>378</v>
      </c>
      <c r="AA1332" t="s">
        <v>379</v>
      </c>
      <c r="AB1332" t="s">
        <v>925</v>
      </c>
      <c r="AC1332" t="s">
        <v>41</v>
      </c>
      <c r="AD1332" t="s">
        <v>41</v>
      </c>
      <c r="AE1332" t="s">
        <v>41</v>
      </c>
      <c r="AF1332" t="s">
        <v>41</v>
      </c>
      <c r="AK1332"/>
    </row>
    <row r="1333" spans="1:38" x14ac:dyDescent="0.25">
      <c r="A1333" t="s">
        <v>38</v>
      </c>
      <c r="B1333">
        <v>46046.022777777776</v>
      </c>
      <c r="C1333">
        <v>91478</v>
      </c>
      <c r="D1333" t="s">
        <v>590</v>
      </c>
      <c r="E1333">
        <v>4509046</v>
      </c>
      <c r="F1333">
        <v>2104844</v>
      </c>
      <c r="G1333" t="s">
        <v>1515</v>
      </c>
      <c r="H1333" t="s">
        <v>1471</v>
      </c>
      <c r="I1333">
        <v>7.5</v>
      </c>
      <c r="J1333" t="b">
        <v>1</v>
      </c>
      <c r="K1333">
        <v>1.875</v>
      </c>
      <c r="L1333">
        <v>2106163</v>
      </c>
      <c r="M1333" t="s">
        <v>1516</v>
      </c>
      <c r="N1333">
        <v>4</v>
      </c>
      <c r="O1333">
        <v>4</v>
      </c>
      <c r="P1333"/>
      <c r="Q1333">
        <v>134905</v>
      </c>
      <c r="R1333">
        <v>1</v>
      </c>
      <c r="S1333" t="s">
        <v>40</v>
      </c>
      <c r="T1333">
        <v>261</v>
      </c>
      <c r="U1333">
        <v>147664</v>
      </c>
      <c r="V1333">
        <v>24</v>
      </c>
      <c r="W1333" t="s">
        <v>40</v>
      </c>
      <c r="X1333">
        <v>261</v>
      </c>
      <c r="Y1333" t="s">
        <v>377</v>
      </c>
      <c r="Z1333" t="s">
        <v>378</v>
      </c>
      <c r="AA1333" t="s">
        <v>379</v>
      </c>
      <c r="AB1333" t="s">
        <v>384</v>
      </c>
      <c r="AC1333" t="s">
        <v>41</v>
      </c>
      <c r="AD1333" t="s">
        <v>41</v>
      </c>
      <c r="AE1333" t="s">
        <v>41</v>
      </c>
      <c r="AF1333" t="s">
        <v>41</v>
      </c>
      <c r="AK1333"/>
    </row>
    <row r="1334" spans="1:38" x14ac:dyDescent="0.25">
      <c r="A1334" t="s">
        <v>38</v>
      </c>
      <c r="B1334">
        <v>46046.023680555554</v>
      </c>
      <c r="C1334">
        <v>91478</v>
      </c>
      <c r="D1334" t="s">
        <v>590</v>
      </c>
      <c r="E1334">
        <v>4509047</v>
      </c>
      <c r="F1334">
        <v>2104844</v>
      </c>
      <c r="G1334" t="s">
        <v>1515</v>
      </c>
      <c r="H1334" t="s">
        <v>1471</v>
      </c>
      <c r="I1334">
        <v>7.5</v>
      </c>
      <c r="J1334" t="b">
        <v>1</v>
      </c>
      <c r="K1334">
        <v>0.46875</v>
      </c>
      <c r="L1334">
        <v>2106163</v>
      </c>
      <c r="M1334" t="s">
        <v>1516</v>
      </c>
      <c r="N1334">
        <v>16</v>
      </c>
      <c r="O1334">
        <v>20</v>
      </c>
      <c r="P1334"/>
      <c r="Q1334">
        <v>134905</v>
      </c>
      <c r="R1334">
        <v>1</v>
      </c>
      <c r="S1334" t="s">
        <v>40</v>
      </c>
      <c r="T1334">
        <v>261</v>
      </c>
      <c r="U1334">
        <v>147664</v>
      </c>
      <c r="V1334">
        <v>24</v>
      </c>
      <c r="W1334" t="s">
        <v>40</v>
      </c>
      <c r="X1334">
        <v>261</v>
      </c>
      <c r="Y1334" t="s">
        <v>377</v>
      </c>
      <c r="Z1334" t="s">
        <v>378</v>
      </c>
      <c r="AA1334" t="s">
        <v>379</v>
      </c>
      <c r="AB1334" t="s">
        <v>1264</v>
      </c>
      <c r="AC1334" t="s">
        <v>41</v>
      </c>
      <c r="AD1334" t="s">
        <v>41</v>
      </c>
      <c r="AE1334" t="s">
        <v>41</v>
      </c>
      <c r="AF1334" t="s">
        <v>41</v>
      </c>
      <c r="AK1334"/>
    </row>
    <row r="1335" spans="1:38" x14ac:dyDescent="0.25">
      <c r="A1335" t="s">
        <v>43</v>
      </c>
      <c r="B1335">
        <v>46046.024629629632</v>
      </c>
      <c r="C1335">
        <v>93523</v>
      </c>
      <c r="D1335" t="s">
        <v>590</v>
      </c>
      <c r="E1335">
        <v>4495196</v>
      </c>
      <c r="F1335">
        <v>129839</v>
      </c>
      <c r="G1335" t="s">
        <v>1266</v>
      </c>
      <c r="H1335" t="s">
        <v>1484</v>
      </c>
      <c r="I1335">
        <v>10</v>
      </c>
      <c r="J1335" t="b">
        <v>1</v>
      </c>
      <c r="K1335">
        <v>1.25</v>
      </c>
      <c r="L1335">
        <v>129840</v>
      </c>
      <c r="M1335" t="s">
        <v>1267</v>
      </c>
      <c r="N1335">
        <v>8</v>
      </c>
      <c r="O1335">
        <v>8</v>
      </c>
      <c r="P1335"/>
      <c r="Q1335">
        <v>134905</v>
      </c>
      <c r="R1335">
        <v>2</v>
      </c>
      <c r="S1335" t="s">
        <v>40</v>
      </c>
      <c r="T1335">
        <v>261</v>
      </c>
      <c r="U1335">
        <v>147664</v>
      </c>
      <c r="V1335">
        <v>48</v>
      </c>
      <c r="W1335" t="s">
        <v>40</v>
      </c>
      <c r="X1335">
        <v>261</v>
      </c>
      <c r="Y1335" t="s">
        <v>377</v>
      </c>
      <c r="Z1335" t="s">
        <v>378</v>
      </c>
      <c r="AA1335" t="s">
        <v>384</v>
      </c>
      <c r="AB1335" t="s">
        <v>384</v>
      </c>
      <c r="AC1335" t="s">
        <v>41</v>
      </c>
      <c r="AD1335" t="s">
        <v>41</v>
      </c>
      <c r="AE1335" t="s">
        <v>41</v>
      </c>
      <c r="AF1335" t="s">
        <v>41</v>
      </c>
      <c r="AK1335"/>
    </row>
    <row r="1336" spans="1:38" x14ac:dyDescent="0.25">
      <c r="A1336" t="s">
        <v>39</v>
      </c>
      <c r="B1336">
        <v>46046.195115740738</v>
      </c>
      <c r="C1336">
        <v>91479</v>
      </c>
      <c r="D1336" t="s">
        <v>590</v>
      </c>
      <c r="E1336">
        <v>4509046</v>
      </c>
      <c r="F1336">
        <v>2104844</v>
      </c>
      <c r="G1336" t="s">
        <v>1515</v>
      </c>
      <c r="H1336" t="s">
        <v>1471</v>
      </c>
      <c r="I1336">
        <v>7.5</v>
      </c>
      <c r="J1336" t="b">
        <v>1</v>
      </c>
      <c r="K1336">
        <v>1.875</v>
      </c>
      <c r="L1336">
        <v>2106163</v>
      </c>
      <c r="M1336" t="s">
        <v>1516</v>
      </c>
      <c r="N1336">
        <v>4</v>
      </c>
      <c r="O1336">
        <v>4</v>
      </c>
      <c r="P1336"/>
      <c r="Q1336">
        <v>134905</v>
      </c>
      <c r="R1336">
        <v>1</v>
      </c>
      <c r="S1336" t="s">
        <v>40</v>
      </c>
      <c r="T1336">
        <v>261</v>
      </c>
      <c r="U1336">
        <v>147664</v>
      </c>
      <c r="V1336">
        <v>24</v>
      </c>
      <c r="W1336" t="s">
        <v>40</v>
      </c>
      <c r="X1336">
        <v>261</v>
      </c>
      <c r="Y1336" t="s">
        <v>377</v>
      </c>
      <c r="Z1336" t="s">
        <v>378</v>
      </c>
      <c r="AA1336" t="s">
        <v>379</v>
      </c>
      <c r="AB1336" t="s">
        <v>384</v>
      </c>
      <c r="AC1336" t="s">
        <v>41</v>
      </c>
      <c r="AD1336" t="s">
        <v>41</v>
      </c>
      <c r="AE1336" t="s">
        <v>41</v>
      </c>
      <c r="AF1336" t="s">
        <v>41</v>
      </c>
      <c r="AK1336"/>
    </row>
    <row r="1337" spans="1:38" x14ac:dyDescent="0.25">
      <c r="A1337" t="s">
        <v>37</v>
      </c>
      <c r="B1337">
        <v>46046.546053240738</v>
      </c>
      <c r="C1337">
        <v>91480</v>
      </c>
      <c r="D1337" t="s">
        <v>373</v>
      </c>
      <c r="E1337">
        <v>4507442</v>
      </c>
      <c r="F1337">
        <v>2104840</v>
      </c>
      <c r="G1337" t="s">
        <v>1504</v>
      </c>
      <c r="H1337" t="s">
        <v>1464</v>
      </c>
      <c r="I1337">
        <v>7.5</v>
      </c>
      <c r="J1337" t="b">
        <v>1</v>
      </c>
      <c r="K1337">
        <v>0.375</v>
      </c>
      <c r="L1337">
        <v>2106160</v>
      </c>
      <c r="M1337" t="s">
        <v>1505</v>
      </c>
      <c r="N1337">
        <v>20</v>
      </c>
      <c r="O1337">
        <v>20</v>
      </c>
      <c r="P1337"/>
      <c r="Q1337">
        <v>134908</v>
      </c>
      <c r="R1337">
        <v>1</v>
      </c>
      <c r="S1337" t="s">
        <v>40</v>
      </c>
      <c r="T1337">
        <v>261</v>
      </c>
      <c r="U1337">
        <v>147664</v>
      </c>
      <c r="V1337">
        <v>48</v>
      </c>
      <c r="W1337" t="s">
        <v>40</v>
      </c>
      <c r="X1337">
        <v>261</v>
      </c>
      <c r="Y1337" t="s">
        <v>377</v>
      </c>
      <c r="Z1337" t="s">
        <v>378</v>
      </c>
      <c r="AA1337" t="s">
        <v>384</v>
      </c>
      <c r="AB1337" t="s">
        <v>877</v>
      </c>
      <c r="AC1337" t="s">
        <v>41</v>
      </c>
      <c r="AD1337" t="s">
        <v>41</v>
      </c>
      <c r="AE1337" t="s">
        <v>41</v>
      </c>
      <c r="AF1337" t="s">
        <v>41</v>
      </c>
      <c r="AI1337">
        <v>134908</v>
      </c>
      <c r="AJ1337">
        <v>1</v>
      </c>
      <c r="AK1337" t="s">
        <v>40</v>
      </c>
      <c r="AL1337">
        <v>261</v>
      </c>
    </row>
    <row r="1338" spans="1:38" x14ac:dyDescent="0.25">
      <c r="A1338" t="s">
        <v>44</v>
      </c>
      <c r="B1338">
        <v>46046.657858796294</v>
      </c>
      <c r="C1338">
        <v>89267</v>
      </c>
      <c r="D1338" t="s">
        <v>373</v>
      </c>
      <c r="E1338">
        <v>4495195</v>
      </c>
      <c r="F1338">
        <v>129839</v>
      </c>
      <c r="G1338" t="s">
        <v>1266</v>
      </c>
      <c r="H1338" t="s">
        <v>1485</v>
      </c>
      <c r="I1338">
        <v>10</v>
      </c>
      <c r="J1338" t="b">
        <v>1</v>
      </c>
      <c r="K1338">
        <v>1.1111111111111112</v>
      </c>
      <c r="L1338">
        <v>129840</v>
      </c>
      <c r="M1338" t="s">
        <v>1267</v>
      </c>
      <c r="N1338">
        <v>9</v>
      </c>
      <c r="O1338">
        <v>9</v>
      </c>
      <c r="P1338"/>
      <c r="Q1338">
        <v>134905</v>
      </c>
      <c r="R1338">
        <v>1</v>
      </c>
      <c r="S1338" t="s">
        <v>40</v>
      </c>
      <c r="T1338">
        <v>261</v>
      </c>
      <c r="U1338">
        <v>147664</v>
      </c>
      <c r="V1338">
        <v>48</v>
      </c>
      <c r="W1338" t="s">
        <v>40</v>
      </c>
      <c r="X1338">
        <v>261</v>
      </c>
      <c r="Y1338" t="s">
        <v>377</v>
      </c>
      <c r="Z1338" t="s">
        <v>378</v>
      </c>
      <c r="AA1338" t="s">
        <v>379</v>
      </c>
      <c r="AB1338" t="s">
        <v>559</v>
      </c>
      <c r="AC1338" t="s">
        <v>379</v>
      </c>
      <c r="AD1338" t="s">
        <v>384</v>
      </c>
      <c r="AE1338" t="s">
        <v>41</v>
      </c>
      <c r="AF1338" t="s">
        <v>41</v>
      </c>
      <c r="AI1338">
        <v>134905</v>
      </c>
      <c r="AJ1338">
        <v>1</v>
      </c>
      <c r="AK1338" t="s">
        <v>40</v>
      </c>
      <c r="AL1338">
        <v>261</v>
      </c>
    </row>
    <row r="1339" spans="1:38" x14ac:dyDescent="0.25">
      <c r="A1339" t="s">
        <v>45</v>
      </c>
      <c r="B1339">
        <v>46046.661180555559</v>
      </c>
      <c r="C1339">
        <v>92650</v>
      </c>
      <c r="D1339" t="s">
        <v>373</v>
      </c>
      <c r="E1339">
        <v>4507348</v>
      </c>
      <c r="F1339">
        <v>2310135</v>
      </c>
      <c r="G1339" t="s">
        <v>1052</v>
      </c>
      <c r="H1339" t="s">
        <v>1506</v>
      </c>
      <c r="I1339">
        <v>64.3</v>
      </c>
      <c r="J1339" t="b">
        <v>1</v>
      </c>
      <c r="K1339">
        <v>0.14884259259259258</v>
      </c>
      <c r="L1339">
        <v>2310136</v>
      </c>
      <c r="M1339" t="s">
        <v>1053</v>
      </c>
      <c r="N1339">
        <v>432</v>
      </c>
      <c r="O1339">
        <v>434</v>
      </c>
      <c r="P1339"/>
      <c r="Q1339">
        <v>134974</v>
      </c>
      <c r="R1339">
        <v>1</v>
      </c>
      <c r="S1339" t="s">
        <v>40</v>
      </c>
      <c r="T1339">
        <v>261</v>
      </c>
      <c r="W1339"/>
      <c r="Y1339" t="s">
        <v>377</v>
      </c>
      <c r="Z1339" t="s">
        <v>378</v>
      </c>
      <c r="AA1339" t="s">
        <v>379</v>
      </c>
      <c r="AB1339" t="s">
        <v>1442</v>
      </c>
      <c r="AC1339" t="s">
        <v>41</v>
      </c>
      <c r="AD1339" t="s">
        <v>41</v>
      </c>
      <c r="AE1339" t="s">
        <v>41</v>
      </c>
      <c r="AF1339" t="s">
        <v>41</v>
      </c>
      <c r="AK1339"/>
    </row>
    <row r="1340" spans="1:38" x14ac:dyDescent="0.25">
      <c r="A1340" t="s">
        <v>39</v>
      </c>
      <c r="B1340">
        <v>46046.724907407406</v>
      </c>
      <c r="C1340">
        <v>90475</v>
      </c>
      <c r="D1340" t="s">
        <v>373</v>
      </c>
      <c r="E1340">
        <v>4508461</v>
      </c>
      <c r="F1340">
        <v>2104715</v>
      </c>
      <c r="G1340" t="s">
        <v>1512</v>
      </c>
      <c r="H1340" t="s">
        <v>1500</v>
      </c>
      <c r="I1340">
        <v>3</v>
      </c>
      <c r="J1340" t="b">
        <v>1</v>
      </c>
      <c r="K1340">
        <v>1.0416666666666666E-2</v>
      </c>
      <c r="L1340">
        <v>2106041</v>
      </c>
      <c r="M1340" t="s">
        <v>1513</v>
      </c>
      <c r="N1340">
        <v>288</v>
      </c>
      <c r="O1340">
        <v>306</v>
      </c>
      <c r="P1340"/>
      <c r="Q1340">
        <v>134976</v>
      </c>
      <c r="R1340">
        <v>1</v>
      </c>
      <c r="S1340" t="s">
        <v>40</v>
      </c>
      <c r="T1340">
        <v>261</v>
      </c>
      <c r="W1340"/>
      <c r="Y1340" t="s">
        <v>377</v>
      </c>
      <c r="Z1340" t="s">
        <v>378</v>
      </c>
      <c r="AA1340" t="s">
        <v>379</v>
      </c>
      <c r="AB1340" t="s">
        <v>1100</v>
      </c>
      <c r="AC1340" t="s">
        <v>41</v>
      </c>
      <c r="AD1340" t="s">
        <v>41</v>
      </c>
      <c r="AE1340" t="s">
        <v>41</v>
      </c>
      <c r="AF1340" t="s">
        <v>41</v>
      </c>
      <c r="AK1340"/>
    </row>
    <row r="1341" spans="1:38" x14ac:dyDescent="0.25">
      <c r="A1341" t="s">
        <v>37</v>
      </c>
      <c r="B1341">
        <v>46047.059930555559</v>
      </c>
      <c r="C1341">
        <v>91481</v>
      </c>
      <c r="D1341" t="s">
        <v>1025</v>
      </c>
      <c r="E1341">
        <v>4508989</v>
      </c>
      <c r="F1341">
        <v>2123974</v>
      </c>
      <c r="G1341" t="s">
        <v>1517</v>
      </c>
      <c r="H1341" t="s">
        <v>1464</v>
      </c>
      <c r="I1341">
        <v>7.5</v>
      </c>
      <c r="J1341" t="b">
        <v>1</v>
      </c>
      <c r="K1341">
        <v>0.375</v>
      </c>
      <c r="L1341">
        <v>2124345</v>
      </c>
      <c r="M1341" t="s">
        <v>1518</v>
      </c>
      <c r="N1341">
        <v>20</v>
      </c>
      <c r="O1341">
        <v>20</v>
      </c>
      <c r="P1341"/>
      <c r="Q1341">
        <v>134907</v>
      </c>
      <c r="R1341">
        <v>2</v>
      </c>
      <c r="S1341" t="s">
        <v>40</v>
      </c>
      <c r="T1341">
        <v>261</v>
      </c>
      <c r="U1341">
        <v>147664</v>
      </c>
      <c r="V1341">
        <v>48</v>
      </c>
      <c r="W1341" t="s">
        <v>40</v>
      </c>
      <c r="X1341">
        <v>261</v>
      </c>
      <c r="Y1341" t="s">
        <v>377</v>
      </c>
      <c r="Z1341" t="s">
        <v>378</v>
      </c>
      <c r="AA1341" t="s">
        <v>384</v>
      </c>
      <c r="AB1341" t="s">
        <v>877</v>
      </c>
      <c r="AC1341" t="s">
        <v>41</v>
      </c>
      <c r="AD1341" t="s">
        <v>41</v>
      </c>
      <c r="AE1341" t="s">
        <v>41</v>
      </c>
      <c r="AF1341" t="s">
        <v>41</v>
      </c>
      <c r="AK1341"/>
    </row>
    <row r="1342" spans="1:38" x14ac:dyDescent="0.25">
      <c r="A1342" t="s">
        <v>38</v>
      </c>
      <c r="B1342">
        <v>46047.132905092592</v>
      </c>
      <c r="C1342">
        <v>91742</v>
      </c>
      <c r="D1342" t="s">
        <v>1025</v>
      </c>
      <c r="E1342">
        <v>4507447</v>
      </c>
      <c r="F1342">
        <v>156292</v>
      </c>
      <c r="G1342" t="s">
        <v>46</v>
      </c>
      <c r="H1342" t="s">
        <v>1445</v>
      </c>
      <c r="I1342">
        <v>7</v>
      </c>
      <c r="J1342" t="b">
        <v>1</v>
      </c>
      <c r="K1342">
        <v>1.75</v>
      </c>
      <c r="L1342">
        <v>156291</v>
      </c>
      <c r="M1342" t="s">
        <v>433</v>
      </c>
      <c r="N1342">
        <v>4</v>
      </c>
      <c r="O1342">
        <v>4</v>
      </c>
      <c r="P1342"/>
      <c r="Q1342">
        <v>134905</v>
      </c>
      <c r="R1342">
        <v>1</v>
      </c>
      <c r="S1342" t="s">
        <v>40</v>
      </c>
      <c r="T1342">
        <v>261</v>
      </c>
      <c r="U1342">
        <v>147664</v>
      </c>
      <c r="V1342">
        <v>24</v>
      </c>
      <c r="W1342" t="s">
        <v>40</v>
      </c>
      <c r="X1342">
        <v>261</v>
      </c>
      <c r="Y1342" t="s">
        <v>377</v>
      </c>
      <c r="Z1342" t="s">
        <v>378</v>
      </c>
      <c r="AA1342" t="s">
        <v>379</v>
      </c>
      <c r="AB1342" t="s">
        <v>384</v>
      </c>
      <c r="AC1342" t="s">
        <v>41</v>
      </c>
      <c r="AD1342" t="s">
        <v>41</v>
      </c>
      <c r="AE1342" t="s">
        <v>41</v>
      </c>
      <c r="AF1342" t="s">
        <v>41</v>
      </c>
      <c r="AK1342"/>
    </row>
    <row r="1343" spans="1:38" x14ac:dyDescent="0.25">
      <c r="A1343" t="s">
        <v>38</v>
      </c>
      <c r="B1343">
        <v>46047.133449074077</v>
      </c>
      <c r="C1343">
        <v>91742</v>
      </c>
      <c r="D1343" t="s">
        <v>1025</v>
      </c>
      <c r="E1343">
        <v>4507448</v>
      </c>
      <c r="F1343">
        <v>156292</v>
      </c>
      <c r="G1343" t="s">
        <v>46</v>
      </c>
      <c r="H1343" t="s">
        <v>1445</v>
      </c>
      <c r="I1343">
        <v>7</v>
      </c>
      <c r="J1343" t="b">
        <v>1</v>
      </c>
      <c r="K1343">
        <v>1.75</v>
      </c>
      <c r="L1343">
        <v>156291</v>
      </c>
      <c r="M1343" t="s">
        <v>433</v>
      </c>
      <c r="N1343">
        <v>4</v>
      </c>
      <c r="O1343">
        <v>4</v>
      </c>
      <c r="P1343"/>
      <c r="Q1343">
        <v>134905</v>
      </c>
      <c r="R1343">
        <v>1</v>
      </c>
      <c r="S1343" t="s">
        <v>40</v>
      </c>
      <c r="T1343">
        <v>261</v>
      </c>
      <c r="U1343">
        <v>147664</v>
      </c>
      <c r="V1343">
        <v>24</v>
      </c>
      <c r="W1343" t="s">
        <v>40</v>
      </c>
      <c r="X1343">
        <v>261</v>
      </c>
      <c r="Y1343" t="s">
        <v>377</v>
      </c>
      <c r="Z1343" t="s">
        <v>378</v>
      </c>
      <c r="AA1343" t="s">
        <v>379</v>
      </c>
      <c r="AB1343" t="s">
        <v>384</v>
      </c>
      <c r="AC1343" t="s">
        <v>41</v>
      </c>
      <c r="AD1343" t="s">
        <v>41</v>
      </c>
      <c r="AE1343" t="s">
        <v>41</v>
      </c>
      <c r="AF1343" t="s">
        <v>41</v>
      </c>
      <c r="AK1343"/>
    </row>
    <row r="1344" spans="1:38" x14ac:dyDescent="0.25">
      <c r="A1344" t="s">
        <v>39</v>
      </c>
      <c r="B1344">
        <v>46047.198379629626</v>
      </c>
      <c r="C1344">
        <v>89268</v>
      </c>
      <c r="D1344" t="s">
        <v>1025</v>
      </c>
      <c r="E1344">
        <v>4495194</v>
      </c>
      <c r="F1344">
        <v>129839</v>
      </c>
      <c r="G1344" t="s">
        <v>1266</v>
      </c>
      <c r="H1344" t="s">
        <v>1500</v>
      </c>
      <c r="I1344">
        <v>10</v>
      </c>
      <c r="J1344" t="b">
        <v>1</v>
      </c>
      <c r="K1344">
        <v>1.25</v>
      </c>
      <c r="L1344">
        <v>129840</v>
      </c>
      <c r="M1344" t="s">
        <v>1267</v>
      </c>
      <c r="N1344">
        <v>8</v>
      </c>
      <c r="O1344">
        <v>3</v>
      </c>
      <c r="P1344"/>
      <c r="Q1344">
        <v>134905</v>
      </c>
      <c r="R1344">
        <v>2</v>
      </c>
      <c r="S1344" t="s">
        <v>40</v>
      </c>
      <c r="T1344">
        <v>261</v>
      </c>
      <c r="U1344">
        <v>147664</v>
      </c>
      <c r="V1344">
        <v>48</v>
      </c>
      <c r="W1344" t="s">
        <v>40</v>
      </c>
      <c r="X1344">
        <v>261</v>
      </c>
      <c r="Y1344" t="s">
        <v>377</v>
      </c>
      <c r="Z1344" t="s">
        <v>378</v>
      </c>
      <c r="AA1344" t="s">
        <v>384</v>
      </c>
      <c r="AB1344" t="s">
        <v>384</v>
      </c>
      <c r="AC1344" t="s">
        <v>41</v>
      </c>
      <c r="AD1344" t="s">
        <v>41</v>
      </c>
      <c r="AE1344" t="s">
        <v>41</v>
      </c>
      <c r="AF1344" t="s">
        <v>41</v>
      </c>
      <c r="AK1344"/>
    </row>
    <row r="1345" spans="1:38" x14ac:dyDescent="0.25">
      <c r="A1345" t="s">
        <v>43</v>
      </c>
      <c r="B1345">
        <v>46047.581331018519</v>
      </c>
      <c r="C1345">
        <v>91482</v>
      </c>
      <c r="D1345" t="s">
        <v>373</v>
      </c>
      <c r="E1345">
        <v>4508990</v>
      </c>
      <c r="F1345">
        <v>2123974</v>
      </c>
      <c r="G1345" t="s">
        <v>1517</v>
      </c>
      <c r="H1345" t="s">
        <v>1471</v>
      </c>
      <c r="I1345">
        <v>3.75</v>
      </c>
      <c r="J1345" t="b">
        <v>1</v>
      </c>
      <c r="K1345">
        <v>0.9375</v>
      </c>
      <c r="L1345">
        <v>2124345</v>
      </c>
      <c r="M1345" t="s">
        <v>1518</v>
      </c>
      <c r="N1345">
        <v>4</v>
      </c>
      <c r="O1345">
        <v>4</v>
      </c>
      <c r="P1345"/>
      <c r="Q1345">
        <v>134907</v>
      </c>
      <c r="R1345">
        <v>1</v>
      </c>
      <c r="S1345" t="s">
        <v>40</v>
      </c>
      <c r="T1345">
        <v>261</v>
      </c>
      <c r="U1345">
        <v>147664</v>
      </c>
      <c r="V1345">
        <v>24</v>
      </c>
      <c r="W1345" t="s">
        <v>40</v>
      </c>
      <c r="X1345">
        <v>261</v>
      </c>
      <c r="Y1345" t="s">
        <v>377</v>
      </c>
      <c r="Z1345" t="s">
        <v>378</v>
      </c>
      <c r="AA1345" t="s">
        <v>379</v>
      </c>
      <c r="AB1345" t="s">
        <v>384</v>
      </c>
      <c r="AC1345" t="s">
        <v>41</v>
      </c>
      <c r="AD1345" t="s">
        <v>41</v>
      </c>
      <c r="AE1345" t="s">
        <v>41</v>
      </c>
      <c r="AF1345" t="s">
        <v>41</v>
      </c>
      <c r="AK1345"/>
    </row>
    <row r="1346" spans="1:38" x14ac:dyDescent="0.25">
      <c r="A1346" t="s">
        <v>43</v>
      </c>
      <c r="B1346">
        <v>46047.581956018519</v>
      </c>
      <c r="C1346">
        <v>91482</v>
      </c>
      <c r="D1346" t="s">
        <v>373</v>
      </c>
      <c r="E1346">
        <v>4508991</v>
      </c>
      <c r="F1346">
        <v>2123974</v>
      </c>
      <c r="G1346" t="s">
        <v>1517</v>
      </c>
      <c r="H1346" t="s">
        <v>1471</v>
      </c>
      <c r="I1346">
        <v>3.75</v>
      </c>
      <c r="J1346" t="b">
        <v>1</v>
      </c>
      <c r="K1346">
        <v>0.234375</v>
      </c>
      <c r="L1346">
        <v>2124345</v>
      </c>
      <c r="M1346" t="s">
        <v>1518</v>
      </c>
      <c r="N1346">
        <v>16</v>
      </c>
      <c r="O1346">
        <v>16</v>
      </c>
      <c r="P1346"/>
      <c r="Q1346">
        <v>134907</v>
      </c>
      <c r="R1346">
        <v>1</v>
      </c>
      <c r="S1346" t="s">
        <v>40</v>
      </c>
      <c r="T1346">
        <v>261</v>
      </c>
      <c r="U1346">
        <v>147664</v>
      </c>
      <c r="V1346">
        <v>24</v>
      </c>
      <c r="W1346" t="s">
        <v>40</v>
      </c>
      <c r="X1346">
        <v>261</v>
      </c>
      <c r="Y1346" t="s">
        <v>377</v>
      </c>
      <c r="Z1346" t="s">
        <v>378</v>
      </c>
      <c r="AA1346" t="s">
        <v>379</v>
      </c>
      <c r="AB1346" t="s">
        <v>1264</v>
      </c>
      <c r="AC1346" t="s">
        <v>41</v>
      </c>
      <c r="AD1346" t="s">
        <v>41</v>
      </c>
      <c r="AE1346" t="s">
        <v>41</v>
      </c>
      <c r="AF1346" t="s">
        <v>41</v>
      </c>
      <c r="AK1346"/>
    </row>
    <row r="1347" spans="1:38" x14ac:dyDescent="0.25">
      <c r="A1347" t="s">
        <v>47</v>
      </c>
      <c r="B1347">
        <v>46047.600694444445</v>
      </c>
      <c r="C1347">
        <v>92652</v>
      </c>
      <c r="D1347" t="s">
        <v>373</v>
      </c>
      <c r="E1347">
        <v>4507349</v>
      </c>
      <c r="F1347">
        <v>2310135</v>
      </c>
      <c r="G1347" t="s">
        <v>1052</v>
      </c>
      <c r="H1347" t="s">
        <v>1509</v>
      </c>
      <c r="I1347">
        <v>64.3</v>
      </c>
      <c r="J1347" t="b">
        <v>1</v>
      </c>
      <c r="K1347">
        <v>0.15682926829268293</v>
      </c>
      <c r="L1347">
        <v>2310136</v>
      </c>
      <c r="M1347" t="s">
        <v>1053</v>
      </c>
      <c r="N1347">
        <v>410</v>
      </c>
      <c r="O1347">
        <v>400</v>
      </c>
      <c r="P1347"/>
      <c r="Q1347">
        <v>134974</v>
      </c>
      <c r="R1347">
        <v>1</v>
      </c>
      <c r="S1347" t="s">
        <v>40</v>
      </c>
      <c r="T1347">
        <v>261</v>
      </c>
      <c r="W1347"/>
      <c r="Y1347" t="s">
        <v>377</v>
      </c>
      <c r="Z1347" t="s">
        <v>378</v>
      </c>
      <c r="AA1347" t="s">
        <v>379</v>
      </c>
      <c r="AB1347" t="s">
        <v>1273</v>
      </c>
      <c r="AC1347" t="s">
        <v>41</v>
      </c>
      <c r="AD1347" t="s">
        <v>41</v>
      </c>
      <c r="AE1347" t="s">
        <v>41</v>
      </c>
      <c r="AF1347" t="s">
        <v>41</v>
      </c>
      <c r="AK1347"/>
    </row>
    <row r="1348" spans="1:38" x14ac:dyDescent="0.25">
      <c r="A1348" t="s">
        <v>38</v>
      </c>
      <c r="B1348">
        <v>46048.049583333333</v>
      </c>
      <c r="C1348">
        <v>89269</v>
      </c>
      <c r="D1348" t="s">
        <v>866</v>
      </c>
      <c r="E1348">
        <v>4495193</v>
      </c>
      <c r="F1348">
        <v>129839</v>
      </c>
      <c r="G1348" t="s">
        <v>1266</v>
      </c>
      <c r="H1348" t="s">
        <v>1506</v>
      </c>
      <c r="I1348">
        <v>10</v>
      </c>
      <c r="J1348" t="b">
        <v>1</v>
      </c>
      <c r="K1348">
        <v>1.25</v>
      </c>
      <c r="L1348">
        <v>129840</v>
      </c>
      <c r="M1348" t="s">
        <v>1267</v>
      </c>
      <c r="N1348">
        <v>8</v>
      </c>
      <c r="O1348">
        <v>5</v>
      </c>
      <c r="P1348"/>
      <c r="Q1348">
        <v>155687</v>
      </c>
      <c r="R1348">
        <v>1</v>
      </c>
      <c r="S1348" t="s">
        <v>40</v>
      </c>
      <c r="T1348">
        <v>261</v>
      </c>
      <c r="U1348">
        <v>147664</v>
      </c>
      <c r="V1348">
        <v>48</v>
      </c>
      <c r="W1348" t="s">
        <v>40</v>
      </c>
      <c r="X1348">
        <v>261</v>
      </c>
      <c r="Y1348" t="s">
        <v>377</v>
      </c>
      <c r="Z1348" t="s">
        <v>378</v>
      </c>
      <c r="AA1348" t="s">
        <v>379</v>
      </c>
      <c r="AB1348" t="s">
        <v>384</v>
      </c>
      <c r="AC1348" t="s">
        <v>379</v>
      </c>
      <c r="AD1348" t="s">
        <v>384</v>
      </c>
      <c r="AE1348" t="s">
        <v>41</v>
      </c>
      <c r="AF1348" t="s">
        <v>41</v>
      </c>
      <c r="AI1348">
        <v>155687</v>
      </c>
      <c r="AJ1348">
        <v>1</v>
      </c>
      <c r="AK1348" t="s">
        <v>40</v>
      </c>
      <c r="AL1348">
        <v>261</v>
      </c>
    </row>
    <row r="1349" spans="1:38" x14ac:dyDescent="0.25">
      <c r="A1349" t="s">
        <v>37</v>
      </c>
      <c r="B1349">
        <v>46048.531053240738</v>
      </c>
      <c r="C1349">
        <v>91485</v>
      </c>
      <c r="D1349" t="s">
        <v>373</v>
      </c>
      <c r="E1349">
        <v>4510041</v>
      </c>
      <c r="F1349">
        <v>2123975</v>
      </c>
      <c r="G1349" t="s">
        <v>1344</v>
      </c>
      <c r="H1349" t="s">
        <v>1471</v>
      </c>
      <c r="I1349">
        <v>3.75</v>
      </c>
      <c r="J1349" t="b">
        <v>1</v>
      </c>
      <c r="K1349">
        <v>0.375</v>
      </c>
      <c r="L1349">
        <v>2124346</v>
      </c>
      <c r="M1349" t="s">
        <v>1345</v>
      </c>
      <c r="N1349">
        <v>10</v>
      </c>
      <c r="O1349">
        <v>10</v>
      </c>
      <c r="P1349"/>
      <c r="Q1349">
        <v>134971</v>
      </c>
      <c r="R1349">
        <v>1</v>
      </c>
      <c r="S1349" t="s">
        <v>40</v>
      </c>
      <c r="T1349">
        <v>261</v>
      </c>
      <c r="U1349">
        <v>147664</v>
      </c>
      <c r="V1349">
        <v>24</v>
      </c>
      <c r="W1349" t="s">
        <v>40</v>
      </c>
      <c r="X1349">
        <v>261</v>
      </c>
      <c r="Y1349" t="s">
        <v>377</v>
      </c>
      <c r="Z1349" t="s">
        <v>378</v>
      </c>
      <c r="AA1349" t="s">
        <v>379</v>
      </c>
      <c r="AB1349" t="s">
        <v>877</v>
      </c>
      <c r="AC1349" t="s">
        <v>41</v>
      </c>
      <c r="AD1349" t="s">
        <v>41</v>
      </c>
      <c r="AE1349" t="s">
        <v>41</v>
      </c>
      <c r="AF1349" t="s">
        <v>41</v>
      </c>
      <c r="AK1349"/>
    </row>
    <row r="1350" spans="1:38" x14ac:dyDescent="0.25">
      <c r="A1350" t="s">
        <v>37</v>
      </c>
      <c r="B1350">
        <v>46048.532280092593</v>
      </c>
      <c r="C1350">
        <v>91485</v>
      </c>
      <c r="D1350" t="s">
        <v>373</v>
      </c>
      <c r="E1350">
        <v>4510000</v>
      </c>
      <c r="F1350">
        <v>2123975</v>
      </c>
      <c r="G1350" t="s">
        <v>1344</v>
      </c>
      <c r="H1350" t="s">
        <v>1471</v>
      </c>
      <c r="I1350">
        <v>3.75</v>
      </c>
      <c r="J1350" t="b">
        <v>1</v>
      </c>
      <c r="K1350">
        <v>0.375</v>
      </c>
      <c r="L1350">
        <v>2124346</v>
      </c>
      <c r="M1350" t="s">
        <v>1345</v>
      </c>
      <c r="N1350">
        <v>10</v>
      </c>
      <c r="O1350">
        <v>10</v>
      </c>
      <c r="P1350"/>
      <c r="Q1350">
        <v>134971</v>
      </c>
      <c r="R1350">
        <v>1</v>
      </c>
      <c r="S1350" t="s">
        <v>40</v>
      </c>
      <c r="T1350">
        <v>261</v>
      </c>
      <c r="U1350">
        <v>147664</v>
      </c>
      <c r="V1350">
        <v>24</v>
      </c>
      <c r="W1350" t="s">
        <v>40</v>
      </c>
      <c r="X1350">
        <v>261</v>
      </c>
      <c r="Y1350" t="s">
        <v>377</v>
      </c>
      <c r="Z1350" t="s">
        <v>378</v>
      </c>
      <c r="AA1350" t="s">
        <v>379</v>
      </c>
      <c r="AB1350" t="s">
        <v>877</v>
      </c>
      <c r="AC1350" t="s">
        <v>41</v>
      </c>
      <c r="AD1350" t="s">
        <v>41</v>
      </c>
      <c r="AE1350" t="s">
        <v>41</v>
      </c>
      <c r="AF1350" t="s">
        <v>41</v>
      </c>
      <c r="AK1350"/>
    </row>
    <row r="1351" spans="1:38" x14ac:dyDescent="0.25">
      <c r="A1351" t="s">
        <v>37</v>
      </c>
      <c r="B1351">
        <v>46048.549467592595</v>
      </c>
      <c r="C1351">
        <v>91484</v>
      </c>
      <c r="D1351" t="s">
        <v>373</v>
      </c>
      <c r="E1351">
        <v>4509999</v>
      </c>
      <c r="F1351">
        <v>2123975</v>
      </c>
      <c r="G1351" t="s">
        <v>1344</v>
      </c>
      <c r="H1351" t="s">
        <v>1464</v>
      </c>
      <c r="I1351">
        <v>7.5</v>
      </c>
      <c r="J1351" t="b">
        <v>1</v>
      </c>
      <c r="K1351">
        <v>0.375</v>
      </c>
      <c r="L1351">
        <v>2124346</v>
      </c>
      <c r="M1351" t="s">
        <v>1345</v>
      </c>
      <c r="N1351">
        <v>20</v>
      </c>
      <c r="O1351">
        <v>20</v>
      </c>
      <c r="P1351"/>
      <c r="Q1351">
        <v>134971</v>
      </c>
      <c r="R1351">
        <v>1</v>
      </c>
      <c r="S1351" t="s">
        <v>40</v>
      </c>
      <c r="T1351">
        <v>261</v>
      </c>
      <c r="U1351">
        <v>147664</v>
      </c>
      <c r="V1351">
        <v>48</v>
      </c>
      <c r="W1351" t="s">
        <v>40</v>
      </c>
      <c r="X1351">
        <v>261</v>
      </c>
      <c r="Y1351" t="s">
        <v>377</v>
      </c>
      <c r="Z1351" t="s">
        <v>378</v>
      </c>
      <c r="AA1351" t="s">
        <v>384</v>
      </c>
      <c r="AB1351" t="s">
        <v>877</v>
      </c>
      <c r="AC1351" t="s">
        <v>41</v>
      </c>
      <c r="AD1351" t="s">
        <v>41</v>
      </c>
      <c r="AE1351" t="s">
        <v>41</v>
      </c>
      <c r="AF1351" t="s">
        <v>41</v>
      </c>
      <c r="AI1351">
        <v>134971</v>
      </c>
      <c r="AJ1351">
        <v>1</v>
      </c>
      <c r="AK1351" t="s">
        <v>40</v>
      </c>
      <c r="AL1351">
        <v>261</v>
      </c>
    </row>
    <row r="1352" spans="1:38" x14ac:dyDescent="0.25">
      <c r="A1352" t="s">
        <v>43</v>
      </c>
      <c r="B1352">
        <v>46048.607754629629</v>
      </c>
      <c r="C1352">
        <v>89270</v>
      </c>
      <c r="D1352" t="s">
        <v>373</v>
      </c>
      <c r="E1352">
        <v>4495192</v>
      </c>
      <c r="F1352">
        <v>129839</v>
      </c>
      <c r="G1352" t="s">
        <v>1266</v>
      </c>
      <c r="H1352" t="s">
        <v>1509</v>
      </c>
      <c r="I1352">
        <v>10</v>
      </c>
      <c r="J1352" t="b">
        <v>1</v>
      </c>
      <c r="K1352">
        <v>1.25</v>
      </c>
      <c r="L1352">
        <v>129840</v>
      </c>
      <c r="M1352" t="s">
        <v>1267</v>
      </c>
      <c r="N1352">
        <v>8</v>
      </c>
      <c r="O1352">
        <v>8</v>
      </c>
      <c r="P1352"/>
      <c r="Q1352">
        <v>134905</v>
      </c>
      <c r="R1352">
        <v>1</v>
      </c>
      <c r="S1352" t="s">
        <v>40</v>
      </c>
      <c r="T1352">
        <v>261</v>
      </c>
      <c r="U1352">
        <v>147664</v>
      </c>
      <c r="V1352">
        <v>48</v>
      </c>
      <c r="W1352" t="s">
        <v>40</v>
      </c>
      <c r="X1352">
        <v>261</v>
      </c>
      <c r="Y1352" t="s">
        <v>377</v>
      </c>
      <c r="Z1352" t="s">
        <v>378</v>
      </c>
      <c r="AA1352" t="s">
        <v>384</v>
      </c>
      <c r="AB1352" t="s">
        <v>384</v>
      </c>
      <c r="AC1352" t="s">
        <v>41</v>
      </c>
      <c r="AD1352" t="s">
        <v>41</v>
      </c>
      <c r="AE1352" t="s">
        <v>41</v>
      </c>
      <c r="AF1352" t="s">
        <v>41</v>
      </c>
      <c r="AI1352">
        <v>134905</v>
      </c>
      <c r="AJ1352">
        <v>1</v>
      </c>
      <c r="AK1352" t="s">
        <v>40</v>
      </c>
      <c r="AL1352">
        <v>261</v>
      </c>
    </row>
    <row r="1353" spans="1:38" x14ac:dyDescent="0.25">
      <c r="A1353" t="s">
        <v>45</v>
      </c>
      <c r="B1353">
        <v>46048.628831018519</v>
      </c>
      <c r="C1353">
        <v>92106</v>
      </c>
      <c r="D1353" t="s">
        <v>373</v>
      </c>
      <c r="E1353">
        <v>4503352</v>
      </c>
      <c r="F1353">
        <v>2104668</v>
      </c>
      <c r="G1353" t="s">
        <v>1451</v>
      </c>
      <c r="H1353" t="s">
        <v>1339</v>
      </c>
      <c r="I1353">
        <v>42</v>
      </c>
      <c r="J1353" t="b">
        <v>1</v>
      </c>
      <c r="K1353">
        <v>0.2441860465116279</v>
      </c>
      <c r="L1353">
        <v>2106004</v>
      </c>
      <c r="M1353" t="s">
        <v>1452</v>
      </c>
      <c r="N1353">
        <v>172</v>
      </c>
      <c r="O1353">
        <v>172</v>
      </c>
      <c r="P1353"/>
      <c r="Q1353">
        <v>0</v>
      </c>
      <c r="R1353">
        <v>0</v>
      </c>
      <c r="S1353" t="s">
        <v>40</v>
      </c>
      <c r="T1353">
        <v>261</v>
      </c>
      <c r="W1353"/>
      <c r="Y1353" t="s">
        <v>679</v>
      </c>
      <c r="Z1353" t="s">
        <v>378</v>
      </c>
      <c r="AA1353" t="s">
        <v>379</v>
      </c>
      <c r="AB1353" t="s">
        <v>1519</v>
      </c>
      <c r="AC1353" t="s">
        <v>41</v>
      </c>
      <c r="AD1353" t="s">
        <v>41</v>
      </c>
      <c r="AE1353" t="s">
        <v>41</v>
      </c>
      <c r="AF1353" t="s">
        <v>41</v>
      </c>
      <c r="AK1353"/>
    </row>
    <row r="1354" spans="1:38" x14ac:dyDescent="0.25">
      <c r="A1354" t="s">
        <v>42</v>
      </c>
      <c r="B1354">
        <v>46048.823703703703</v>
      </c>
      <c r="C1354">
        <v>92653</v>
      </c>
      <c r="D1354" t="s">
        <v>843</v>
      </c>
      <c r="E1354">
        <v>4507350</v>
      </c>
      <c r="F1354">
        <v>2310135</v>
      </c>
      <c r="G1354" t="s">
        <v>1052</v>
      </c>
      <c r="H1354" t="s">
        <v>1514</v>
      </c>
      <c r="I1354">
        <v>64.3</v>
      </c>
      <c r="J1354" t="b">
        <v>1</v>
      </c>
      <c r="K1354">
        <v>0.16075</v>
      </c>
      <c r="L1354">
        <v>2310136</v>
      </c>
      <c r="M1354" t="s">
        <v>1053</v>
      </c>
      <c r="N1354">
        <v>400</v>
      </c>
      <c r="O1354">
        <v>400</v>
      </c>
      <c r="P1354"/>
      <c r="Q1354">
        <v>134974</v>
      </c>
      <c r="R1354">
        <v>1</v>
      </c>
      <c r="S1354" t="s">
        <v>40</v>
      </c>
      <c r="T1354">
        <v>261</v>
      </c>
      <c r="W1354"/>
      <c r="Y1354" t="s">
        <v>377</v>
      </c>
      <c r="Z1354" t="s">
        <v>378</v>
      </c>
      <c r="AA1354" t="s">
        <v>379</v>
      </c>
      <c r="AB1354" t="s">
        <v>1079</v>
      </c>
      <c r="AC1354" t="s">
        <v>41</v>
      </c>
      <c r="AD1354" t="s">
        <v>41</v>
      </c>
      <c r="AE1354" t="s">
        <v>41</v>
      </c>
      <c r="AF1354" t="s">
        <v>41</v>
      </c>
      <c r="AK1354"/>
    </row>
    <row r="1355" spans="1:38" x14ac:dyDescent="0.25">
      <c r="A1355" t="s">
        <v>37</v>
      </c>
      <c r="B1355">
        <v>46049.052210648151</v>
      </c>
      <c r="C1355">
        <v>90476</v>
      </c>
      <c r="D1355" t="s">
        <v>843</v>
      </c>
      <c r="E1355">
        <v>4509644</v>
      </c>
      <c r="F1355">
        <v>2104647</v>
      </c>
      <c r="G1355" t="s">
        <v>1520</v>
      </c>
      <c r="H1355" t="s">
        <v>1464</v>
      </c>
      <c r="I1355">
        <v>3</v>
      </c>
      <c r="J1355" t="b">
        <v>1</v>
      </c>
      <c r="K1355">
        <v>0.01</v>
      </c>
      <c r="L1355">
        <v>2105984</v>
      </c>
      <c r="M1355" t="s">
        <v>1521</v>
      </c>
      <c r="N1355">
        <v>300</v>
      </c>
      <c r="O1355">
        <v>236</v>
      </c>
      <c r="P1355"/>
      <c r="Q1355">
        <v>134975</v>
      </c>
      <c r="R1355">
        <v>1</v>
      </c>
      <c r="S1355" t="s">
        <v>40</v>
      </c>
      <c r="T1355">
        <v>261</v>
      </c>
      <c r="W1355"/>
      <c r="Y1355" t="s">
        <v>377</v>
      </c>
      <c r="Z1355" t="s">
        <v>378</v>
      </c>
      <c r="AA1355" t="s">
        <v>379</v>
      </c>
      <c r="AB1355" t="s">
        <v>1522</v>
      </c>
      <c r="AC1355" t="s">
        <v>41</v>
      </c>
      <c r="AD1355" t="s">
        <v>41</v>
      </c>
      <c r="AE1355" t="s">
        <v>41</v>
      </c>
      <c r="AF1355" t="s">
        <v>41</v>
      </c>
      <c r="AK1355"/>
    </row>
    <row r="1356" spans="1:38" x14ac:dyDescent="0.25">
      <c r="A1356" t="s">
        <v>47</v>
      </c>
      <c r="B1356">
        <v>46049.190613425926</v>
      </c>
      <c r="C1356">
        <v>92108</v>
      </c>
      <c r="D1356" t="s">
        <v>843</v>
      </c>
      <c r="E1356">
        <v>4498434</v>
      </c>
      <c r="F1356">
        <v>154492</v>
      </c>
      <c r="G1356" t="s">
        <v>1523</v>
      </c>
      <c r="H1356" t="s">
        <v>1300</v>
      </c>
      <c r="I1356">
        <v>31.5</v>
      </c>
      <c r="J1356" t="b">
        <v>1</v>
      </c>
      <c r="K1356">
        <v>0.29166666666666669</v>
      </c>
      <c r="L1356">
        <v>154493</v>
      </c>
      <c r="M1356" t="s">
        <v>1524</v>
      </c>
      <c r="N1356">
        <v>108</v>
      </c>
      <c r="O1356">
        <v>104</v>
      </c>
      <c r="P1356" t="s">
        <v>681</v>
      </c>
      <c r="Q1356">
        <v>0</v>
      </c>
      <c r="R1356">
        <v>0</v>
      </c>
      <c r="S1356" t="s">
        <v>40</v>
      </c>
      <c r="T1356">
        <v>261</v>
      </c>
      <c r="W1356"/>
      <c r="Y1356" t="s">
        <v>679</v>
      </c>
      <c r="Z1356" t="s">
        <v>378</v>
      </c>
      <c r="AA1356" t="s">
        <v>379</v>
      </c>
      <c r="AB1356" t="s">
        <v>792</v>
      </c>
      <c r="AC1356" t="s">
        <v>41</v>
      </c>
      <c r="AD1356" t="s">
        <v>41</v>
      </c>
      <c r="AE1356" t="s">
        <v>41</v>
      </c>
      <c r="AF1356" t="s">
        <v>41</v>
      </c>
      <c r="AK1356"/>
    </row>
    <row r="1357" spans="1:38" x14ac:dyDescent="0.25">
      <c r="A1357" t="s">
        <v>43</v>
      </c>
      <c r="B1357">
        <v>46049.326747685183</v>
      </c>
      <c r="C1357">
        <v>89271</v>
      </c>
      <c r="D1357" t="s">
        <v>459</v>
      </c>
      <c r="E1357">
        <v>4495191</v>
      </c>
      <c r="F1357">
        <v>129839</v>
      </c>
      <c r="G1357" t="s">
        <v>1266</v>
      </c>
      <c r="H1357" t="s">
        <v>1514</v>
      </c>
      <c r="I1357">
        <v>10</v>
      </c>
      <c r="J1357" t="b">
        <v>1</v>
      </c>
      <c r="K1357">
        <v>1.25</v>
      </c>
      <c r="L1357">
        <v>129840</v>
      </c>
      <c r="M1357" t="s">
        <v>1267</v>
      </c>
      <c r="N1357">
        <v>8</v>
      </c>
      <c r="O1357">
        <v>8</v>
      </c>
      <c r="P1357"/>
      <c r="Q1357">
        <v>2301936</v>
      </c>
      <c r="R1357">
        <v>2</v>
      </c>
      <c r="S1357" t="s">
        <v>40</v>
      </c>
      <c r="T1357">
        <v>261</v>
      </c>
      <c r="U1357">
        <v>147664</v>
      </c>
      <c r="V1357">
        <v>48</v>
      </c>
      <c r="W1357" t="s">
        <v>40</v>
      </c>
      <c r="X1357">
        <v>261</v>
      </c>
      <c r="Y1357" t="s">
        <v>377</v>
      </c>
      <c r="Z1357" t="s">
        <v>378</v>
      </c>
      <c r="AA1357" t="s">
        <v>384</v>
      </c>
      <c r="AB1357" t="s">
        <v>384</v>
      </c>
      <c r="AC1357" t="s">
        <v>41</v>
      </c>
      <c r="AD1357" t="s">
        <v>41</v>
      </c>
      <c r="AE1357" t="s">
        <v>41</v>
      </c>
      <c r="AF1357" t="s">
        <v>41</v>
      </c>
      <c r="AK1357"/>
    </row>
    <row r="1358" spans="1:38" x14ac:dyDescent="0.25">
      <c r="A1358" t="s">
        <v>38</v>
      </c>
      <c r="B1358">
        <v>46049.645682870374</v>
      </c>
      <c r="C1358">
        <v>91743</v>
      </c>
      <c r="D1358" t="s">
        <v>459</v>
      </c>
      <c r="E1358">
        <v>4507470</v>
      </c>
      <c r="F1358">
        <v>156292</v>
      </c>
      <c r="G1358" t="s">
        <v>46</v>
      </c>
      <c r="H1358" t="s">
        <v>1448</v>
      </c>
      <c r="I1358">
        <v>14</v>
      </c>
      <c r="J1358" t="b">
        <v>1</v>
      </c>
      <c r="K1358">
        <v>3.5</v>
      </c>
      <c r="L1358">
        <v>156291</v>
      </c>
      <c r="M1358" t="s">
        <v>433</v>
      </c>
      <c r="N1358">
        <v>4</v>
      </c>
      <c r="O1358">
        <v>8</v>
      </c>
      <c r="P1358"/>
      <c r="Q1358">
        <v>2301936</v>
      </c>
      <c r="R1358">
        <v>1</v>
      </c>
      <c r="S1358" t="s">
        <v>40</v>
      </c>
      <c r="T1358">
        <v>261</v>
      </c>
      <c r="U1358">
        <v>147664</v>
      </c>
      <c r="V1358">
        <v>24</v>
      </c>
      <c r="W1358" t="s">
        <v>40</v>
      </c>
      <c r="X1358">
        <v>261</v>
      </c>
      <c r="Y1358" t="s">
        <v>377</v>
      </c>
      <c r="Z1358" t="s">
        <v>378</v>
      </c>
      <c r="AA1358" t="s">
        <v>379</v>
      </c>
      <c r="AB1358" t="s">
        <v>384</v>
      </c>
      <c r="AC1358" t="s">
        <v>41</v>
      </c>
      <c r="AD1358" t="s">
        <v>41</v>
      </c>
      <c r="AE1358" t="s">
        <v>41</v>
      </c>
      <c r="AF1358" t="s">
        <v>41</v>
      </c>
      <c r="AK1358"/>
    </row>
    <row r="1359" spans="1:38" x14ac:dyDescent="0.25">
      <c r="A1359" t="s">
        <v>38</v>
      </c>
      <c r="B1359">
        <v>46049.647013888891</v>
      </c>
      <c r="C1359">
        <v>91743</v>
      </c>
      <c r="D1359" t="s">
        <v>459</v>
      </c>
      <c r="E1359">
        <v>4507469</v>
      </c>
      <c r="F1359">
        <v>156292</v>
      </c>
      <c r="G1359" t="s">
        <v>46</v>
      </c>
      <c r="H1359" t="s">
        <v>1448</v>
      </c>
      <c r="I1359">
        <v>14</v>
      </c>
      <c r="J1359" t="b">
        <v>1</v>
      </c>
      <c r="K1359">
        <v>3.5</v>
      </c>
      <c r="L1359">
        <v>156291</v>
      </c>
      <c r="M1359" t="s">
        <v>433</v>
      </c>
      <c r="N1359">
        <v>4</v>
      </c>
      <c r="O1359">
        <v>4</v>
      </c>
      <c r="P1359"/>
      <c r="Q1359">
        <v>2301936</v>
      </c>
      <c r="R1359">
        <v>1</v>
      </c>
      <c r="S1359" t="s">
        <v>40</v>
      </c>
      <c r="T1359">
        <v>261</v>
      </c>
      <c r="U1359">
        <v>147664</v>
      </c>
      <c r="V1359">
        <v>24</v>
      </c>
      <c r="W1359" t="s">
        <v>40</v>
      </c>
      <c r="X1359">
        <v>261</v>
      </c>
      <c r="Y1359" t="s">
        <v>377</v>
      </c>
      <c r="Z1359" t="s">
        <v>378</v>
      </c>
      <c r="AA1359" t="s">
        <v>379</v>
      </c>
      <c r="AB1359" t="s">
        <v>384</v>
      </c>
      <c r="AC1359" t="s">
        <v>41</v>
      </c>
      <c r="AD1359" t="s">
        <v>41</v>
      </c>
      <c r="AE1359" t="s">
        <v>41</v>
      </c>
      <c r="AF1359" t="s">
        <v>41</v>
      </c>
      <c r="AK1359"/>
    </row>
    <row r="1360" spans="1:38" x14ac:dyDescent="0.25">
      <c r="A1360" t="s">
        <v>43</v>
      </c>
      <c r="B1360">
        <v>46050.11619212963</v>
      </c>
      <c r="C1360">
        <v>89272</v>
      </c>
      <c r="D1360" t="s">
        <v>682</v>
      </c>
      <c r="E1360">
        <v>4495190</v>
      </c>
      <c r="F1360">
        <v>129839</v>
      </c>
      <c r="G1360" t="s">
        <v>1266</v>
      </c>
      <c r="H1360" t="s">
        <v>1525</v>
      </c>
      <c r="I1360">
        <v>5</v>
      </c>
      <c r="J1360" t="b">
        <v>1</v>
      </c>
      <c r="K1360">
        <v>0.625</v>
      </c>
      <c r="L1360">
        <v>129840</v>
      </c>
      <c r="M1360" t="s">
        <v>1267</v>
      </c>
      <c r="N1360">
        <v>8</v>
      </c>
      <c r="O1360">
        <v>8</v>
      </c>
      <c r="P1360"/>
      <c r="Q1360">
        <v>134905</v>
      </c>
      <c r="R1360">
        <v>1</v>
      </c>
      <c r="S1360" t="s">
        <v>40</v>
      </c>
      <c r="T1360">
        <v>261</v>
      </c>
      <c r="U1360">
        <v>147664</v>
      </c>
      <c r="V1360">
        <v>48</v>
      </c>
      <c r="W1360" t="s">
        <v>40</v>
      </c>
      <c r="X1360">
        <v>261</v>
      </c>
      <c r="Y1360" t="s">
        <v>377</v>
      </c>
      <c r="Z1360" t="s">
        <v>378</v>
      </c>
      <c r="AA1360" t="s">
        <v>379</v>
      </c>
      <c r="AB1360" t="s">
        <v>384</v>
      </c>
      <c r="AC1360" t="s">
        <v>379</v>
      </c>
      <c r="AD1360" t="s">
        <v>384</v>
      </c>
      <c r="AE1360" t="s">
        <v>41</v>
      </c>
      <c r="AF1360" t="s">
        <v>41</v>
      </c>
      <c r="AI1360">
        <v>134905</v>
      </c>
      <c r="AJ1360">
        <v>1</v>
      </c>
      <c r="AK1360" t="s">
        <v>40</v>
      </c>
      <c r="AL1360">
        <v>261</v>
      </c>
    </row>
    <row r="1361" spans="1:38" x14ac:dyDescent="0.25">
      <c r="A1361" t="s">
        <v>38</v>
      </c>
      <c r="B1361">
        <v>46050.59747685185</v>
      </c>
      <c r="C1361">
        <v>91746</v>
      </c>
      <c r="D1361" t="s">
        <v>373</v>
      </c>
      <c r="E1361">
        <v>4507465</v>
      </c>
      <c r="F1361">
        <v>155446</v>
      </c>
      <c r="G1361" t="s">
        <v>785</v>
      </c>
      <c r="H1361" t="s">
        <v>1396</v>
      </c>
      <c r="I1361">
        <v>7</v>
      </c>
      <c r="J1361" t="b">
        <v>1</v>
      </c>
      <c r="K1361">
        <v>2.3333333333333335</v>
      </c>
      <c r="L1361">
        <v>155444</v>
      </c>
      <c r="M1361" t="s">
        <v>786</v>
      </c>
      <c r="N1361">
        <v>3</v>
      </c>
      <c r="O1361">
        <v>3</v>
      </c>
      <c r="P1361"/>
      <c r="Q1361">
        <v>155687</v>
      </c>
      <c r="R1361">
        <v>1</v>
      </c>
      <c r="S1361" t="s">
        <v>40</v>
      </c>
      <c r="T1361">
        <v>261</v>
      </c>
      <c r="U1361">
        <v>147664</v>
      </c>
      <c r="V1361">
        <v>24</v>
      </c>
      <c r="W1361" t="s">
        <v>40</v>
      </c>
      <c r="X1361">
        <v>261</v>
      </c>
      <c r="Y1361" t="s">
        <v>377</v>
      </c>
      <c r="Z1361" t="s">
        <v>378</v>
      </c>
      <c r="AA1361" t="s">
        <v>379</v>
      </c>
      <c r="AB1361" t="s">
        <v>622</v>
      </c>
      <c r="AC1361" t="s">
        <v>41</v>
      </c>
      <c r="AD1361" t="s">
        <v>41</v>
      </c>
      <c r="AE1361" t="s">
        <v>41</v>
      </c>
      <c r="AF1361" t="s">
        <v>41</v>
      </c>
      <c r="AK1361"/>
    </row>
    <row r="1362" spans="1:38" x14ac:dyDescent="0.25">
      <c r="A1362" t="s">
        <v>38</v>
      </c>
      <c r="B1362">
        <v>46050.598182870373</v>
      </c>
      <c r="C1362">
        <v>91746</v>
      </c>
      <c r="D1362" t="s">
        <v>373</v>
      </c>
      <c r="E1362">
        <v>4507466</v>
      </c>
      <c r="F1362">
        <v>155446</v>
      </c>
      <c r="G1362" t="s">
        <v>785</v>
      </c>
      <c r="H1362" t="s">
        <v>1396</v>
      </c>
      <c r="I1362">
        <v>7</v>
      </c>
      <c r="J1362" t="b">
        <v>1</v>
      </c>
      <c r="K1362">
        <v>2.3333333333333335</v>
      </c>
      <c r="L1362">
        <v>155444</v>
      </c>
      <c r="M1362" t="s">
        <v>786</v>
      </c>
      <c r="N1362">
        <v>3</v>
      </c>
      <c r="O1362">
        <v>3</v>
      </c>
      <c r="P1362"/>
      <c r="Q1362">
        <v>155687</v>
      </c>
      <c r="R1362">
        <v>1</v>
      </c>
      <c r="S1362" t="s">
        <v>40</v>
      </c>
      <c r="T1362">
        <v>261</v>
      </c>
      <c r="U1362">
        <v>147664</v>
      </c>
      <c r="V1362">
        <v>24</v>
      </c>
      <c r="W1362" t="s">
        <v>40</v>
      </c>
      <c r="X1362">
        <v>261</v>
      </c>
      <c r="Y1362" t="s">
        <v>377</v>
      </c>
      <c r="Z1362" t="s">
        <v>378</v>
      </c>
      <c r="AA1362" t="s">
        <v>379</v>
      </c>
      <c r="AB1362" t="s">
        <v>622</v>
      </c>
      <c r="AC1362" t="s">
        <v>41</v>
      </c>
      <c r="AD1362" t="s">
        <v>41</v>
      </c>
      <c r="AE1362" t="s">
        <v>41</v>
      </c>
      <c r="AF1362" t="s">
        <v>41</v>
      </c>
      <c r="AK1362"/>
    </row>
    <row r="1363" spans="1:38" x14ac:dyDescent="0.25">
      <c r="A1363" t="s">
        <v>43</v>
      </c>
      <c r="B1363">
        <v>46050.713784722226</v>
      </c>
      <c r="C1363">
        <v>89273</v>
      </c>
      <c r="D1363" t="s">
        <v>373</v>
      </c>
      <c r="E1363">
        <v>4487640</v>
      </c>
      <c r="F1363">
        <v>129839</v>
      </c>
      <c r="G1363" t="s">
        <v>1266</v>
      </c>
      <c r="H1363" t="s">
        <v>1526</v>
      </c>
      <c r="I1363">
        <v>10</v>
      </c>
      <c r="J1363" t="b">
        <v>1</v>
      </c>
      <c r="K1363">
        <v>1.25</v>
      </c>
      <c r="L1363">
        <v>129840</v>
      </c>
      <c r="M1363" t="s">
        <v>1267</v>
      </c>
      <c r="N1363">
        <v>8</v>
      </c>
      <c r="O1363">
        <v>8</v>
      </c>
      <c r="P1363"/>
      <c r="Q1363">
        <v>0</v>
      </c>
      <c r="R1363">
        <v>0</v>
      </c>
      <c r="S1363" t="s">
        <v>40</v>
      </c>
      <c r="T1363">
        <v>261</v>
      </c>
      <c r="W1363"/>
      <c r="Y1363" t="s">
        <v>377</v>
      </c>
      <c r="Z1363" t="s">
        <v>378</v>
      </c>
      <c r="AA1363" t="s">
        <v>379</v>
      </c>
      <c r="AB1363" t="s">
        <v>400</v>
      </c>
      <c r="AC1363" t="s">
        <v>41</v>
      </c>
      <c r="AD1363" t="s">
        <v>41</v>
      </c>
      <c r="AE1363" t="s">
        <v>41</v>
      </c>
      <c r="AF1363" t="s">
        <v>41</v>
      </c>
      <c r="AK1363"/>
    </row>
    <row r="1364" spans="1:38" x14ac:dyDescent="0.25">
      <c r="A1364" t="s">
        <v>39</v>
      </c>
      <c r="B1364">
        <v>46050.804120370369</v>
      </c>
      <c r="C1364">
        <v>92656</v>
      </c>
      <c r="D1364" t="s">
        <v>531</v>
      </c>
      <c r="E1364">
        <v>4507352</v>
      </c>
      <c r="F1364">
        <v>2310135</v>
      </c>
      <c r="G1364" t="s">
        <v>1052</v>
      </c>
      <c r="H1364" t="s">
        <v>1526</v>
      </c>
      <c r="I1364">
        <v>64.3</v>
      </c>
      <c r="J1364" t="b">
        <v>1</v>
      </c>
      <c r="K1364">
        <v>0.1572127139364303</v>
      </c>
      <c r="L1364">
        <v>2310136</v>
      </c>
      <c r="M1364" t="s">
        <v>1053</v>
      </c>
      <c r="N1364">
        <v>409</v>
      </c>
      <c r="O1364">
        <v>400</v>
      </c>
      <c r="P1364"/>
      <c r="Q1364">
        <v>134974</v>
      </c>
      <c r="R1364">
        <v>1</v>
      </c>
      <c r="S1364" t="s">
        <v>40</v>
      </c>
      <c r="T1364">
        <v>261</v>
      </c>
      <c r="W1364"/>
      <c r="Y1364" t="s">
        <v>377</v>
      </c>
      <c r="Z1364" t="s">
        <v>378</v>
      </c>
      <c r="AA1364" t="s">
        <v>379</v>
      </c>
      <c r="AB1364" t="s">
        <v>907</v>
      </c>
      <c r="AC1364" t="s">
        <v>41</v>
      </c>
      <c r="AD1364" t="s">
        <v>41</v>
      </c>
      <c r="AE1364" t="s">
        <v>41</v>
      </c>
      <c r="AF1364" t="s">
        <v>41</v>
      </c>
      <c r="AK1364"/>
    </row>
    <row r="1365" spans="1:38" x14ac:dyDescent="0.25">
      <c r="A1365" t="s">
        <v>44</v>
      </c>
      <c r="B1365">
        <v>46050.805636574078</v>
      </c>
      <c r="C1365">
        <v>91744</v>
      </c>
      <c r="D1365" t="s">
        <v>531</v>
      </c>
      <c r="E1365">
        <v>4510055</v>
      </c>
      <c r="F1365">
        <v>156316</v>
      </c>
      <c r="G1365" t="s">
        <v>899</v>
      </c>
      <c r="H1365" t="s">
        <v>1464</v>
      </c>
      <c r="I1365">
        <v>7</v>
      </c>
      <c r="J1365" t="b">
        <v>0</v>
      </c>
      <c r="K1365">
        <v>1.75</v>
      </c>
      <c r="L1365">
        <v>156315</v>
      </c>
      <c r="M1365" t="s">
        <v>901</v>
      </c>
      <c r="N1365">
        <v>4</v>
      </c>
      <c r="O1365">
        <v>4</v>
      </c>
      <c r="P1365"/>
      <c r="Q1365">
        <v>134906</v>
      </c>
      <c r="R1365">
        <v>1</v>
      </c>
      <c r="S1365" t="s">
        <v>40</v>
      </c>
      <c r="T1365">
        <v>261</v>
      </c>
      <c r="U1365">
        <v>147664</v>
      </c>
      <c r="V1365">
        <v>24</v>
      </c>
      <c r="W1365" t="s">
        <v>40</v>
      </c>
      <c r="X1365">
        <v>261</v>
      </c>
      <c r="Y1365" t="s">
        <v>377</v>
      </c>
      <c r="Z1365" t="s">
        <v>378</v>
      </c>
      <c r="AA1365" t="s">
        <v>379</v>
      </c>
      <c r="AB1365" t="s">
        <v>384</v>
      </c>
      <c r="AC1365" t="s">
        <v>41</v>
      </c>
      <c r="AD1365" t="s">
        <v>41</v>
      </c>
      <c r="AE1365" t="s">
        <v>41</v>
      </c>
      <c r="AF1365" t="s">
        <v>41</v>
      </c>
      <c r="AK1365"/>
    </row>
    <row r="1366" spans="1:38" x14ac:dyDescent="0.25">
      <c r="A1366" t="s">
        <v>44</v>
      </c>
      <c r="B1366">
        <v>46050.813680555555</v>
      </c>
      <c r="C1366">
        <v>91744</v>
      </c>
      <c r="D1366" t="s">
        <v>531</v>
      </c>
      <c r="E1366">
        <v>4510055</v>
      </c>
      <c r="F1366">
        <v>156316</v>
      </c>
      <c r="H1366" t="s">
        <v>1464</v>
      </c>
      <c r="I1366">
        <v>7</v>
      </c>
      <c r="J1366" t="b">
        <v>1</v>
      </c>
      <c r="K1366">
        <v>1.75</v>
      </c>
      <c r="L1366">
        <v>156315</v>
      </c>
      <c r="M1366" t="s">
        <v>901</v>
      </c>
      <c r="N1366">
        <v>4</v>
      </c>
      <c r="O1366">
        <v>4</v>
      </c>
      <c r="P1366"/>
      <c r="Q1366">
        <v>134906</v>
      </c>
      <c r="R1366">
        <v>1</v>
      </c>
      <c r="S1366" t="s">
        <v>40</v>
      </c>
      <c r="T1366">
        <v>261</v>
      </c>
      <c r="U1366">
        <v>147664</v>
      </c>
      <c r="V1366">
        <v>24</v>
      </c>
      <c r="W1366" t="s">
        <v>40</v>
      </c>
      <c r="X1366">
        <v>261</v>
      </c>
      <c r="Y1366" t="s">
        <v>377</v>
      </c>
      <c r="Z1366" t="s">
        <v>378</v>
      </c>
      <c r="AA1366" t="s">
        <v>379</v>
      </c>
      <c r="AB1366" t="s">
        <v>384</v>
      </c>
      <c r="AC1366" t="s">
        <v>41</v>
      </c>
      <c r="AD1366" t="s">
        <v>41</v>
      </c>
      <c r="AE1366" t="s">
        <v>41</v>
      </c>
      <c r="AF1366" t="s">
        <v>41</v>
      </c>
      <c r="AK1366"/>
    </row>
    <row r="1367" spans="1:38" x14ac:dyDescent="0.25">
      <c r="A1367" t="s">
        <v>44</v>
      </c>
      <c r="B1367">
        <v>46050.815324074072</v>
      </c>
      <c r="C1367">
        <v>91744</v>
      </c>
      <c r="D1367" t="s">
        <v>531</v>
      </c>
      <c r="E1367">
        <v>4510055</v>
      </c>
      <c r="F1367">
        <v>156316</v>
      </c>
      <c r="G1367" t="s">
        <v>899</v>
      </c>
      <c r="H1367" t="s">
        <v>1464</v>
      </c>
      <c r="I1367">
        <v>7</v>
      </c>
      <c r="J1367" t="b">
        <v>0</v>
      </c>
      <c r="K1367">
        <v>1.75</v>
      </c>
      <c r="L1367">
        <v>156315</v>
      </c>
      <c r="M1367" t="s">
        <v>901</v>
      </c>
      <c r="N1367">
        <v>4</v>
      </c>
      <c r="O1367">
        <v>4</v>
      </c>
      <c r="P1367"/>
      <c r="Q1367">
        <v>134906</v>
      </c>
      <c r="R1367">
        <v>1</v>
      </c>
      <c r="S1367" t="s">
        <v>40</v>
      </c>
      <c r="T1367">
        <v>261</v>
      </c>
      <c r="U1367">
        <v>147664</v>
      </c>
      <c r="V1367">
        <v>24</v>
      </c>
      <c r="W1367" t="s">
        <v>40</v>
      </c>
      <c r="X1367">
        <v>261</v>
      </c>
      <c r="Y1367" t="s">
        <v>377</v>
      </c>
      <c r="Z1367" t="s">
        <v>378</v>
      </c>
      <c r="AA1367" t="s">
        <v>379</v>
      </c>
      <c r="AB1367" t="s">
        <v>384</v>
      </c>
      <c r="AC1367" t="s">
        <v>41</v>
      </c>
      <c r="AD1367" t="s">
        <v>41</v>
      </c>
      <c r="AE1367" t="s">
        <v>41</v>
      </c>
      <c r="AF1367" t="s">
        <v>41</v>
      </c>
      <c r="AK1367"/>
    </row>
    <row r="1368" spans="1:38" x14ac:dyDescent="0.25">
      <c r="A1368" t="s">
        <v>48</v>
      </c>
      <c r="B1368">
        <v>46050.825231481482</v>
      </c>
      <c r="C1368">
        <v>92654</v>
      </c>
      <c r="D1368" t="s">
        <v>531</v>
      </c>
      <c r="E1368">
        <v>4507351</v>
      </c>
      <c r="F1368">
        <v>2310135</v>
      </c>
      <c r="G1368" t="s">
        <v>1052</v>
      </c>
      <c r="H1368" t="s">
        <v>1525</v>
      </c>
      <c r="I1368">
        <v>64.3</v>
      </c>
      <c r="J1368" t="b">
        <v>1</v>
      </c>
      <c r="K1368">
        <v>0.15798525798525798</v>
      </c>
      <c r="L1368">
        <v>2310136</v>
      </c>
      <c r="M1368" t="s">
        <v>1053</v>
      </c>
      <c r="N1368">
        <v>407</v>
      </c>
      <c r="O1368">
        <v>401</v>
      </c>
      <c r="P1368"/>
      <c r="Q1368">
        <v>134974</v>
      </c>
      <c r="R1368">
        <v>1</v>
      </c>
      <c r="S1368" t="s">
        <v>40</v>
      </c>
      <c r="T1368">
        <v>261</v>
      </c>
      <c r="W1368"/>
      <c r="Y1368" t="s">
        <v>377</v>
      </c>
      <c r="Z1368" t="s">
        <v>378</v>
      </c>
      <c r="AA1368" t="s">
        <v>379</v>
      </c>
      <c r="AB1368" t="s">
        <v>1157</v>
      </c>
      <c r="AC1368" t="s">
        <v>41</v>
      </c>
      <c r="AD1368" t="s">
        <v>41</v>
      </c>
      <c r="AE1368" t="s">
        <v>41</v>
      </c>
      <c r="AF1368" t="s">
        <v>41</v>
      </c>
      <c r="AK1368"/>
    </row>
    <row r="1369" spans="1:38" x14ac:dyDescent="0.25">
      <c r="A1369" t="s">
        <v>44</v>
      </c>
      <c r="B1369">
        <v>46050.826840277776</v>
      </c>
      <c r="C1369">
        <v>91744</v>
      </c>
      <c r="D1369" t="s">
        <v>531</v>
      </c>
      <c r="E1369">
        <v>4510054</v>
      </c>
      <c r="F1369">
        <v>156316</v>
      </c>
      <c r="G1369" t="s">
        <v>899</v>
      </c>
      <c r="H1369" t="s">
        <v>1464</v>
      </c>
      <c r="I1369">
        <v>7</v>
      </c>
      <c r="J1369" t="b">
        <v>1</v>
      </c>
      <c r="K1369">
        <v>1.75</v>
      </c>
      <c r="L1369">
        <v>156315</v>
      </c>
      <c r="M1369" t="s">
        <v>901</v>
      </c>
      <c r="N1369">
        <v>4</v>
      </c>
      <c r="O1369">
        <v>4</v>
      </c>
      <c r="P1369"/>
      <c r="Q1369">
        <v>134906</v>
      </c>
      <c r="R1369">
        <v>1</v>
      </c>
      <c r="S1369" t="s">
        <v>40</v>
      </c>
      <c r="T1369">
        <v>261</v>
      </c>
      <c r="U1369">
        <v>147664</v>
      </c>
      <c r="V1369">
        <v>24</v>
      </c>
      <c r="W1369" t="s">
        <v>40</v>
      </c>
      <c r="X1369">
        <v>261</v>
      </c>
      <c r="Y1369" t="s">
        <v>377</v>
      </c>
      <c r="Z1369" t="s">
        <v>378</v>
      </c>
      <c r="AA1369" t="s">
        <v>379</v>
      </c>
      <c r="AB1369" t="s">
        <v>384</v>
      </c>
      <c r="AC1369" t="s">
        <v>41</v>
      </c>
      <c r="AD1369" t="s">
        <v>41</v>
      </c>
      <c r="AE1369" t="s">
        <v>41</v>
      </c>
      <c r="AF1369" t="s">
        <v>41</v>
      </c>
      <c r="AK1369"/>
    </row>
    <row r="1370" spans="1:38" x14ac:dyDescent="0.25">
      <c r="A1370" t="s">
        <v>44</v>
      </c>
      <c r="B1370">
        <v>46050.828240740739</v>
      </c>
      <c r="C1370">
        <v>91744</v>
      </c>
      <c r="D1370" t="s">
        <v>531</v>
      </c>
      <c r="E1370">
        <v>4510055</v>
      </c>
      <c r="F1370">
        <v>156316</v>
      </c>
      <c r="G1370" t="s">
        <v>899</v>
      </c>
      <c r="H1370" t="s">
        <v>1464</v>
      </c>
      <c r="I1370">
        <v>7</v>
      </c>
      <c r="J1370" t="b">
        <v>1</v>
      </c>
      <c r="K1370">
        <v>1.75</v>
      </c>
      <c r="L1370">
        <v>156315</v>
      </c>
      <c r="M1370" t="s">
        <v>901</v>
      </c>
      <c r="N1370">
        <v>4</v>
      </c>
      <c r="O1370">
        <v>4</v>
      </c>
      <c r="P1370"/>
      <c r="Q1370">
        <v>134906</v>
      </c>
      <c r="R1370">
        <v>1</v>
      </c>
      <c r="S1370" t="s">
        <v>40</v>
      </c>
      <c r="T1370">
        <v>261</v>
      </c>
      <c r="U1370">
        <v>147664</v>
      </c>
      <c r="V1370">
        <v>24</v>
      </c>
      <c r="W1370" t="s">
        <v>40</v>
      </c>
      <c r="X1370">
        <v>261</v>
      </c>
      <c r="Y1370" t="s">
        <v>377</v>
      </c>
      <c r="Z1370" t="s">
        <v>378</v>
      </c>
      <c r="AA1370" t="s">
        <v>379</v>
      </c>
      <c r="AB1370" t="s">
        <v>384</v>
      </c>
      <c r="AC1370" t="s">
        <v>41</v>
      </c>
      <c r="AD1370" t="s">
        <v>41</v>
      </c>
      <c r="AE1370" t="s">
        <v>41</v>
      </c>
      <c r="AF1370" t="s">
        <v>41</v>
      </c>
      <c r="AK1370"/>
    </row>
    <row r="1371" spans="1:38" x14ac:dyDescent="0.25">
      <c r="A1371" t="s">
        <v>47</v>
      </c>
      <c r="B1371">
        <v>46051.218043981484</v>
      </c>
      <c r="C1371">
        <v>90477</v>
      </c>
      <c r="D1371" t="s">
        <v>531</v>
      </c>
      <c r="E1371">
        <v>4494524</v>
      </c>
      <c r="F1371">
        <v>2104646</v>
      </c>
      <c r="G1371" t="s">
        <v>1527</v>
      </c>
      <c r="H1371" t="s">
        <v>1464</v>
      </c>
      <c r="I1371">
        <v>3</v>
      </c>
      <c r="J1371" t="b">
        <v>1</v>
      </c>
      <c r="K1371">
        <v>1.0526315789473684E-2</v>
      </c>
      <c r="L1371">
        <v>2105983</v>
      </c>
      <c r="M1371" t="s">
        <v>1528</v>
      </c>
      <c r="N1371">
        <v>285</v>
      </c>
      <c r="O1371">
        <v>306</v>
      </c>
      <c r="P1371"/>
      <c r="Q1371">
        <v>134975</v>
      </c>
      <c r="R1371">
        <v>1</v>
      </c>
      <c r="S1371" t="s">
        <v>40</v>
      </c>
      <c r="T1371">
        <v>261</v>
      </c>
      <c r="W1371"/>
      <c r="Y1371" t="s">
        <v>377</v>
      </c>
      <c r="Z1371" t="s">
        <v>378</v>
      </c>
      <c r="AA1371" t="s">
        <v>379</v>
      </c>
      <c r="AB1371" t="s">
        <v>835</v>
      </c>
      <c r="AC1371" t="s">
        <v>41</v>
      </c>
      <c r="AD1371" t="s">
        <v>41</v>
      </c>
      <c r="AE1371" t="s">
        <v>41</v>
      </c>
      <c r="AF1371" t="s">
        <v>41</v>
      </c>
      <c r="AK1371"/>
    </row>
    <row r="1372" spans="1:38" x14ac:dyDescent="0.25">
      <c r="A1372" t="s">
        <v>43</v>
      </c>
      <c r="B1372">
        <v>46051.303854166668</v>
      </c>
      <c r="C1372">
        <v>89274</v>
      </c>
      <c r="D1372" t="s">
        <v>373</v>
      </c>
      <c r="E1372">
        <v>4487639</v>
      </c>
      <c r="F1372">
        <v>129839</v>
      </c>
      <c r="G1372" t="s">
        <v>1266</v>
      </c>
      <c r="H1372" t="s">
        <v>1529</v>
      </c>
      <c r="I1372">
        <v>10</v>
      </c>
      <c r="J1372" t="b">
        <v>1</v>
      </c>
      <c r="K1372">
        <v>1.25</v>
      </c>
      <c r="L1372">
        <v>129840</v>
      </c>
      <c r="M1372" t="s">
        <v>1267</v>
      </c>
      <c r="N1372">
        <v>8</v>
      </c>
      <c r="O1372">
        <v>8</v>
      </c>
      <c r="P1372"/>
      <c r="Q1372">
        <v>0</v>
      </c>
      <c r="R1372">
        <v>0</v>
      </c>
      <c r="S1372" t="s">
        <v>40</v>
      </c>
      <c r="T1372">
        <v>261</v>
      </c>
      <c r="W1372"/>
      <c r="Y1372" t="s">
        <v>377</v>
      </c>
      <c r="Z1372" t="s">
        <v>378</v>
      </c>
      <c r="AA1372" t="s">
        <v>379</v>
      </c>
      <c r="AB1372" t="s">
        <v>400</v>
      </c>
      <c r="AC1372" t="s">
        <v>41</v>
      </c>
      <c r="AD1372" t="s">
        <v>41</v>
      </c>
      <c r="AE1372" t="s">
        <v>41</v>
      </c>
      <c r="AF1372" t="s">
        <v>41</v>
      </c>
      <c r="AK1372"/>
    </row>
    <row r="1373" spans="1:38" x14ac:dyDescent="0.25">
      <c r="A1373" t="s">
        <v>42</v>
      </c>
      <c r="B1373">
        <v>46051.335555555554</v>
      </c>
      <c r="C1373">
        <v>91899</v>
      </c>
      <c r="D1373" t="s">
        <v>373</v>
      </c>
      <c r="E1373">
        <v>4510056</v>
      </c>
      <c r="F1373">
        <v>156316</v>
      </c>
      <c r="G1373" t="s">
        <v>899</v>
      </c>
      <c r="H1373" t="s">
        <v>1471</v>
      </c>
      <c r="I1373">
        <v>7</v>
      </c>
      <c r="J1373" t="b">
        <v>1</v>
      </c>
      <c r="K1373">
        <v>1.75</v>
      </c>
      <c r="L1373">
        <v>156315</v>
      </c>
      <c r="M1373" t="s">
        <v>901</v>
      </c>
      <c r="N1373">
        <v>4</v>
      </c>
      <c r="O1373">
        <v>4</v>
      </c>
      <c r="P1373"/>
      <c r="Q1373">
        <v>134905</v>
      </c>
      <c r="R1373">
        <v>1</v>
      </c>
      <c r="S1373" t="s">
        <v>40</v>
      </c>
      <c r="T1373">
        <v>261</v>
      </c>
      <c r="U1373">
        <v>147664</v>
      </c>
      <c r="V1373">
        <v>24</v>
      </c>
      <c r="W1373" t="s">
        <v>40</v>
      </c>
      <c r="X1373">
        <v>261</v>
      </c>
      <c r="Y1373" t="s">
        <v>377</v>
      </c>
      <c r="Z1373" t="s">
        <v>378</v>
      </c>
      <c r="AA1373" t="s">
        <v>379</v>
      </c>
      <c r="AB1373" t="s">
        <v>384</v>
      </c>
      <c r="AC1373" t="s">
        <v>41</v>
      </c>
      <c r="AD1373" t="s">
        <v>41</v>
      </c>
      <c r="AE1373" t="s">
        <v>41</v>
      </c>
      <c r="AF1373" t="s">
        <v>41</v>
      </c>
      <c r="AK1373"/>
    </row>
    <row r="1374" spans="1:38" x14ac:dyDescent="0.25">
      <c r="A1374" t="s">
        <v>42</v>
      </c>
      <c r="B1374">
        <v>46051.336157407408</v>
      </c>
      <c r="C1374">
        <v>91899</v>
      </c>
      <c r="D1374" t="s">
        <v>373</v>
      </c>
      <c r="E1374">
        <v>4510057</v>
      </c>
      <c r="F1374">
        <v>156316</v>
      </c>
      <c r="G1374" t="s">
        <v>899</v>
      </c>
      <c r="H1374" t="s">
        <v>1471</v>
      </c>
      <c r="I1374">
        <v>7</v>
      </c>
      <c r="J1374" t="b">
        <v>1</v>
      </c>
      <c r="K1374">
        <v>1.75</v>
      </c>
      <c r="L1374">
        <v>156315</v>
      </c>
      <c r="M1374" t="s">
        <v>901</v>
      </c>
      <c r="N1374">
        <v>4</v>
      </c>
      <c r="O1374">
        <v>4</v>
      </c>
      <c r="P1374"/>
      <c r="Q1374">
        <v>134905</v>
      </c>
      <c r="R1374">
        <v>1</v>
      </c>
      <c r="S1374" t="s">
        <v>40</v>
      </c>
      <c r="T1374">
        <v>261</v>
      </c>
      <c r="U1374">
        <v>147664</v>
      </c>
      <c r="V1374">
        <v>24</v>
      </c>
      <c r="W1374" t="s">
        <v>40</v>
      </c>
      <c r="X1374">
        <v>261</v>
      </c>
      <c r="Y1374" t="s">
        <v>377</v>
      </c>
      <c r="Z1374" t="s">
        <v>378</v>
      </c>
      <c r="AA1374" t="s">
        <v>379</v>
      </c>
      <c r="AB1374" t="s">
        <v>384</v>
      </c>
      <c r="AC1374" t="s">
        <v>41</v>
      </c>
      <c r="AD1374" t="s">
        <v>41</v>
      </c>
      <c r="AE1374" t="s">
        <v>41</v>
      </c>
      <c r="AF1374" t="s">
        <v>41</v>
      </c>
      <c r="AK1374"/>
    </row>
    <row r="1375" spans="1:38" x14ac:dyDescent="0.25">
      <c r="A1375" t="s">
        <v>45</v>
      </c>
      <c r="B1375">
        <v>46051.40997685185</v>
      </c>
      <c r="C1375">
        <v>92109</v>
      </c>
      <c r="D1375" t="s">
        <v>373</v>
      </c>
      <c r="E1375">
        <v>4504527</v>
      </c>
      <c r="F1375">
        <v>2104671</v>
      </c>
      <c r="G1375" t="s">
        <v>549</v>
      </c>
      <c r="H1375" t="s">
        <v>1331</v>
      </c>
      <c r="I1375">
        <v>33</v>
      </c>
      <c r="J1375" t="b">
        <v>1</v>
      </c>
      <c r="K1375">
        <v>0.27966101694915252</v>
      </c>
      <c r="L1375">
        <v>2106007</v>
      </c>
      <c r="M1375" t="s">
        <v>550</v>
      </c>
      <c r="N1375">
        <v>118</v>
      </c>
      <c r="O1375">
        <v>118</v>
      </c>
      <c r="P1375"/>
      <c r="Q1375">
        <v>0</v>
      </c>
      <c r="R1375">
        <v>0</v>
      </c>
      <c r="S1375" t="s">
        <v>40</v>
      </c>
      <c r="T1375">
        <v>261</v>
      </c>
      <c r="W1375"/>
      <c r="Y1375" t="s">
        <v>679</v>
      </c>
      <c r="Z1375" t="s">
        <v>378</v>
      </c>
      <c r="AA1375" t="s">
        <v>379</v>
      </c>
      <c r="AB1375" t="s">
        <v>772</v>
      </c>
      <c r="AC1375" t="s">
        <v>41</v>
      </c>
      <c r="AD1375" t="s">
        <v>41</v>
      </c>
      <c r="AE1375" t="s">
        <v>41</v>
      </c>
      <c r="AF1375" t="s">
        <v>41</v>
      </c>
      <c r="AK1375"/>
    </row>
    <row r="1376" spans="1:38" x14ac:dyDescent="0.25">
      <c r="A1376" t="s">
        <v>38</v>
      </c>
      <c r="B1376">
        <v>46051.446979166663</v>
      </c>
      <c r="C1376">
        <v>91741</v>
      </c>
      <c r="D1376" t="s">
        <v>373</v>
      </c>
      <c r="E1376">
        <v>4508452</v>
      </c>
      <c r="F1376">
        <v>160991</v>
      </c>
      <c r="G1376" t="s">
        <v>1507</v>
      </c>
      <c r="H1376" t="s">
        <v>1484</v>
      </c>
      <c r="I1376">
        <v>14</v>
      </c>
      <c r="J1376" t="b">
        <v>1</v>
      </c>
      <c r="K1376">
        <v>1.75</v>
      </c>
      <c r="L1376">
        <v>160988</v>
      </c>
      <c r="M1376" t="s">
        <v>1508</v>
      </c>
      <c r="N1376">
        <v>8</v>
      </c>
      <c r="O1376">
        <v>8</v>
      </c>
      <c r="P1376"/>
      <c r="Q1376">
        <v>134905</v>
      </c>
      <c r="R1376">
        <v>1</v>
      </c>
      <c r="S1376" t="s">
        <v>40</v>
      </c>
      <c r="T1376">
        <v>261</v>
      </c>
      <c r="U1376">
        <v>147664</v>
      </c>
      <c r="V1376">
        <v>48</v>
      </c>
      <c r="W1376" t="s">
        <v>40</v>
      </c>
      <c r="X1376">
        <v>261</v>
      </c>
      <c r="Y1376" t="s">
        <v>377</v>
      </c>
      <c r="Z1376" t="s">
        <v>378</v>
      </c>
      <c r="AA1376" t="s">
        <v>384</v>
      </c>
      <c r="AB1376" t="s">
        <v>384</v>
      </c>
      <c r="AC1376" t="s">
        <v>41</v>
      </c>
      <c r="AD1376" t="s">
        <v>41</v>
      </c>
      <c r="AE1376" t="s">
        <v>41</v>
      </c>
      <c r="AF1376" t="s">
        <v>41</v>
      </c>
      <c r="AI1376">
        <v>155687</v>
      </c>
      <c r="AJ1376">
        <v>1</v>
      </c>
      <c r="AK1376" t="s">
        <v>40</v>
      </c>
      <c r="AL1376">
        <v>261</v>
      </c>
    </row>
    <row r="1377" spans="1:38" x14ac:dyDescent="0.25">
      <c r="A1377" t="s">
        <v>37</v>
      </c>
      <c r="B1377">
        <v>46051.948506944442</v>
      </c>
      <c r="C1377">
        <v>92657</v>
      </c>
      <c r="D1377" t="s">
        <v>1025</v>
      </c>
      <c r="E1377">
        <v>4507353</v>
      </c>
      <c r="F1377">
        <v>2310135</v>
      </c>
      <c r="G1377" t="s">
        <v>1052</v>
      </c>
      <c r="H1377" t="s">
        <v>1529</v>
      </c>
      <c r="I1377">
        <v>64.3</v>
      </c>
      <c r="J1377" t="b">
        <v>1</v>
      </c>
      <c r="K1377">
        <v>0.15682926829268293</v>
      </c>
      <c r="L1377">
        <v>2310136</v>
      </c>
      <c r="M1377" t="s">
        <v>1053</v>
      </c>
      <c r="N1377">
        <v>410</v>
      </c>
      <c r="O1377">
        <v>408</v>
      </c>
      <c r="P1377"/>
      <c r="Q1377">
        <v>134974</v>
      </c>
      <c r="R1377">
        <v>1</v>
      </c>
      <c r="S1377" t="s">
        <v>40</v>
      </c>
      <c r="T1377">
        <v>261</v>
      </c>
      <c r="W1377"/>
      <c r="Y1377" t="s">
        <v>377</v>
      </c>
      <c r="Z1377" t="s">
        <v>378</v>
      </c>
      <c r="AA1377" t="s">
        <v>379</v>
      </c>
      <c r="AB1377" t="s">
        <v>1273</v>
      </c>
      <c r="AC1377" t="s">
        <v>41</v>
      </c>
      <c r="AD1377" t="s">
        <v>41</v>
      </c>
      <c r="AE1377" t="s">
        <v>41</v>
      </c>
      <c r="AF1377" t="s">
        <v>41</v>
      </c>
      <c r="AK1377"/>
    </row>
    <row r="1378" spans="1:38" x14ac:dyDescent="0.25">
      <c r="A1378" t="s">
        <v>42</v>
      </c>
      <c r="B1378">
        <v>46051.950231481482</v>
      </c>
      <c r="C1378">
        <v>89275</v>
      </c>
      <c r="D1378" t="s">
        <v>1025</v>
      </c>
      <c r="E1378">
        <v>4498495</v>
      </c>
      <c r="F1378">
        <v>131173</v>
      </c>
      <c r="G1378" t="s">
        <v>856</v>
      </c>
      <c r="H1378" t="s">
        <v>1464</v>
      </c>
      <c r="I1378">
        <v>10</v>
      </c>
      <c r="J1378" t="b">
        <v>1</v>
      </c>
      <c r="K1378">
        <v>1.25</v>
      </c>
      <c r="L1378">
        <v>131174</v>
      </c>
      <c r="M1378" t="s">
        <v>857</v>
      </c>
      <c r="N1378">
        <v>8</v>
      </c>
      <c r="O1378">
        <v>8</v>
      </c>
      <c r="P1378"/>
      <c r="Q1378">
        <v>134971</v>
      </c>
      <c r="R1378">
        <v>2</v>
      </c>
      <c r="S1378" t="s">
        <v>40</v>
      </c>
      <c r="T1378">
        <v>261</v>
      </c>
      <c r="U1378">
        <v>147664</v>
      </c>
      <c r="V1378">
        <v>48</v>
      </c>
      <c r="W1378" t="s">
        <v>40</v>
      </c>
      <c r="X1378">
        <v>261</v>
      </c>
      <c r="Y1378" t="s">
        <v>377</v>
      </c>
      <c r="Z1378" t="s">
        <v>378</v>
      </c>
      <c r="AA1378" t="s">
        <v>384</v>
      </c>
      <c r="AB1378" t="s">
        <v>384</v>
      </c>
      <c r="AC1378" t="s">
        <v>41</v>
      </c>
      <c r="AD1378" t="s">
        <v>41</v>
      </c>
      <c r="AE1378" t="s">
        <v>41</v>
      </c>
      <c r="AF1378" t="s">
        <v>41</v>
      </c>
      <c r="AK1378"/>
    </row>
    <row r="1379" spans="1:38" x14ac:dyDescent="0.25">
      <c r="A1379" t="s">
        <v>43</v>
      </c>
      <c r="B1379">
        <v>46052.197604166664</v>
      </c>
      <c r="C1379">
        <v>91900</v>
      </c>
      <c r="D1379" t="s">
        <v>1025</v>
      </c>
      <c r="E1379">
        <v>4507471</v>
      </c>
      <c r="F1379">
        <v>156292</v>
      </c>
      <c r="G1379" t="s">
        <v>46</v>
      </c>
      <c r="H1379" t="s">
        <v>1464</v>
      </c>
      <c r="I1379">
        <v>7</v>
      </c>
      <c r="J1379" t="b">
        <v>1</v>
      </c>
      <c r="K1379">
        <v>1.75</v>
      </c>
      <c r="L1379">
        <v>156291</v>
      </c>
      <c r="M1379" t="s">
        <v>433</v>
      </c>
      <c r="N1379">
        <v>4</v>
      </c>
      <c r="O1379">
        <v>4</v>
      </c>
      <c r="P1379"/>
      <c r="Q1379">
        <v>134905</v>
      </c>
      <c r="R1379">
        <v>1</v>
      </c>
      <c r="S1379" t="s">
        <v>40</v>
      </c>
      <c r="T1379">
        <v>261</v>
      </c>
      <c r="U1379">
        <v>147664</v>
      </c>
      <c r="V1379">
        <v>24</v>
      </c>
      <c r="W1379" t="s">
        <v>40</v>
      </c>
      <c r="X1379">
        <v>261</v>
      </c>
      <c r="Y1379" t="s">
        <v>377</v>
      </c>
      <c r="Z1379" t="s">
        <v>378</v>
      </c>
      <c r="AA1379" t="s">
        <v>379</v>
      </c>
      <c r="AB1379" t="s">
        <v>384</v>
      </c>
      <c r="AC1379" t="s">
        <v>41</v>
      </c>
      <c r="AD1379" t="s">
        <v>41</v>
      </c>
      <c r="AE1379" t="s">
        <v>41</v>
      </c>
      <c r="AF1379" t="s">
        <v>41</v>
      </c>
      <c r="AK1379"/>
    </row>
    <row r="1380" spans="1:38" x14ac:dyDescent="0.25">
      <c r="A1380" t="s">
        <v>43</v>
      </c>
      <c r="B1380">
        <v>46052.198136574072</v>
      </c>
      <c r="C1380">
        <v>91900</v>
      </c>
      <c r="D1380" t="s">
        <v>1025</v>
      </c>
      <c r="E1380">
        <v>4507472</v>
      </c>
      <c r="F1380">
        <v>156292</v>
      </c>
      <c r="G1380" t="s">
        <v>46</v>
      </c>
      <c r="H1380" t="s">
        <v>1464</v>
      </c>
      <c r="I1380">
        <v>7</v>
      </c>
      <c r="J1380" t="b">
        <v>1</v>
      </c>
      <c r="K1380">
        <v>1.75</v>
      </c>
      <c r="L1380">
        <v>156291</v>
      </c>
      <c r="M1380" t="s">
        <v>433</v>
      </c>
      <c r="N1380">
        <v>4</v>
      </c>
      <c r="O1380">
        <v>4</v>
      </c>
      <c r="P1380"/>
      <c r="Q1380">
        <v>134905</v>
      </c>
      <c r="R1380">
        <v>1</v>
      </c>
      <c r="S1380" t="s">
        <v>40</v>
      </c>
      <c r="T1380">
        <v>261</v>
      </c>
      <c r="U1380">
        <v>147664</v>
      </c>
      <c r="V1380">
        <v>24</v>
      </c>
      <c r="W1380" t="s">
        <v>40</v>
      </c>
      <c r="X1380">
        <v>261</v>
      </c>
      <c r="Y1380" t="s">
        <v>377</v>
      </c>
      <c r="Z1380" t="s">
        <v>378</v>
      </c>
      <c r="AA1380" t="s">
        <v>379</v>
      </c>
      <c r="AB1380" t="s">
        <v>384</v>
      </c>
      <c r="AC1380" t="s">
        <v>41</v>
      </c>
      <c r="AD1380" t="s">
        <v>41</v>
      </c>
      <c r="AE1380" t="s">
        <v>41</v>
      </c>
      <c r="AF1380" t="s">
        <v>41</v>
      </c>
      <c r="AK1380"/>
    </row>
    <row r="1381" spans="1:38" x14ac:dyDescent="0.25">
      <c r="A1381" t="s">
        <v>38</v>
      </c>
      <c r="B1381">
        <v>46052.418206018519</v>
      </c>
      <c r="C1381">
        <v>91747</v>
      </c>
      <c r="D1381" t="s">
        <v>1530</v>
      </c>
      <c r="E1381">
        <v>4507467</v>
      </c>
      <c r="F1381">
        <v>155446</v>
      </c>
      <c r="G1381" t="s">
        <v>785</v>
      </c>
      <c r="H1381" t="s">
        <v>1400</v>
      </c>
      <c r="I1381">
        <v>14</v>
      </c>
      <c r="J1381" t="b">
        <v>1</v>
      </c>
      <c r="K1381">
        <v>4.666666666666667</v>
      </c>
      <c r="L1381">
        <v>155444</v>
      </c>
      <c r="M1381" t="s">
        <v>786</v>
      </c>
      <c r="N1381">
        <v>3</v>
      </c>
      <c r="O1381">
        <v>3</v>
      </c>
      <c r="P1381"/>
      <c r="Q1381">
        <v>155687</v>
      </c>
      <c r="R1381">
        <v>1</v>
      </c>
      <c r="S1381" t="s">
        <v>40</v>
      </c>
      <c r="T1381">
        <v>261</v>
      </c>
      <c r="U1381">
        <v>147664</v>
      </c>
      <c r="V1381">
        <v>24</v>
      </c>
      <c r="W1381" t="s">
        <v>40</v>
      </c>
      <c r="X1381">
        <v>261</v>
      </c>
      <c r="Y1381" t="s">
        <v>377</v>
      </c>
      <c r="Z1381" t="s">
        <v>378</v>
      </c>
      <c r="AA1381" t="s">
        <v>379</v>
      </c>
      <c r="AB1381" t="s">
        <v>622</v>
      </c>
      <c r="AC1381" t="s">
        <v>41</v>
      </c>
      <c r="AD1381" t="s">
        <v>41</v>
      </c>
      <c r="AE1381" t="s">
        <v>41</v>
      </c>
      <c r="AF1381" t="s">
        <v>41</v>
      </c>
      <c r="AK1381"/>
    </row>
    <row r="1382" spans="1:38" x14ac:dyDescent="0.25">
      <c r="A1382" t="s">
        <v>38</v>
      </c>
      <c r="B1382">
        <v>46052.419849537036</v>
      </c>
      <c r="C1382">
        <v>91747</v>
      </c>
      <c r="D1382" t="s">
        <v>1530</v>
      </c>
      <c r="E1382">
        <v>4507468</v>
      </c>
      <c r="F1382">
        <v>155446</v>
      </c>
      <c r="G1382" t="s">
        <v>785</v>
      </c>
      <c r="H1382" t="s">
        <v>1400</v>
      </c>
      <c r="I1382">
        <v>14</v>
      </c>
      <c r="J1382" t="b">
        <v>1</v>
      </c>
      <c r="K1382">
        <v>4.666666666666667</v>
      </c>
      <c r="L1382">
        <v>155444</v>
      </c>
      <c r="M1382" t="s">
        <v>786</v>
      </c>
      <c r="N1382">
        <v>3</v>
      </c>
      <c r="O1382">
        <v>3</v>
      </c>
      <c r="P1382"/>
      <c r="Q1382">
        <v>155687</v>
      </c>
      <c r="R1382">
        <v>1</v>
      </c>
      <c r="S1382" t="s">
        <v>40</v>
      </c>
      <c r="T1382">
        <v>261</v>
      </c>
      <c r="U1382">
        <v>147664</v>
      </c>
      <c r="V1382">
        <v>24</v>
      </c>
      <c r="W1382" t="s">
        <v>40</v>
      </c>
      <c r="X1382">
        <v>261</v>
      </c>
      <c r="Y1382" t="s">
        <v>377</v>
      </c>
      <c r="Z1382" t="s">
        <v>378</v>
      </c>
      <c r="AA1382" t="s">
        <v>379</v>
      </c>
      <c r="AB1382" t="s">
        <v>622</v>
      </c>
      <c r="AC1382" t="s">
        <v>41</v>
      </c>
      <c r="AD1382" t="s">
        <v>41</v>
      </c>
      <c r="AE1382" t="s">
        <v>41</v>
      </c>
      <c r="AF1382" t="s">
        <v>41</v>
      </c>
      <c r="AK1382"/>
    </row>
    <row r="1383" spans="1:38" x14ac:dyDescent="0.25">
      <c r="A1383" t="s">
        <v>44</v>
      </c>
      <c r="B1383">
        <v>46052.514293981483</v>
      </c>
      <c r="C1383">
        <v>89276</v>
      </c>
      <c r="D1383" t="s">
        <v>1530</v>
      </c>
      <c r="E1383">
        <v>4498496</v>
      </c>
      <c r="F1383">
        <v>131173</v>
      </c>
      <c r="G1383" t="s">
        <v>856</v>
      </c>
      <c r="H1383" t="s">
        <v>1471</v>
      </c>
      <c r="I1383">
        <v>10</v>
      </c>
      <c r="J1383" t="b">
        <v>1</v>
      </c>
      <c r="K1383">
        <v>1.25</v>
      </c>
      <c r="L1383">
        <v>131174</v>
      </c>
      <c r="M1383" t="s">
        <v>857</v>
      </c>
      <c r="N1383">
        <v>8</v>
      </c>
      <c r="O1383">
        <v>8</v>
      </c>
      <c r="P1383"/>
      <c r="Q1383">
        <v>134971</v>
      </c>
      <c r="R1383">
        <v>1</v>
      </c>
      <c r="S1383" t="s">
        <v>40</v>
      </c>
      <c r="T1383">
        <v>261</v>
      </c>
      <c r="U1383">
        <v>147664</v>
      </c>
      <c r="V1383">
        <v>48</v>
      </c>
      <c r="W1383" t="s">
        <v>40</v>
      </c>
      <c r="X1383">
        <v>261</v>
      </c>
      <c r="Y1383" t="s">
        <v>377</v>
      </c>
      <c r="Z1383" t="s">
        <v>378</v>
      </c>
      <c r="AA1383" t="s">
        <v>379</v>
      </c>
      <c r="AB1383" t="s">
        <v>400</v>
      </c>
      <c r="AC1383" t="s">
        <v>41</v>
      </c>
      <c r="AD1383" t="s">
        <v>41</v>
      </c>
      <c r="AE1383" t="s">
        <v>41</v>
      </c>
      <c r="AF1383" t="s">
        <v>41</v>
      </c>
      <c r="AI1383">
        <v>134971</v>
      </c>
      <c r="AJ1383">
        <v>1</v>
      </c>
      <c r="AK1383" t="s">
        <v>40</v>
      </c>
      <c r="AL1383">
        <v>261</v>
      </c>
    </row>
    <row r="1384" spans="1:38" x14ac:dyDescent="0.25">
      <c r="A1384" t="s">
        <v>37</v>
      </c>
      <c r="B1384">
        <v>46052.927233796298</v>
      </c>
      <c r="C1384">
        <v>89277</v>
      </c>
      <c r="D1384" t="s">
        <v>563</v>
      </c>
      <c r="E1384">
        <v>4498497</v>
      </c>
      <c r="F1384">
        <v>131173</v>
      </c>
      <c r="G1384" t="s">
        <v>856</v>
      </c>
      <c r="H1384" t="s">
        <v>1484</v>
      </c>
      <c r="I1384">
        <v>10</v>
      </c>
      <c r="J1384" t="b">
        <v>1</v>
      </c>
      <c r="K1384">
        <v>1.25</v>
      </c>
      <c r="L1384">
        <v>131174</v>
      </c>
      <c r="M1384" t="s">
        <v>857</v>
      </c>
      <c r="N1384">
        <v>8</v>
      </c>
      <c r="O1384">
        <v>8</v>
      </c>
      <c r="P1384"/>
      <c r="Q1384">
        <v>134971</v>
      </c>
      <c r="R1384">
        <v>1</v>
      </c>
      <c r="S1384" t="s">
        <v>40</v>
      </c>
      <c r="T1384">
        <v>261</v>
      </c>
      <c r="U1384">
        <v>147664</v>
      </c>
      <c r="V1384">
        <v>48</v>
      </c>
      <c r="W1384" t="s">
        <v>40</v>
      </c>
      <c r="X1384">
        <v>261</v>
      </c>
      <c r="Y1384" t="s">
        <v>377</v>
      </c>
      <c r="Z1384" t="s">
        <v>378</v>
      </c>
      <c r="AA1384" t="s">
        <v>384</v>
      </c>
      <c r="AB1384" t="s">
        <v>384</v>
      </c>
      <c r="AC1384" t="s">
        <v>41</v>
      </c>
      <c r="AD1384" t="s">
        <v>41</v>
      </c>
      <c r="AE1384" t="s">
        <v>41</v>
      </c>
      <c r="AF1384" t="s">
        <v>41</v>
      </c>
      <c r="AI1384">
        <v>134971</v>
      </c>
      <c r="AJ1384">
        <v>1</v>
      </c>
      <c r="AK1384" t="s">
        <v>40</v>
      </c>
      <c r="AL1384">
        <v>261</v>
      </c>
    </row>
    <row r="1385" spans="1:38" x14ac:dyDescent="0.25">
      <c r="A1385" t="s">
        <v>38</v>
      </c>
      <c r="B1385">
        <v>46053.435624999998</v>
      </c>
      <c r="C1385">
        <v>91901</v>
      </c>
      <c r="D1385" t="s">
        <v>393</v>
      </c>
      <c r="E1385">
        <v>4510103</v>
      </c>
      <c r="F1385">
        <v>156292</v>
      </c>
      <c r="G1385" t="s">
        <v>46</v>
      </c>
      <c r="H1385" t="s">
        <v>1471</v>
      </c>
      <c r="I1385">
        <v>14</v>
      </c>
      <c r="J1385" t="b">
        <v>1</v>
      </c>
      <c r="K1385">
        <v>3.5</v>
      </c>
      <c r="L1385">
        <v>156291</v>
      </c>
      <c r="M1385" t="s">
        <v>433</v>
      </c>
      <c r="N1385">
        <v>4</v>
      </c>
      <c r="O1385">
        <v>4</v>
      </c>
      <c r="P1385"/>
      <c r="Q1385">
        <v>134905</v>
      </c>
      <c r="R1385">
        <v>1</v>
      </c>
      <c r="S1385" t="s">
        <v>40</v>
      </c>
      <c r="T1385">
        <v>261</v>
      </c>
      <c r="U1385">
        <v>147664</v>
      </c>
      <c r="V1385">
        <v>24</v>
      </c>
      <c r="W1385" t="s">
        <v>40</v>
      </c>
      <c r="X1385">
        <v>261</v>
      </c>
      <c r="Y1385" t="s">
        <v>377</v>
      </c>
      <c r="Z1385" t="s">
        <v>378</v>
      </c>
      <c r="AA1385" t="s">
        <v>379</v>
      </c>
      <c r="AB1385" t="s">
        <v>384</v>
      </c>
      <c r="AC1385" t="s">
        <v>41</v>
      </c>
      <c r="AD1385" t="s">
        <v>41</v>
      </c>
      <c r="AE1385" t="s">
        <v>41</v>
      </c>
      <c r="AF1385" t="s">
        <v>41</v>
      </c>
      <c r="AK1385"/>
    </row>
    <row r="1386" spans="1:38" x14ac:dyDescent="0.25">
      <c r="A1386" t="s">
        <v>38</v>
      </c>
      <c r="B1386">
        <v>46053.436979166669</v>
      </c>
      <c r="C1386">
        <v>91901</v>
      </c>
      <c r="D1386" t="s">
        <v>393</v>
      </c>
      <c r="E1386">
        <v>4510104</v>
      </c>
      <c r="F1386">
        <v>156292</v>
      </c>
      <c r="G1386" t="s">
        <v>46</v>
      </c>
      <c r="H1386" t="s">
        <v>1471</v>
      </c>
      <c r="I1386">
        <v>14</v>
      </c>
      <c r="J1386" t="b">
        <v>1</v>
      </c>
      <c r="K1386">
        <v>3.5</v>
      </c>
      <c r="L1386">
        <v>156291</v>
      </c>
      <c r="M1386" t="s">
        <v>433</v>
      </c>
      <c r="N1386">
        <v>4</v>
      </c>
      <c r="O1386">
        <v>4</v>
      </c>
      <c r="P1386"/>
      <c r="Q1386">
        <v>134905</v>
      </c>
      <c r="R1386">
        <v>1</v>
      </c>
      <c r="S1386" t="s">
        <v>40</v>
      </c>
      <c r="T1386">
        <v>261</v>
      </c>
      <c r="U1386">
        <v>147664</v>
      </c>
      <c r="V1386">
        <v>24</v>
      </c>
      <c r="W1386" t="s">
        <v>40</v>
      </c>
      <c r="X1386">
        <v>261</v>
      </c>
      <c r="Y1386" t="s">
        <v>377</v>
      </c>
      <c r="Z1386" t="s">
        <v>378</v>
      </c>
      <c r="AA1386" t="s">
        <v>379</v>
      </c>
      <c r="AB1386" t="s">
        <v>384</v>
      </c>
      <c r="AC1386" t="s">
        <v>41</v>
      </c>
      <c r="AD1386" t="s">
        <v>41</v>
      </c>
      <c r="AE1386" t="s">
        <v>41</v>
      </c>
      <c r="AF1386" t="s">
        <v>41</v>
      </c>
      <c r="AK1386"/>
    </row>
    <row r="1387" spans="1:38" x14ac:dyDescent="0.25">
      <c r="A1387" t="s">
        <v>48</v>
      </c>
      <c r="B1387">
        <v>46053.822870370372</v>
      </c>
      <c r="C1387">
        <v>92658</v>
      </c>
      <c r="D1387" t="s">
        <v>745</v>
      </c>
      <c r="E1387">
        <v>4507354</v>
      </c>
      <c r="F1387">
        <v>2310135</v>
      </c>
      <c r="G1387" t="s">
        <v>1052</v>
      </c>
      <c r="H1387" t="s">
        <v>1531</v>
      </c>
      <c r="I1387">
        <v>64.3</v>
      </c>
      <c r="J1387" t="b">
        <v>1</v>
      </c>
      <c r="K1387">
        <v>0.15759803921568627</v>
      </c>
      <c r="L1387">
        <v>2310136</v>
      </c>
      <c r="M1387" t="s">
        <v>1053</v>
      </c>
      <c r="N1387">
        <v>408</v>
      </c>
      <c r="O1387">
        <v>408</v>
      </c>
      <c r="P1387"/>
      <c r="Q1387">
        <v>134974</v>
      </c>
      <c r="R1387">
        <v>1</v>
      </c>
      <c r="S1387" t="s">
        <v>40</v>
      </c>
      <c r="T1387">
        <v>261</v>
      </c>
      <c r="W1387"/>
      <c r="Y1387" t="s">
        <v>377</v>
      </c>
      <c r="Z1387" t="s">
        <v>378</v>
      </c>
      <c r="AA1387" t="s">
        <v>379</v>
      </c>
      <c r="AB1387" t="s">
        <v>1296</v>
      </c>
      <c r="AC1387" t="s">
        <v>41</v>
      </c>
      <c r="AD1387" t="s">
        <v>41</v>
      </c>
      <c r="AE1387" t="s">
        <v>41</v>
      </c>
      <c r="AF1387" t="s">
        <v>41</v>
      </c>
      <c r="AK1387"/>
    </row>
    <row r="1388" spans="1:38" x14ac:dyDescent="0.25">
      <c r="A1388" t="s">
        <v>39</v>
      </c>
      <c r="B1388">
        <v>46053.825671296298</v>
      </c>
      <c r="C1388">
        <v>92659</v>
      </c>
      <c r="D1388" t="s">
        <v>745</v>
      </c>
      <c r="E1388">
        <v>4507355</v>
      </c>
      <c r="F1388">
        <v>2310135</v>
      </c>
      <c r="G1388" t="s">
        <v>1052</v>
      </c>
      <c r="H1388" t="s">
        <v>1532</v>
      </c>
      <c r="I1388">
        <v>64.3</v>
      </c>
      <c r="J1388" t="b">
        <v>1</v>
      </c>
      <c r="K1388">
        <v>0.15759803921568627</v>
      </c>
      <c r="L1388">
        <v>2310136</v>
      </c>
      <c r="M1388" t="s">
        <v>1053</v>
      </c>
      <c r="N1388">
        <v>408</v>
      </c>
      <c r="O1388">
        <v>408</v>
      </c>
      <c r="P1388"/>
      <c r="Q1388">
        <v>134974</v>
      </c>
      <c r="R1388">
        <v>1</v>
      </c>
      <c r="S1388" t="s">
        <v>40</v>
      </c>
      <c r="T1388">
        <v>261</v>
      </c>
      <c r="W1388"/>
      <c r="Y1388" t="s">
        <v>377</v>
      </c>
      <c r="Z1388" t="s">
        <v>378</v>
      </c>
      <c r="AA1388" t="s">
        <v>379</v>
      </c>
      <c r="AB1388" t="s">
        <v>1296</v>
      </c>
      <c r="AC1388" t="s">
        <v>41</v>
      </c>
      <c r="AD1388" t="s">
        <v>41</v>
      </c>
      <c r="AE1388" t="s">
        <v>41</v>
      </c>
      <c r="AF1388" t="s">
        <v>41</v>
      </c>
      <c r="AK1388"/>
    </row>
    <row r="1389" spans="1:38" x14ac:dyDescent="0.25">
      <c r="A1389" t="s">
        <v>37</v>
      </c>
      <c r="B1389">
        <v>46054.110902777778</v>
      </c>
      <c r="C1389">
        <v>89278</v>
      </c>
      <c r="D1389" t="s">
        <v>745</v>
      </c>
      <c r="E1389">
        <v>4510388</v>
      </c>
      <c r="F1389">
        <v>2104880</v>
      </c>
      <c r="G1389" t="s">
        <v>577</v>
      </c>
      <c r="H1389" t="s">
        <v>1464</v>
      </c>
      <c r="I1389">
        <v>5</v>
      </c>
      <c r="J1389" t="b">
        <v>1</v>
      </c>
      <c r="K1389">
        <v>1.25</v>
      </c>
      <c r="L1389">
        <v>2106200</v>
      </c>
      <c r="M1389" t="s">
        <v>579</v>
      </c>
      <c r="N1389">
        <v>4</v>
      </c>
      <c r="O1389">
        <v>4</v>
      </c>
      <c r="P1389"/>
      <c r="Q1389">
        <v>134905</v>
      </c>
      <c r="R1389">
        <v>1</v>
      </c>
      <c r="S1389" t="s">
        <v>40</v>
      </c>
      <c r="T1389">
        <v>261</v>
      </c>
      <c r="U1389">
        <v>147664</v>
      </c>
      <c r="V1389">
        <v>24</v>
      </c>
      <c r="W1389" t="s">
        <v>40</v>
      </c>
      <c r="X1389">
        <v>261</v>
      </c>
      <c r="Y1389" t="s">
        <v>377</v>
      </c>
      <c r="Z1389" t="s">
        <v>378</v>
      </c>
      <c r="AA1389" t="s">
        <v>379</v>
      </c>
      <c r="AB1389" t="s">
        <v>384</v>
      </c>
      <c r="AC1389" t="s">
        <v>41</v>
      </c>
      <c r="AD1389" t="s">
        <v>41</v>
      </c>
      <c r="AE1389" t="s">
        <v>41</v>
      </c>
      <c r="AF1389" t="s">
        <v>41</v>
      </c>
      <c r="AK1389"/>
    </row>
    <row r="1390" spans="1:38" x14ac:dyDescent="0.25">
      <c r="A1390" t="s">
        <v>37</v>
      </c>
      <c r="B1390">
        <v>46054.111759259256</v>
      </c>
      <c r="C1390">
        <v>89278</v>
      </c>
      <c r="D1390" t="s">
        <v>745</v>
      </c>
      <c r="E1390">
        <v>4510389</v>
      </c>
      <c r="F1390">
        <v>2104880</v>
      </c>
      <c r="G1390" t="s">
        <v>577</v>
      </c>
      <c r="H1390" t="s">
        <v>1464</v>
      </c>
      <c r="I1390">
        <v>5</v>
      </c>
      <c r="J1390" t="b">
        <v>1</v>
      </c>
      <c r="K1390">
        <v>1</v>
      </c>
      <c r="L1390">
        <v>2106200</v>
      </c>
      <c r="M1390" t="s">
        <v>579</v>
      </c>
      <c r="N1390">
        <v>5</v>
      </c>
      <c r="O1390">
        <v>5</v>
      </c>
      <c r="P1390"/>
      <c r="Q1390">
        <v>134905</v>
      </c>
      <c r="R1390">
        <v>1</v>
      </c>
      <c r="S1390" t="s">
        <v>40</v>
      </c>
      <c r="T1390">
        <v>261</v>
      </c>
      <c r="U1390">
        <v>147664</v>
      </c>
      <c r="V1390">
        <v>24</v>
      </c>
      <c r="W1390" t="s">
        <v>40</v>
      </c>
      <c r="X1390">
        <v>261</v>
      </c>
      <c r="Y1390" t="s">
        <v>377</v>
      </c>
      <c r="Z1390" t="s">
        <v>378</v>
      </c>
      <c r="AA1390" t="s">
        <v>379</v>
      </c>
      <c r="AB1390" t="s">
        <v>559</v>
      </c>
      <c r="AC1390" t="s">
        <v>41</v>
      </c>
      <c r="AD1390" t="s">
        <v>41</v>
      </c>
      <c r="AE1390" t="s">
        <v>41</v>
      </c>
      <c r="AF1390" t="s">
        <v>41</v>
      </c>
      <c r="AK1390"/>
    </row>
    <row r="1391" spans="1:38" x14ac:dyDescent="0.25">
      <c r="A1391" t="s">
        <v>47</v>
      </c>
      <c r="B1391">
        <v>46054.362013888887</v>
      </c>
      <c r="C1391">
        <v>90481</v>
      </c>
      <c r="D1391" t="s">
        <v>393</v>
      </c>
      <c r="E1391">
        <v>4494532</v>
      </c>
      <c r="F1391">
        <v>120351</v>
      </c>
      <c r="G1391" t="s">
        <v>1533</v>
      </c>
      <c r="H1391" t="s">
        <v>1464</v>
      </c>
      <c r="I1391">
        <v>3</v>
      </c>
      <c r="J1391" t="b">
        <v>1</v>
      </c>
      <c r="K1391">
        <v>1.935483870967742E-2</v>
      </c>
      <c r="L1391">
        <v>120352</v>
      </c>
      <c r="M1391" t="s">
        <v>1534</v>
      </c>
      <c r="N1391">
        <v>155</v>
      </c>
      <c r="O1391">
        <v>155</v>
      </c>
      <c r="P1391"/>
      <c r="Q1391">
        <v>134976</v>
      </c>
      <c r="R1391">
        <v>1</v>
      </c>
      <c r="S1391" t="s">
        <v>40</v>
      </c>
      <c r="T1391">
        <v>261</v>
      </c>
      <c r="W1391"/>
      <c r="Y1391" t="s">
        <v>377</v>
      </c>
      <c r="Z1391" t="s">
        <v>378</v>
      </c>
      <c r="AA1391" t="s">
        <v>379</v>
      </c>
      <c r="AB1391" t="s">
        <v>728</v>
      </c>
      <c r="AC1391" t="s">
        <v>41</v>
      </c>
      <c r="AD1391" t="s">
        <v>41</v>
      </c>
      <c r="AE1391" t="s">
        <v>41</v>
      </c>
      <c r="AF1391" t="s">
        <v>41</v>
      </c>
      <c r="AK1391"/>
    </row>
    <row r="1392" spans="1:38" x14ac:dyDescent="0.25">
      <c r="A1392" t="s">
        <v>47</v>
      </c>
      <c r="B1392">
        <v>46054.369456018518</v>
      </c>
      <c r="C1392">
        <v>90480</v>
      </c>
      <c r="D1392" t="s">
        <v>393</v>
      </c>
      <c r="E1392">
        <v>4509751</v>
      </c>
      <c r="F1392">
        <v>2104618</v>
      </c>
      <c r="G1392" t="s">
        <v>1535</v>
      </c>
      <c r="H1392" t="s">
        <v>1464</v>
      </c>
      <c r="I1392">
        <v>3</v>
      </c>
      <c r="J1392" t="b">
        <v>1</v>
      </c>
      <c r="K1392">
        <v>2.6548672566371681E-2</v>
      </c>
      <c r="L1392">
        <v>2124153</v>
      </c>
      <c r="M1392" t="s">
        <v>1536</v>
      </c>
      <c r="N1392">
        <v>113</v>
      </c>
      <c r="O1392">
        <v>113</v>
      </c>
      <c r="P1392"/>
      <c r="Q1392">
        <v>134976</v>
      </c>
      <c r="R1392">
        <v>1</v>
      </c>
      <c r="S1392" t="s">
        <v>40</v>
      </c>
      <c r="T1392">
        <v>261</v>
      </c>
      <c r="W1392"/>
      <c r="Y1392" t="s">
        <v>377</v>
      </c>
      <c r="Z1392" t="s">
        <v>378</v>
      </c>
      <c r="AA1392" t="s">
        <v>379</v>
      </c>
      <c r="AB1392" t="s">
        <v>543</v>
      </c>
      <c r="AC1392" t="s">
        <v>41</v>
      </c>
      <c r="AD1392" t="s">
        <v>41</v>
      </c>
      <c r="AE1392" t="s">
        <v>41</v>
      </c>
      <c r="AF1392" t="s">
        <v>41</v>
      </c>
      <c r="AK1392"/>
    </row>
    <row r="1393" spans="1:37" x14ac:dyDescent="0.25">
      <c r="A1393" t="s">
        <v>47</v>
      </c>
      <c r="B1393">
        <v>46054.394641203704</v>
      </c>
      <c r="C1393">
        <v>90479</v>
      </c>
      <c r="D1393" t="s">
        <v>393</v>
      </c>
      <c r="E1393">
        <v>4508694</v>
      </c>
      <c r="F1393">
        <v>2123958</v>
      </c>
      <c r="G1393" t="s">
        <v>1537</v>
      </c>
      <c r="H1393" t="s">
        <v>1464</v>
      </c>
      <c r="I1393">
        <v>3</v>
      </c>
      <c r="J1393" t="b">
        <v>1</v>
      </c>
      <c r="K1393">
        <v>3.3333333333333333E-2</v>
      </c>
      <c r="L1393">
        <v>2124328</v>
      </c>
      <c r="M1393" t="s">
        <v>1538</v>
      </c>
      <c r="N1393">
        <v>90</v>
      </c>
      <c r="O1393">
        <v>90</v>
      </c>
      <c r="P1393"/>
      <c r="Q1393">
        <v>134976</v>
      </c>
      <c r="R1393">
        <v>1</v>
      </c>
      <c r="S1393" t="s">
        <v>40</v>
      </c>
      <c r="T1393">
        <v>261</v>
      </c>
      <c r="W1393"/>
      <c r="Y1393" t="s">
        <v>377</v>
      </c>
      <c r="Z1393" t="s">
        <v>378</v>
      </c>
      <c r="AA1393" t="s">
        <v>379</v>
      </c>
      <c r="AB1393" t="s">
        <v>574</v>
      </c>
      <c r="AC1393" t="s">
        <v>41</v>
      </c>
      <c r="AD1393" t="s">
        <v>41</v>
      </c>
      <c r="AE1393" t="s">
        <v>41</v>
      </c>
      <c r="AF1393" t="s">
        <v>41</v>
      </c>
      <c r="AK1393"/>
    </row>
    <row r="1394" spans="1:37" x14ac:dyDescent="0.25">
      <c r="A1394" t="s">
        <v>37</v>
      </c>
      <c r="B1394">
        <v>46054.539849537039</v>
      </c>
      <c r="C1394">
        <v>90482</v>
      </c>
      <c r="D1394" t="s">
        <v>669</v>
      </c>
      <c r="E1394">
        <v>4509854</v>
      </c>
      <c r="F1394">
        <v>2141258</v>
      </c>
      <c r="G1394" t="s">
        <v>1539</v>
      </c>
      <c r="H1394" t="s">
        <v>1464</v>
      </c>
      <c r="I1394">
        <v>3</v>
      </c>
      <c r="J1394" t="b">
        <v>1</v>
      </c>
      <c r="K1394">
        <v>4.8387096774193547E-2</v>
      </c>
      <c r="L1394">
        <v>2141031</v>
      </c>
      <c r="M1394" t="s">
        <v>1540</v>
      </c>
      <c r="N1394">
        <v>62</v>
      </c>
      <c r="O1394">
        <v>62</v>
      </c>
      <c r="P1394"/>
      <c r="Q1394">
        <v>134976</v>
      </c>
      <c r="R1394">
        <v>1</v>
      </c>
      <c r="S1394" t="s">
        <v>40</v>
      </c>
      <c r="T1394">
        <v>261</v>
      </c>
      <c r="W1394"/>
      <c r="Y1394" t="s">
        <v>377</v>
      </c>
      <c r="Z1394" t="s">
        <v>378</v>
      </c>
      <c r="AA1394" t="s">
        <v>379</v>
      </c>
      <c r="AB1394" t="s">
        <v>1541</v>
      </c>
      <c r="AC1394" t="s">
        <v>41</v>
      </c>
      <c r="AD1394" t="s">
        <v>41</v>
      </c>
      <c r="AE1394" t="s">
        <v>41</v>
      </c>
      <c r="AF1394" t="s">
        <v>41</v>
      </c>
      <c r="AK1394"/>
    </row>
    <row r="1395" spans="1:37" x14ac:dyDescent="0.25">
      <c r="A1395" t="s">
        <v>42</v>
      </c>
      <c r="B1395">
        <v>46054.562858796293</v>
      </c>
      <c r="C1395">
        <v>91903</v>
      </c>
      <c r="D1395" t="s">
        <v>669</v>
      </c>
      <c r="E1395">
        <v>4510110</v>
      </c>
      <c r="F1395">
        <v>156316</v>
      </c>
      <c r="G1395" t="s">
        <v>899</v>
      </c>
      <c r="H1395" t="s">
        <v>1484</v>
      </c>
      <c r="I1395">
        <v>14</v>
      </c>
      <c r="J1395" t="b">
        <v>1</v>
      </c>
      <c r="K1395">
        <v>3.5</v>
      </c>
      <c r="L1395">
        <v>156315</v>
      </c>
      <c r="M1395" t="s">
        <v>901</v>
      </c>
      <c r="N1395">
        <v>4</v>
      </c>
      <c r="O1395">
        <v>4</v>
      </c>
      <c r="P1395"/>
      <c r="Q1395">
        <v>134905</v>
      </c>
      <c r="R1395">
        <v>1</v>
      </c>
      <c r="S1395" t="s">
        <v>40</v>
      </c>
      <c r="T1395">
        <v>261</v>
      </c>
      <c r="U1395">
        <v>147664</v>
      </c>
      <c r="V1395">
        <v>24</v>
      </c>
      <c r="W1395" t="s">
        <v>40</v>
      </c>
      <c r="X1395">
        <v>261</v>
      </c>
      <c r="Y1395" t="s">
        <v>377</v>
      </c>
      <c r="Z1395" t="s">
        <v>378</v>
      </c>
      <c r="AA1395" t="s">
        <v>379</v>
      </c>
      <c r="AB1395" t="s">
        <v>384</v>
      </c>
      <c r="AC1395" t="s">
        <v>41</v>
      </c>
      <c r="AD1395" t="s">
        <v>41</v>
      </c>
      <c r="AE1395" t="s">
        <v>41</v>
      </c>
      <c r="AF1395" t="s">
        <v>41</v>
      </c>
      <c r="AK1395"/>
    </row>
    <row r="1396" spans="1:37" x14ac:dyDescent="0.25">
      <c r="A1396" t="s">
        <v>42</v>
      </c>
      <c r="B1396">
        <v>46054.564375000002</v>
      </c>
      <c r="C1396">
        <v>91903</v>
      </c>
      <c r="D1396" t="s">
        <v>669</v>
      </c>
      <c r="E1396">
        <v>4510111</v>
      </c>
      <c r="F1396">
        <v>156316</v>
      </c>
      <c r="G1396" t="s">
        <v>899</v>
      </c>
      <c r="H1396" t="s">
        <v>1484</v>
      </c>
      <c r="I1396">
        <v>14</v>
      </c>
      <c r="J1396" t="b">
        <v>1</v>
      </c>
      <c r="K1396">
        <v>3.5</v>
      </c>
      <c r="L1396">
        <v>156315</v>
      </c>
      <c r="M1396" t="s">
        <v>901</v>
      </c>
      <c r="N1396">
        <v>4</v>
      </c>
      <c r="O1396">
        <v>4</v>
      </c>
      <c r="P1396"/>
      <c r="Q1396">
        <v>134905</v>
      </c>
      <c r="R1396">
        <v>1</v>
      </c>
      <c r="S1396" t="s">
        <v>40</v>
      </c>
      <c r="T1396">
        <v>261</v>
      </c>
      <c r="U1396">
        <v>147664</v>
      </c>
      <c r="V1396">
        <v>24</v>
      </c>
      <c r="W1396" t="s">
        <v>40</v>
      </c>
      <c r="X1396">
        <v>261</v>
      </c>
      <c r="Y1396" t="s">
        <v>377</v>
      </c>
      <c r="Z1396" t="s">
        <v>378</v>
      </c>
      <c r="AA1396" t="s">
        <v>379</v>
      </c>
      <c r="AB1396" t="s">
        <v>384</v>
      </c>
      <c r="AC1396" t="s">
        <v>41</v>
      </c>
      <c r="AD1396" t="s">
        <v>41</v>
      </c>
      <c r="AE1396" t="s">
        <v>41</v>
      </c>
      <c r="AF1396" t="s">
        <v>41</v>
      </c>
      <c r="AK1396"/>
    </row>
    <row r="1397" spans="1:37" x14ac:dyDescent="0.25">
      <c r="A1397" t="s">
        <v>45</v>
      </c>
      <c r="B1397">
        <v>46055.096863425926</v>
      </c>
      <c r="C1397">
        <v>92660</v>
      </c>
      <c r="D1397" t="s">
        <v>843</v>
      </c>
      <c r="E1397">
        <v>4508350</v>
      </c>
      <c r="F1397">
        <v>2140160</v>
      </c>
      <c r="G1397" t="s">
        <v>1542</v>
      </c>
      <c r="H1397" t="s">
        <v>1464</v>
      </c>
      <c r="I1397">
        <v>81.3</v>
      </c>
      <c r="J1397" t="b">
        <v>1</v>
      </c>
      <c r="K1397">
        <v>1.1450704225352113</v>
      </c>
      <c r="L1397">
        <v>2135474</v>
      </c>
      <c r="M1397" t="s">
        <v>1543</v>
      </c>
      <c r="N1397">
        <v>71</v>
      </c>
      <c r="O1397">
        <v>71</v>
      </c>
      <c r="P1397"/>
      <c r="Q1397">
        <v>134978</v>
      </c>
      <c r="R1397">
        <v>1</v>
      </c>
      <c r="S1397" t="s">
        <v>40</v>
      </c>
      <c r="T1397">
        <v>261</v>
      </c>
      <c r="W1397"/>
      <c r="Y1397" t="s">
        <v>377</v>
      </c>
      <c r="Z1397" t="s">
        <v>378</v>
      </c>
      <c r="AA1397" t="s">
        <v>379</v>
      </c>
      <c r="AB1397" t="s">
        <v>1021</v>
      </c>
      <c r="AC1397" t="s">
        <v>41</v>
      </c>
      <c r="AD1397" t="s">
        <v>41</v>
      </c>
      <c r="AE1397" t="s">
        <v>41</v>
      </c>
      <c r="AF1397" t="s">
        <v>41</v>
      </c>
      <c r="AK1397"/>
    </row>
    <row r="1398" spans="1:37" x14ac:dyDescent="0.25">
      <c r="A1398" t="s">
        <v>37</v>
      </c>
      <c r="B1398">
        <v>46055.202037037037</v>
      </c>
      <c r="C1398">
        <v>89279</v>
      </c>
      <c r="D1398" t="s">
        <v>843</v>
      </c>
      <c r="E1398">
        <v>4510390</v>
      </c>
      <c r="F1398">
        <v>2104880</v>
      </c>
      <c r="G1398" t="s">
        <v>577</v>
      </c>
      <c r="H1398" t="s">
        <v>1471</v>
      </c>
      <c r="I1398">
        <v>5</v>
      </c>
      <c r="J1398" t="b">
        <v>1</v>
      </c>
      <c r="K1398">
        <v>1.25</v>
      </c>
      <c r="L1398">
        <v>2106200</v>
      </c>
      <c r="M1398" t="s">
        <v>579</v>
      </c>
      <c r="N1398">
        <v>4</v>
      </c>
      <c r="O1398">
        <v>4</v>
      </c>
      <c r="P1398"/>
      <c r="Q1398">
        <v>134971</v>
      </c>
      <c r="R1398">
        <v>1</v>
      </c>
      <c r="S1398" t="s">
        <v>40</v>
      </c>
      <c r="T1398">
        <v>261</v>
      </c>
      <c r="U1398">
        <v>147664</v>
      </c>
      <c r="V1398">
        <v>24</v>
      </c>
      <c r="W1398" t="s">
        <v>40</v>
      </c>
      <c r="X1398">
        <v>261</v>
      </c>
      <c r="Y1398" t="s">
        <v>377</v>
      </c>
      <c r="Z1398" t="s">
        <v>378</v>
      </c>
      <c r="AA1398" t="s">
        <v>379</v>
      </c>
      <c r="AB1398" t="s">
        <v>384</v>
      </c>
      <c r="AC1398" t="s">
        <v>41</v>
      </c>
      <c r="AD1398" t="s">
        <v>41</v>
      </c>
      <c r="AE1398" t="s">
        <v>41</v>
      </c>
      <c r="AF1398" t="s">
        <v>41</v>
      </c>
      <c r="AK1398"/>
    </row>
    <row r="1399" spans="1:37" x14ac:dyDescent="0.25">
      <c r="A1399" t="s">
        <v>37</v>
      </c>
      <c r="B1399">
        <v>46055.203043981484</v>
      </c>
      <c r="C1399">
        <v>89279</v>
      </c>
      <c r="D1399" t="s">
        <v>843</v>
      </c>
      <c r="E1399">
        <v>4510391</v>
      </c>
      <c r="F1399">
        <v>2104880</v>
      </c>
      <c r="G1399" t="s">
        <v>577</v>
      </c>
      <c r="H1399" t="s">
        <v>1471</v>
      </c>
      <c r="I1399">
        <v>5</v>
      </c>
      <c r="J1399" t="b">
        <v>1</v>
      </c>
      <c r="K1399">
        <v>1</v>
      </c>
      <c r="L1399">
        <v>2106200</v>
      </c>
      <c r="M1399" t="s">
        <v>579</v>
      </c>
      <c r="N1399">
        <v>5</v>
      </c>
      <c r="O1399">
        <v>5</v>
      </c>
      <c r="P1399"/>
      <c r="Q1399">
        <v>134907</v>
      </c>
      <c r="R1399">
        <v>1</v>
      </c>
      <c r="S1399" t="s">
        <v>40</v>
      </c>
      <c r="T1399">
        <v>261</v>
      </c>
      <c r="U1399">
        <v>147664</v>
      </c>
      <c r="V1399">
        <v>24</v>
      </c>
      <c r="W1399" t="s">
        <v>40</v>
      </c>
      <c r="X1399">
        <v>261</v>
      </c>
      <c r="Y1399" t="s">
        <v>377</v>
      </c>
      <c r="Z1399" t="s">
        <v>378</v>
      </c>
      <c r="AA1399" t="s">
        <v>379</v>
      </c>
      <c r="AB1399" t="s">
        <v>559</v>
      </c>
      <c r="AC1399" t="s">
        <v>41</v>
      </c>
      <c r="AD1399" t="s">
        <v>41</v>
      </c>
      <c r="AE1399" t="s">
        <v>41</v>
      </c>
      <c r="AF1399" t="s">
        <v>41</v>
      </c>
      <c r="AK1399"/>
    </row>
    <row r="1400" spans="1:37" x14ac:dyDescent="0.25">
      <c r="A1400" t="s">
        <v>39</v>
      </c>
      <c r="B1400">
        <v>46055.602766203701</v>
      </c>
      <c r="C1400">
        <v>91904</v>
      </c>
      <c r="D1400" t="s">
        <v>373</v>
      </c>
      <c r="E1400">
        <v>4510112</v>
      </c>
      <c r="F1400">
        <v>156316</v>
      </c>
      <c r="G1400" t="s">
        <v>899</v>
      </c>
      <c r="H1400" t="s">
        <v>1485</v>
      </c>
      <c r="I1400">
        <v>7</v>
      </c>
      <c r="J1400" t="b">
        <v>1</v>
      </c>
      <c r="K1400">
        <v>1.75</v>
      </c>
      <c r="L1400">
        <v>156315</v>
      </c>
      <c r="M1400" t="s">
        <v>901</v>
      </c>
      <c r="N1400">
        <v>4</v>
      </c>
      <c r="O1400">
        <v>4</v>
      </c>
      <c r="P1400"/>
      <c r="Q1400">
        <v>2301936</v>
      </c>
      <c r="R1400">
        <v>1</v>
      </c>
      <c r="S1400" t="s">
        <v>40</v>
      </c>
      <c r="T1400">
        <v>261</v>
      </c>
      <c r="U1400">
        <v>147664</v>
      </c>
      <c r="V1400">
        <v>24</v>
      </c>
      <c r="W1400" t="s">
        <v>40</v>
      </c>
      <c r="X1400">
        <v>261</v>
      </c>
      <c r="Y1400" t="s">
        <v>377</v>
      </c>
      <c r="Z1400" t="s">
        <v>378</v>
      </c>
      <c r="AA1400" t="s">
        <v>379</v>
      </c>
      <c r="AB1400" t="s">
        <v>384</v>
      </c>
      <c r="AC1400" t="s">
        <v>41</v>
      </c>
      <c r="AD1400" t="s">
        <v>41</v>
      </c>
      <c r="AE1400" t="s">
        <v>41</v>
      </c>
      <c r="AF1400" t="s">
        <v>41</v>
      </c>
      <c r="AK1400"/>
    </row>
    <row r="1401" spans="1:37" x14ac:dyDescent="0.25">
      <c r="A1401" t="s">
        <v>39</v>
      </c>
      <c r="B1401">
        <v>46055.603530092594</v>
      </c>
      <c r="C1401">
        <v>91904</v>
      </c>
      <c r="D1401" t="s">
        <v>373</v>
      </c>
      <c r="E1401">
        <v>4510113</v>
      </c>
      <c r="F1401">
        <v>156316</v>
      </c>
      <c r="G1401" t="s">
        <v>899</v>
      </c>
      <c r="H1401" t="s">
        <v>1485</v>
      </c>
      <c r="I1401">
        <v>7</v>
      </c>
      <c r="J1401" t="b">
        <v>1</v>
      </c>
      <c r="K1401">
        <v>1.75</v>
      </c>
      <c r="L1401">
        <v>156315</v>
      </c>
      <c r="M1401" t="s">
        <v>901</v>
      </c>
      <c r="N1401">
        <v>4</v>
      </c>
      <c r="O1401">
        <v>4</v>
      </c>
      <c r="P1401"/>
      <c r="Q1401">
        <v>2301936</v>
      </c>
      <c r="R1401">
        <v>1</v>
      </c>
      <c r="S1401" t="s">
        <v>40</v>
      </c>
      <c r="T1401">
        <v>261</v>
      </c>
      <c r="U1401">
        <v>147664</v>
      </c>
      <c r="V1401">
        <v>24</v>
      </c>
      <c r="W1401" t="s">
        <v>40</v>
      </c>
      <c r="X1401">
        <v>261</v>
      </c>
      <c r="Y1401" t="s">
        <v>377</v>
      </c>
      <c r="Z1401" t="s">
        <v>378</v>
      </c>
      <c r="AA1401" t="s">
        <v>379</v>
      </c>
      <c r="AB1401" t="s">
        <v>384</v>
      </c>
      <c r="AC1401" t="s">
        <v>41</v>
      </c>
      <c r="AD1401" t="s">
        <v>41</v>
      </c>
      <c r="AE1401" t="s">
        <v>41</v>
      </c>
      <c r="AF1401" t="s">
        <v>41</v>
      </c>
      <c r="AK1401"/>
    </row>
    <row r="1402" spans="1:37" x14ac:dyDescent="0.25">
      <c r="A1402" t="s">
        <v>37</v>
      </c>
      <c r="B1402">
        <v>46055.814803240741</v>
      </c>
      <c r="C1402">
        <v>89280</v>
      </c>
      <c r="D1402" t="s">
        <v>590</v>
      </c>
      <c r="E1402">
        <v>4510392</v>
      </c>
      <c r="F1402">
        <v>2104880</v>
      </c>
      <c r="G1402" t="s">
        <v>577</v>
      </c>
      <c r="H1402" t="s">
        <v>1484</v>
      </c>
      <c r="I1402">
        <v>10</v>
      </c>
      <c r="J1402" t="b">
        <v>1</v>
      </c>
      <c r="K1402">
        <v>2.5</v>
      </c>
      <c r="L1402">
        <v>2106200</v>
      </c>
      <c r="M1402" t="s">
        <v>579</v>
      </c>
      <c r="N1402">
        <v>4</v>
      </c>
      <c r="O1402">
        <v>4</v>
      </c>
      <c r="P1402"/>
      <c r="Q1402">
        <v>134905</v>
      </c>
      <c r="R1402">
        <v>1</v>
      </c>
      <c r="S1402" t="s">
        <v>40</v>
      </c>
      <c r="T1402">
        <v>261</v>
      </c>
      <c r="U1402">
        <v>147664</v>
      </c>
      <c r="V1402">
        <v>24</v>
      </c>
      <c r="W1402" t="s">
        <v>40</v>
      </c>
      <c r="X1402">
        <v>261</v>
      </c>
      <c r="Y1402" t="s">
        <v>377</v>
      </c>
      <c r="Z1402" t="s">
        <v>378</v>
      </c>
      <c r="AA1402" t="s">
        <v>379</v>
      </c>
      <c r="AB1402" t="s">
        <v>384</v>
      </c>
      <c r="AC1402" t="s">
        <v>41</v>
      </c>
      <c r="AD1402" t="s">
        <v>41</v>
      </c>
      <c r="AE1402" t="s">
        <v>41</v>
      </c>
      <c r="AF1402" t="s">
        <v>41</v>
      </c>
      <c r="AK1402"/>
    </row>
    <row r="1403" spans="1:37" x14ac:dyDescent="0.25">
      <c r="A1403" t="s">
        <v>37</v>
      </c>
      <c r="B1403">
        <v>46055.815648148149</v>
      </c>
      <c r="C1403">
        <v>89280</v>
      </c>
      <c r="D1403" t="s">
        <v>590</v>
      </c>
      <c r="E1403">
        <v>4510393</v>
      </c>
      <c r="F1403">
        <v>2104880</v>
      </c>
      <c r="G1403" t="s">
        <v>577</v>
      </c>
      <c r="H1403" t="s">
        <v>1484</v>
      </c>
      <c r="I1403">
        <v>10</v>
      </c>
      <c r="J1403" t="b">
        <v>1</v>
      </c>
      <c r="K1403">
        <v>2</v>
      </c>
      <c r="L1403">
        <v>2106200</v>
      </c>
      <c r="M1403" t="s">
        <v>579</v>
      </c>
      <c r="N1403">
        <v>5</v>
      </c>
      <c r="O1403">
        <v>5</v>
      </c>
      <c r="P1403"/>
      <c r="Q1403">
        <v>134905</v>
      </c>
      <c r="R1403">
        <v>1</v>
      </c>
      <c r="S1403" t="s">
        <v>40</v>
      </c>
      <c r="T1403">
        <v>261</v>
      </c>
      <c r="U1403">
        <v>147664</v>
      </c>
      <c r="V1403">
        <v>24</v>
      </c>
      <c r="W1403" t="s">
        <v>40</v>
      </c>
      <c r="X1403">
        <v>261</v>
      </c>
      <c r="Y1403" t="s">
        <v>377</v>
      </c>
      <c r="Z1403" t="s">
        <v>378</v>
      </c>
      <c r="AA1403" t="s">
        <v>379</v>
      </c>
      <c r="AB1403" t="s">
        <v>559</v>
      </c>
      <c r="AC1403" t="s">
        <v>41</v>
      </c>
      <c r="AD1403" t="s">
        <v>41</v>
      </c>
      <c r="AE1403" t="s">
        <v>41</v>
      </c>
      <c r="AF1403" t="s">
        <v>41</v>
      </c>
      <c r="AK1403"/>
    </row>
    <row r="1404" spans="1:37" x14ac:dyDescent="0.25">
      <c r="A1404" t="s">
        <v>39</v>
      </c>
      <c r="B1404">
        <v>46056.173981481479</v>
      </c>
      <c r="C1404">
        <v>90483</v>
      </c>
      <c r="D1404" t="s">
        <v>590</v>
      </c>
      <c r="E1404">
        <v>4494126</v>
      </c>
      <c r="F1404">
        <v>118817</v>
      </c>
      <c r="G1404" t="s">
        <v>1544</v>
      </c>
      <c r="H1404" t="s">
        <v>1464</v>
      </c>
      <c r="I1404">
        <v>3</v>
      </c>
      <c r="J1404" t="b">
        <v>1</v>
      </c>
      <c r="K1404">
        <v>1.3574660633484163E-2</v>
      </c>
      <c r="L1404">
        <v>118818</v>
      </c>
      <c r="M1404" t="s">
        <v>1545</v>
      </c>
      <c r="N1404">
        <v>221</v>
      </c>
      <c r="O1404">
        <v>202</v>
      </c>
      <c r="P1404"/>
      <c r="Q1404">
        <v>134974</v>
      </c>
      <c r="R1404">
        <v>1</v>
      </c>
      <c r="S1404" t="s">
        <v>40</v>
      </c>
      <c r="T1404">
        <v>261</v>
      </c>
      <c r="W1404"/>
      <c r="Y1404" t="s">
        <v>377</v>
      </c>
      <c r="Z1404" t="s">
        <v>378</v>
      </c>
      <c r="AA1404" t="s">
        <v>379</v>
      </c>
      <c r="AB1404" t="s">
        <v>1295</v>
      </c>
      <c r="AC1404" t="s">
        <v>41</v>
      </c>
      <c r="AD1404" t="s">
        <v>41</v>
      </c>
      <c r="AE1404" t="s">
        <v>41</v>
      </c>
      <c r="AF1404" t="s">
        <v>41</v>
      </c>
      <c r="AK1404"/>
    </row>
    <row r="1405" spans="1:37" x14ac:dyDescent="0.25">
      <c r="A1405" t="s">
        <v>44</v>
      </c>
      <c r="B1405">
        <v>46056.608437499999</v>
      </c>
      <c r="C1405">
        <v>91749</v>
      </c>
      <c r="D1405" t="s">
        <v>373</v>
      </c>
      <c r="E1405">
        <v>4508306</v>
      </c>
      <c r="F1405">
        <v>2304758</v>
      </c>
      <c r="G1405" t="s">
        <v>402</v>
      </c>
      <c r="H1405" t="s">
        <v>1464</v>
      </c>
      <c r="I1405">
        <v>14</v>
      </c>
      <c r="J1405" t="b">
        <v>1</v>
      </c>
      <c r="K1405">
        <v>2.3333333333333335</v>
      </c>
      <c r="L1405">
        <v>2304759</v>
      </c>
      <c r="M1405" t="s">
        <v>404</v>
      </c>
      <c r="N1405">
        <v>6</v>
      </c>
      <c r="O1405">
        <v>6</v>
      </c>
      <c r="P1405"/>
      <c r="Q1405">
        <v>155687</v>
      </c>
      <c r="R1405">
        <v>1</v>
      </c>
      <c r="S1405" t="s">
        <v>40</v>
      </c>
      <c r="T1405">
        <v>261</v>
      </c>
      <c r="U1405">
        <v>147664</v>
      </c>
      <c r="V1405">
        <v>24</v>
      </c>
      <c r="W1405" t="s">
        <v>40</v>
      </c>
      <c r="X1405">
        <v>261</v>
      </c>
      <c r="Y1405" t="s">
        <v>377</v>
      </c>
      <c r="Z1405" t="s">
        <v>378</v>
      </c>
      <c r="AA1405" t="s">
        <v>379</v>
      </c>
      <c r="AB1405" t="s">
        <v>384</v>
      </c>
      <c r="AC1405" t="s">
        <v>379</v>
      </c>
      <c r="AD1405" t="s">
        <v>379</v>
      </c>
      <c r="AE1405" t="s">
        <v>41</v>
      </c>
      <c r="AF1405" t="s">
        <v>41</v>
      </c>
      <c r="AK1405"/>
    </row>
    <row r="1406" spans="1:37" x14ac:dyDescent="0.25">
      <c r="A1406" t="s">
        <v>37</v>
      </c>
      <c r="B1406">
        <v>46056.894930555558</v>
      </c>
      <c r="C1406">
        <v>89281</v>
      </c>
      <c r="D1406" t="s">
        <v>1025</v>
      </c>
      <c r="E1406">
        <v>4510394</v>
      </c>
      <c r="F1406">
        <v>2104880</v>
      </c>
      <c r="G1406" t="s">
        <v>577</v>
      </c>
      <c r="H1406" t="s">
        <v>1485</v>
      </c>
      <c r="I1406">
        <v>5</v>
      </c>
      <c r="J1406" t="b">
        <v>1</v>
      </c>
      <c r="K1406">
        <v>1.25</v>
      </c>
      <c r="L1406">
        <v>2106200</v>
      </c>
      <c r="M1406" t="s">
        <v>579</v>
      </c>
      <c r="N1406">
        <v>4</v>
      </c>
      <c r="O1406">
        <v>4</v>
      </c>
      <c r="P1406"/>
      <c r="Q1406">
        <v>134905</v>
      </c>
      <c r="R1406">
        <v>1</v>
      </c>
      <c r="S1406" t="s">
        <v>40</v>
      </c>
      <c r="T1406">
        <v>261</v>
      </c>
      <c r="U1406">
        <v>147664</v>
      </c>
      <c r="V1406">
        <v>24</v>
      </c>
      <c r="W1406" t="s">
        <v>40</v>
      </c>
      <c r="X1406">
        <v>261</v>
      </c>
      <c r="Y1406" t="s">
        <v>377</v>
      </c>
      <c r="Z1406" t="s">
        <v>378</v>
      </c>
      <c r="AA1406" t="s">
        <v>379</v>
      </c>
      <c r="AB1406" t="s">
        <v>384</v>
      </c>
      <c r="AC1406" t="s">
        <v>41</v>
      </c>
      <c r="AD1406" t="s">
        <v>41</v>
      </c>
      <c r="AE1406" t="s">
        <v>41</v>
      </c>
      <c r="AF1406" t="s">
        <v>41</v>
      </c>
      <c r="AK1406"/>
    </row>
    <row r="1407" spans="1:37" x14ac:dyDescent="0.25">
      <c r="A1407" t="s">
        <v>37</v>
      </c>
      <c r="B1407">
        <v>46056.895509259259</v>
      </c>
      <c r="C1407">
        <v>89281</v>
      </c>
      <c r="D1407" t="s">
        <v>1025</v>
      </c>
      <c r="E1407">
        <v>4510395</v>
      </c>
      <c r="F1407">
        <v>2104880</v>
      </c>
      <c r="G1407" t="s">
        <v>577</v>
      </c>
      <c r="H1407" t="s">
        <v>1485</v>
      </c>
      <c r="I1407">
        <v>5</v>
      </c>
      <c r="J1407" t="b">
        <v>1</v>
      </c>
      <c r="K1407">
        <v>1</v>
      </c>
      <c r="L1407">
        <v>2106200</v>
      </c>
      <c r="M1407" t="s">
        <v>579</v>
      </c>
      <c r="N1407">
        <v>5</v>
      </c>
      <c r="O1407">
        <v>5</v>
      </c>
      <c r="P1407"/>
      <c r="Q1407">
        <v>134905</v>
      </c>
      <c r="R1407">
        <v>1</v>
      </c>
      <c r="S1407" t="s">
        <v>40</v>
      </c>
      <c r="T1407">
        <v>261</v>
      </c>
      <c r="U1407">
        <v>147664</v>
      </c>
      <c r="V1407">
        <v>24</v>
      </c>
      <c r="W1407" t="s">
        <v>40</v>
      </c>
      <c r="X1407">
        <v>261</v>
      </c>
      <c r="Y1407" t="s">
        <v>377</v>
      </c>
      <c r="Z1407" t="s">
        <v>378</v>
      </c>
      <c r="AA1407" t="s">
        <v>379</v>
      </c>
      <c r="AB1407" t="s">
        <v>559</v>
      </c>
      <c r="AC1407" t="s">
        <v>41</v>
      </c>
      <c r="AD1407" t="s">
        <v>41</v>
      </c>
      <c r="AE1407" t="s">
        <v>41</v>
      </c>
      <c r="AF1407" t="s">
        <v>41</v>
      </c>
      <c r="AK1407"/>
    </row>
    <row r="1408" spans="1:37" x14ac:dyDescent="0.25">
      <c r="A1408" t="s">
        <v>39</v>
      </c>
      <c r="B1408">
        <v>46057.536249999997</v>
      </c>
      <c r="C1408">
        <v>92668</v>
      </c>
      <c r="D1408" t="s">
        <v>563</v>
      </c>
      <c r="E1408">
        <v>4507478</v>
      </c>
      <c r="F1408">
        <v>162461</v>
      </c>
      <c r="G1408" t="s">
        <v>1546</v>
      </c>
      <c r="H1408" t="s">
        <v>1464</v>
      </c>
      <c r="I1408">
        <v>30</v>
      </c>
      <c r="J1408" t="b">
        <v>1</v>
      </c>
      <c r="K1408">
        <v>0.14423076923076922</v>
      </c>
      <c r="L1408">
        <v>162462</v>
      </c>
      <c r="M1408" t="s">
        <v>1547</v>
      </c>
      <c r="N1408">
        <v>208</v>
      </c>
      <c r="O1408">
        <v>208</v>
      </c>
      <c r="P1408"/>
      <c r="Q1408">
        <v>134977</v>
      </c>
      <c r="R1408">
        <v>1</v>
      </c>
      <c r="S1408" t="s">
        <v>40</v>
      </c>
      <c r="T1408">
        <v>261</v>
      </c>
      <c r="W1408"/>
      <c r="Y1408" t="s">
        <v>377</v>
      </c>
      <c r="Z1408" t="s">
        <v>378</v>
      </c>
      <c r="AA1408" t="s">
        <v>379</v>
      </c>
      <c r="AB1408" t="s">
        <v>698</v>
      </c>
      <c r="AC1408" t="s">
        <v>41</v>
      </c>
      <c r="AD1408" t="s">
        <v>41</v>
      </c>
      <c r="AE1408" t="s">
        <v>41</v>
      </c>
      <c r="AF1408" t="s">
        <v>41</v>
      </c>
      <c r="AK1408"/>
    </row>
    <row r="1409" spans="1:38" x14ac:dyDescent="0.25">
      <c r="A1409" t="s">
        <v>37</v>
      </c>
      <c r="B1409">
        <v>46057.876296296294</v>
      </c>
      <c r="C1409">
        <v>89282</v>
      </c>
      <c r="D1409" t="s">
        <v>682</v>
      </c>
      <c r="E1409">
        <v>4510577</v>
      </c>
      <c r="F1409">
        <v>2104879</v>
      </c>
      <c r="G1409" t="s">
        <v>556</v>
      </c>
      <c r="H1409" t="s">
        <v>1485</v>
      </c>
      <c r="I1409">
        <v>5</v>
      </c>
      <c r="J1409" t="b">
        <v>1</v>
      </c>
      <c r="K1409">
        <v>1.25</v>
      </c>
      <c r="L1409">
        <v>2106199</v>
      </c>
      <c r="M1409" t="s">
        <v>558</v>
      </c>
      <c r="N1409">
        <v>4</v>
      </c>
      <c r="O1409">
        <v>4</v>
      </c>
      <c r="P1409"/>
      <c r="Q1409">
        <v>134971</v>
      </c>
      <c r="R1409">
        <v>1</v>
      </c>
      <c r="S1409" t="s">
        <v>40</v>
      </c>
      <c r="T1409">
        <v>261</v>
      </c>
      <c r="U1409">
        <v>147664</v>
      </c>
      <c r="V1409">
        <v>24</v>
      </c>
      <c r="W1409" t="s">
        <v>40</v>
      </c>
      <c r="X1409">
        <v>261</v>
      </c>
      <c r="Y1409" t="s">
        <v>377</v>
      </c>
      <c r="Z1409" t="s">
        <v>378</v>
      </c>
      <c r="AA1409" t="s">
        <v>379</v>
      </c>
      <c r="AB1409" t="s">
        <v>384</v>
      </c>
      <c r="AC1409" t="s">
        <v>41</v>
      </c>
      <c r="AD1409" t="s">
        <v>41</v>
      </c>
      <c r="AE1409" t="s">
        <v>41</v>
      </c>
      <c r="AF1409" t="s">
        <v>41</v>
      </c>
      <c r="AK1409"/>
    </row>
    <row r="1410" spans="1:38" x14ac:dyDescent="0.25">
      <c r="A1410" t="s">
        <v>37</v>
      </c>
      <c r="B1410">
        <v>46057.877858796295</v>
      </c>
      <c r="C1410">
        <v>89282</v>
      </c>
      <c r="D1410" t="s">
        <v>682</v>
      </c>
      <c r="E1410">
        <v>4510578</v>
      </c>
      <c r="F1410">
        <v>2104879</v>
      </c>
      <c r="G1410" t="s">
        <v>556</v>
      </c>
      <c r="H1410" t="s">
        <v>1485</v>
      </c>
      <c r="I1410">
        <v>5</v>
      </c>
      <c r="J1410" t="b">
        <v>1</v>
      </c>
      <c r="K1410">
        <v>1</v>
      </c>
      <c r="L1410">
        <v>2106199</v>
      </c>
      <c r="M1410" t="s">
        <v>558</v>
      </c>
      <c r="N1410">
        <v>5</v>
      </c>
      <c r="O1410">
        <v>5</v>
      </c>
      <c r="P1410"/>
      <c r="Q1410">
        <v>134971</v>
      </c>
      <c r="R1410">
        <v>1</v>
      </c>
      <c r="S1410" t="s">
        <v>40</v>
      </c>
      <c r="T1410">
        <v>261</v>
      </c>
      <c r="U1410">
        <v>147664</v>
      </c>
      <c r="V1410">
        <v>24</v>
      </c>
      <c r="W1410" t="s">
        <v>40</v>
      </c>
      <c r="X1410">
        <v>261</v>
      </c>
      <c r="Y1410" t="s">
        <v>377</v>
      </c>
      <c r="Z1410" t="s">
        <v>378</v>
      </c>
      <c r="AA1410" t="s">
        <v>379</v>
      </c>
      <c r="AB1410" t="s">
        <v>559</v>
      </c>
      <c r="AC1410" t="s">
        <v>41</v>
      </c>
      <c r="AD1410" t="s">
        <v>41</v>
      </c>
      <c r="AE1410" t="s">
        <v>41</v>
      </c>
      <c r="AF1410" t="s">
        <v>41</v>
      </c>
      <c r="AK1410"/>
    </row>
    <row r="1411" spans="1:38" x14ac:dyDescent="0.25">
      <c r="A1411" t="s">
        <v>43</v>
      </c>
      <c r="B1411">
        <v>46058.097222222219</v>
      </c>
      <c r="C1411">
        <v>91748</v>
      </c>
      <c r="D1411" t="s">
        <v>682</v>
      </c>
      <c r="E1411">
        <v>4508453</v>
      </c>
      <c r="F1411">
        <v>160991</v>
      </c>
      <c r="G1411" t="s">
        <v>1507</v>
      </c>
      <c r="H1411" t="s">
        <v>1485</v>
      </c>
      <c r="I1411">
        <v>14</v>
      </c>
      <c r="J1411" t="b">
        <v>1</v>
      </c>
      <c r="K1411">
        <v>1.75</v>
      </c>
      <c r="L1411">
        <v>160988</v>
      </c>
      <c r="M1411" t="s">
        <v>1508</v>
      </c>
      <c r="N1411">
        <v>8</v>
      </c>
      <c r="O1411">
        <v>8</v>
      </c>
      <c r="P1411"/>
      <c r="Q1411">
        <v>134905</v>
      </c>
      <c r="R1411">
        <v>1</v>
      </c>
      <c r="S1411" t="s">
        <v>40</v>
      </c>
      <c r="T1411">
        <v>261</v>
      </c>
      <c r="U1411">
        <v>147664</v>
      </c>
      <c r="V1411">
        <v>48</v>
      </c>
      <c r="W1411" t="s">
        <v>40</v>
      </c>
      <c r="X1411">
        <v>261</v>
      </c>
      <c r="Y1411" t="s">
        <v>377</v>
      </c>
      <c r="Z1411" t="s">
        <v>378</v>
      </c>
      <c r="AA1411" t="s">
        <v>379</v>
      </c>
      <c r="AB1411" t="s">
        <v>384</v>
      </c>
      <c r="AC1411" t="s">
        <v>379</v>
      </c>
      <c r="AD1411" t="s">
        <v>384</v>
      </c>
      <c r="AE1411" t="s">
        <v>41</v>
      </c>
      <c r="AF1411" t="s">
        <v>41</v>
      </c>
      <c r="AI1411">
        <v>134905</v>
      </c>
      <c r="AJ1411">
        <v>1</v>
      </c>
      <c r="AK1411" t="s">
        <v>40</v>
      </c>
      <c r="AL1411">
        <v>261</v>
      </c>
    </row>
    <row r="1412" spans="1:38" x14ac:dyDescent="0.25">
      <c r="A1412" t="s">
        <v>47</v>
      </c>
      <c r="B1412">
        <v>46058.113634259258</v>
      </c>
      <c r="C1412">
        <v>90268</v>
      </c>
      <c r="D1412" t="s">
        <v>682</v>
      </c>
      <c r="E1412">
        <v>4509856</v>
      </c>
      <c r="F1412">
        <v>2104651</v>
      </c>
      <c r="G1412" t="s">
        <v>1548</v>
      </c>
      <c r="H1412" t="s">
        <v>1464</v>
      </c>
      <c r="I1412">
        <v>3</v>
      </c>
      <c r="J1412" t="b">
        <v>1</v>
      </c>
      <c r="K1412">
        <v>9.9009900990099011E-3</v>
      </c>
      <c r="L1412">
        <v>2105988</v>
      </c>
      <c r="M1412" t="s">
        <v>1549</v>
      </c>
      <c r="N1412">
        <v>303</v>
      </c>
      <c r="O1412">
        <v>303</v>
      </c>
      <c r="P1412"/>
      <c r="Q1412">
        <v>134976</v>
      </c>
      <c r="R1412">
        <v>1</v>
      </c>
      <c r="S1412" t="s">
        <v>40</v>
      </c>
      <c r="T1412">
        <v>261</v>
      </c>
      <c r="W1412"/>
      <c r="Y1412" t="s">
        <v>377</v>
      </c>
      <c r="Z1412" t="s">
        <v>378</v>
      </c>
      <c r="AA1412" t="s">
        <v>379</v>
      </c>
      <c r="AB1412" t="s">
        <v>1186</v>
      </c>
      <c r="AC1412" t="s">
        <v>41</v>
      </c>
      <c r="AD1412" t="s">
        <v>41</v>
      </c>
      <c r="AE1412" t="s">
        <v>41</v>
      </c>
      <c r="AF1412" t="s">
        <v>41</v>
      </c>
      <c r="AK1412"/>
    </row>
    <row r="1413" spans="1:38" x14ac:dyDescent="0.25">
      <c r="A1413" t="s">
        <v>45</v>
      </c>
      <c r="B1413">
        <v>46058.46297453704</v>
      </c>
      <c r="C1413">
        <v>92670</v>
      </c>
      <c r="D1413" t="s">
        <v>459</v>
      </c>
      <c r="E1413">
        <v>4510539</v>
      </c>
      <c r="F1413">
        <v>133815</v>
      </c>
      <c r="G1413" t="s">
        <v>1346</v>
      </c>
      <c r="H1413" t="s">
        <v>1464</v>
      </c>
      <c r="I1413">
        <v>28.5</v>
      </c>
      <c r="J1413" t="b">
        <v>1</v>
      </c>
      <c r="K1413">
        <v>0.43846153846153846</v>
      </c>
      <c r="L1413">
        <v>133816</v>
      </c>
      <c r="M1413" t="s">
        <v>1347</v>
      </c>
      <c r="N1413">
        <v>65</v>
      </c>
      <c r="O1413">
        <v>62</v>
      </c>
      <c r="P1413"/>
      <c r="Q1413">
        <v>134976</v>
      </c>
      <c r="R1413">
        <v>1</v>
      </c>
      <c r="S1413" t="s">
        <v>40</v>
      </c>
      <c r="T1413">
        <v>261</v>
      </c>
      <c r="W1413"/>
      <c r="Y1413" t="s">
        <v>377</v>
      </c>
      <c r="Z1413" t="s">
        <v>378</v>
      </c>
      <c r="AA1413" t="s">
        <v>379</v>
      </c>
      <c r="AB1413" t="s">
        <v>504</v>
      </c>
      <c r="AC1413" t="s">
        <v>41</v>
      </c>
      <c r="AD1413" t="s">
        <v>41</v>
      </c>
      <c r="AE1413" t="s">
        <v>41</v>
      </c>
      <c r="AF1413" t="s">
        <v>41</v>
      </c>
      <c r="AK1413"/>
    </row>
    <row r="1414" spans="1:38" x14ac:dyDescent="0.25">
      <c r="A1414" t="s">
        <v>45</v>
      </c>
      <c r="B1414">
        <v>46058.472974537035</v>
      </c>
      <c r="C1414">
        <v>92669</v>
      </c>
      <c r="D1414" t="s">
        <v>459</v>
      </c>
      <c r="E1414">
        <v>4508576</v>
      </c>
      <c r="F1414">
        <v>2132437</v>
      </c>
      <c r="G1414" t="s">
        <v>1550</v>
      </c>
      <c r="H1414" t="s">
        <v>1464</v>
      </c>
      <c r="I1414">
        <v>28.5</v>
      </c>
      <c r="J1414" t="b">
        <v>1</v>
      </c>
      <c r="K1414">
        <v>0.17378048780487804</v>
      </c>
      <c r="L1414">
        <v>2138128</v>
      </c>
      <c r="M1414" t="s">
        <v>1551</v>
      </c>
      <c r="N1414">
        <v>164</v>
      </c>
      <c r="O1414">
        <v>161</v>
      </c>
      <c r="P1414"/>
      <c r="Q1414">
        <v>134976</v>
      </c>
      <c r="R1414">
        <v>1</v>
      </c>
      <c r="S1414" t="s">
        <v>40</v>
      </c>
      <c r="T1414">
        <v>261</v>
      </c>
      <c r="W1414"/>
      <c r="Y1414" t="s">
        <v>377</v>
      </c>
      <c r="Z1414" t="s">
        <v>378</v>
      </c>
      <c r="AA1414" t="s">
        <v>379</v>
      </c>
      <c r="AB1414" t="s">
        <v>1199</v>
      </c>
      <c r="AC1414" t="s">
        <v>41</v>
      </c>
      <c r="AD1414" t="s">
        <v>41</v>
      </c>
      <c r="AE1414" t="s">
        <v>41</v>
      </c>
      <c r="AF1414" t="s">
        <v>41</v>
      </c>
      <c r="AK1414"/>
    </row>
    <row r="1415" spans="1:38" x14ac:dyDescent="0.25">
      <c r="A1415" t="s">
        <v>37</v>
      </c>
      <c r="B1415">
        <v>46058.855706018519</v>
      </c>
      <c r="C1415">
        <v>89283</v>
      </c>
      <c r="D1415" t="s">
        <v>563</v>
      </c>
      <c r="E1415">
        <v>4510579</v>
      </c>
      <c r="F1415">
        <v>2104879</v>
      </c>
      <c r="G1415" t="s">
        <v>556</v>
      </c>
      <c r="H1415" t="s">
        <v>1500</v>
      </c>
      <c r="I1415">
        <v>4</v>
      </c>
      <c r="J1415" t="b">
        <v>1</v>
      </c>
      <c r="K1415">
        <v>1</v>
      </c>
      <c r="L1415">
        <v>2106199</v>
      </c>
      <c r="M1415" t="s">
        <v>558</v>
      </c>
      <c r="N1415">
        <v>4</v>
      </c>
      <c r="O1415">
        <v>4</v>
      </c>
      <c r="P1415"/>
      <c r="Q1415">
        <v>134971</v>
      </c>
      <c r="R1415">
        <v>1</v>
      </c>
      <c r="S1415" t="s">
        <v>40</v>
      </c>
      <c r="T1415">
        <v>261</v>
      </c>
      <c r="U1415">
        <v>147664</v>
      </c>
      <c r="V1415">
        <v>24</v>
      </c>
      <c r="W1415" t="s">
        <v>40</v>
      </c>
      <c r="X1415">
        <v>261</v>
      </c>
      <c r="Y1415" t="s">
        <v>377</v>
      </c>
      <c r="Z1415" t="s">
        <v>378</v>
      </c>
      <c r="AA1415" t="s">
        <v>379</v>
      </c>
      <c r="AB1415" t="s">
        <v>384</v>
      </c>
      <c r="AC1415" t="s">
        <v>41</v>
      </c>
      <c r="AD1415" t="s">
        <v>41</v>
      </c>
      <c r="AE1415" t="s">
        <v>41</v>
      </c>
      <c r="AF1415" t="s">
        <v>41</v>
      </c>
      <c r="AK1415"/>
    </row>
    <row r="1416" spans="1:38" x14ac:dyDescent="0.25">
      <c r="A1416" t="s">
        <v>37</v>
      </c>
      <c r="B1416">
        <v>46058.856550925928</v>
      </c>
      <c r="C1416">
        <v>89283</v>
      </c>
      <c r="D1416" t="s">
        <v>563</v>
      </c>
      <c r="E1416">
        <v>4510580</v>
      </c>
      <c r="F1416">
        <v>2104879</v>
      </c>
      <c r="G1416" t="s">
        <v>556</v>
      </c>
      <c r="H1416" t="s">
        <v>1500</v>
      </c>
      <c r="I1416">
        <v>6</v>
      </c>
      <c r="J1416" t="b">
        <v>1</v>
      </c>
      <c r="K1416">
        <v>1.2</v>
      </c>
      <c r="L1416">
        <v>2106199</v>
      </c>
      <c r="M1416" t="s">
        <v>558</v>
      </c>
      <c r="N1416">
        <v>5</v>
      </c>
      <c r="O1416">
        <v>5</v>
      </c>
      <c r="P1416"/>
      <c r="Q1416">
        <v>134971</v>
      </c>
      <c r="R1416">
        <v>1</v>
      </c>
      <c r="S1416" t="s">
        <v>40</v>
      </c>
      <c r="T1416">
        <v>261</v>
      </c>
      <c r="U1416">
        <v>147664</v>
      </c>
      <c r="V1416">
        <v>24</v>
      </c>
      <c r="W1416" t="s">
        <v>40</v>
      </c>
      <c r="X1416">
        <v>261</v>
      </c>
      <c r="Y1416" t="s">
        <v>377</v>
      </c>
      <c r="Z1416" t="s">
        <v>378</v>
      </c>
      <c r="AA1416" t="s">
        <v>379</v>
      </c>
      <c r="AB1416" t="s">
        <v>559</v>
      </c>
      <c r="AC1416" t="s">
        <v>41</v>
      </c>
      <c r="AD1416" t="s">
        <v>41</v>
      </c>
      <c r="AE1416" t="s">
        <v>41</v>
      </c>
      <c r="AF1416" t="s">
        <v>41</v>
      </c>
      <c r="AK1416"/>
    </row>
    <row r="1417" spans="1:38" x14ac:dyDescent="0.25">
      <c r="A1417" t="s">
        <v>43</v>
      </c>
      <c r="B1417">
        <v>46059.408113425925</v>
      </c>
      <c r="C1417">
        <v>91905</v>
      </c>
      <c r="D1417" t="s">
        <v>373</v>
      </c>
      <c r="E1417">
        <v>4510116</v>
      </c>
      <c r="F1417">
        <v>156292</v>
      </c>
      <c r="G1417" t="s">
        <v>46</v>
      </c>
      <c r="H1417" t="s">
        <v>1484</v>
      </c>
      <c r="I1417">
        <v>7</v>
      </c>
      <c r="J1417" t="b">
        <v>1</v>
      </c>
      <c r="K1417">
        <v>1.75</v>
      </c>
      <c r="L1417">
        <v>156291</v>
      </c>
      <c r="M1417" t="s">
        <v>433</v>
      </c>
      <c r="N1417">
        <v>4</v>
      </c>
      <c r="O1417">
        <v>4</v>
      </c>
      <c r="P1417"/>
      <c r="Q1417">
        <v>134905</v>
      </c>
      <c r="R1417">
        <v>1</v>
      </c>
      <c r="S1417" t="s">
        <v>40</v>
      </c>
      <c r="T1417">
        <v>261</v>
      </c>
      <c r="U1417">
        <v>147664</v>
      </c>
      <c r="V1417">
        <v>24</v>
      </c>
      <c r="W1417" t="s">
        <v>40</v>
      </c>
      <c r="X1417">
        <v>261</v>
      </c>
      <c r="Y1417" t="s">
        <v>377</v>
      </c>
      <c r="Z1417" t="s">
        <v>378</v>
      </c>
      <c r="AA1417" t="s">
        <v>379</v>
      </c>
      <c r="AB1417" t="s">
        <v>384</v>
      </c>
      <c r="AC1417" t="s">
        <v>41</v>
      </c>
      <c r="AD1417" t="s">
        <v>41</v>
      </c>
      <c r="AE1417" t="s">
        <v>41</v>
      </c>
      <c r="AF1417" t="s">
        <v>41</v>
      </c>
      <c r="AK1417"/>
    </row>
    <row r="1418" spans="1:38" x14ac:dyDescent="0.25">
      <c r="A1418" t="s">
        <v>43</v>
      </c>
      <c r="B1418">
        <v>46059.408645833333</v>
      </c>
      <c r="C1418">
        <v>91905</v>
      </c>
      <c r="D1418" t="s">
        <v>373</v>
      </c>
      <c r="E1418">
        <v>4510117</v>
      </c>
      <c r="F1418">
        <v>156292</v>
      </c>
      <c r="G1418" t="s">
        <v>46</v>
      </c>
      <c r="H1418" t="s">
        <v>1484</v>
      </c>
      <c r="I1418">
        <v>7</v>
      </c>
      <c r="J1418" t="b">
        <v>1</v>
      </c>
      <c r="K1418">
        <v>1.75</v>
      </c>
      <c r="L1418">
        <v>156291</v>
      </c>
      <c r="M1418" t="s">
        <v>433</v>
      </c>
      <c r="N1418">
        <v>4</v>
      </c>
      <c r="O1418">
        <v>4</v>
      </c>
      <c r="P1418"/>
      <c r="Q1418">
        <v>134905</v>
      </c>
      <c r="R1418">
        <v>1</v>
      </c>
      <c r="S1418" t="s">
        <v>40</v>
      </c>
      <c r="T1418">
        <v>261</v>
      </c>
      <c r="U1418">
        <v>147664</v>
      </c>
      <c r="V1418">
        <v>24</v>
      </c>
      <c r="W1418" t="s">
        <v>40</v>
      </c>
      <c r="X1418">
        <v>261</v>
      </c>
      <c r="Y1418" t="s">
        <v>377</v>
      </c>
      <c r="Z1418" t="s">
        <v>378</v>
      </c>
      <c r="AA1418" t="s">
        <v>379</v>
      </c>
      <c r="AB1418" t="s">
        <v>384</v>
      </c>
      <c r="AC1418" t="s">
        <v>41</v>
      </c>
      <c r="AD1418" t="s">
        <v>41</v>
      </c>
      <c r="AE1418" t="s">
        <v>41</v>
      </c>
      <c r="AF1418" t="s">
        <v>41</v>
      </c>
      <c r="AK1418"/>
    </row>
    <row r="1419" spans="1:38" x14ac:dyDescent="0.25">
      <c r="A1419" t="s">
        <v>45</v>
      </c>
      <c r="B1419">
        <v>46059.561319444445</v>
      </c>
      <c r="C1419">
        <v>90269</v>
      </c>
      <c r="D1419" t="s">
        <v>373</v>
      </c>
      <c r="E1419">
        <v>4509857</v>
      </c>
      <c r="F1419">
        <v>2104651</v>
      </c>
      <c r="G1419" t="s">
        <v>1548</v>
      </c>
      <c r="H1419" t="s">
        <v>1471</v>
      </c>
      <c r="I1419">
        <v>3</v>
      </c>
      <c r="J1419" t="b">
        <v>1</v>
      </c>
      <c r="K1419">
        <v>9.2592592592592587E-3</v>
      </c>
      <c r="L1419">
        <v>2105988</v>
      </c>
      <c r="M1419" t="s">
        <v>1549</v>
      </c>
      <c r="N1419">
        <v>324</v>
      </c>
      <c r="O1419">
        <v>315</v>
      </c>
      <c r="P1419"/>
      <c r="Q1419">
        <v>134976</v>
      </c>
      <c r="R1419">
        <v>1</v>
      </c>
      <c r="S1419" t="s">
        <v>40</v>
      </c>
      <c r="T1419">
        <v>261</v>
      </c>
      <c r="W1419"/>
      <c r="Y1419" t="s">
        <v>377</v>
      </c>
      <c r="Z1419" t="s">
        <v>378</v>
      </c>
      <c r="AA1419" t="s">
        <v>379</v>
      </c>
      <c r="AB1419" t="s">
        <v>1552</v>
      </c>
      <c r="AC1419" t="s">
        <v>41</v>
      </c>
      <c r="AD1419" t="s">
        <v>41</v>
      </c>
      <c r="AE1419" t="s">
        <v>41</v>
      </c>
      <c r="AF1419" t="s">
        <v>41</v>
      </c>
      <c r="AK1419"/>
    </row>
    <row r="1420" spans="1:38" x14ac:dyDescent="0.25">
      <c r="A1420" t="s">
        <v>37</v>
      </c>
      <c r="B1420">
        <v>46059.604351851849</v>
      </c>
      <c r="C1420">
        <v>89285</v>
      </c>
      <c r="D1420" t="s">
        <v>373</v>
      </c>
      <c r="E1420">
        <v>4510621</v>
      </c>
      <c r="F1420">
        <v>2104879</v>
      </c>
      <c r="G1420" t="s">
        <v>556</v>
      </c>
      <c r="H1420" t="s">
        <v>1506</v>
      </c>
      <c r="I1420">
        <v>5</v>
      </c>
      <c r="J1420" t="b">
        <v>1</v>
      </c>
      <c r="K1420">
        <v>1.25</v>
      </c>
      <c r="L1420">
        <v>2106199</v>
      </c>
      <c r="M1420" t="s">
        <v>558</v>
      </c>
      <c r="N1420">
        <v>4</v>
      </c>
      <c r="O1420">
        <v>4</v>
      </c>
      <c r="P1420"/>
      <c r="Q1420">
        <v>134907</v>
      </c>
      <c r="R1420">
        <v>1</v>
      </c>
      <c r="S1420" t="s">
        <v>40</v>
      </c>
      <c r="T1420">
        <v>261</v>
      </c>
      <c r="U1420">
        <v>147664</v>
      </c>
      <c r="V1420">
        <v>24</v>
      </c>
      <c r="W1420" t="s">
        <v>40</v>
      </c>
      <c r="X1420">
        <v>261</v>
      </c>
      <c r="Y1420" t="s">
        <v>377</v>
      </c>
      <c r="Z1420" t="s">
        <v>378</v>
      </c>
      <c r="AA1420" t="s">
        <v>379</v>
      </c>
      <c r="AB1420" t="s">
        <v>384</v>
      </c>
      <c r="AC1420" t="s">
        <v>41</v>
      </c>
      <c r="AD1420" t="s">
        <v>41</v>
      </c>
      <c r="AE1420" t="s">
        <v>41</v>
      </c>
      <c r="AF1420" t="s">
        <v>41</v>
      </c>
      <c r="AK1420"/>
    </row>
    <row r="1421" spans="1:38" x14ac:dyDescent="0.25">
      <c r="A1421" t="s">
        <v>37</v>
      </c>
      <c r="B1421">
        <v>46059.605254629627</v>
      </c>
      <c r="C1421">
        <v>89285</v>
      </c>
      <c r="D1421" t="s">
        <v>373</v>
      </c>
      <c r="E1421">
        <v>4510622</v>
      </c>
      <c r="F1421">
        <v>2104879</v>
      </c>
      <c r="G1421" t="s">
        <v>556</v>
      </c>
      <c r="H1421" t="s">
        <v>1506</v>
      </c>
      <c r="I1421">
        <v>5</v>
      </c>
      <c r="J1421" t="b">
        <v>1</v>
      </c>
      <c r="K1421">
        <v>1</v>
      </c>
      <c r="L1421">
        <v>2106199</v>
      </c>
      <c r="M1421" t="s">
        <v>558</v>
      </c>
      <c r="N1421">
        <v>5</v>
      </c>
      <c r="O1421">
        <v>5</v>
      </c>
      <c r="P1421"/>
      <c r="Q1421">
        <v>134907</v>
      </c>
      <c r="R1421">
        <v>1</v>
      </c>
      <c r="S1421" t="s">
        <v>40</v>
      </c>
      <c r="T1421">
        <v>261</v>
      </c>
      <c r="U1421">
        <v>147664</v>
      </c>
      <c r="V1421">
        <v>24</v>
      </c>
      <c r="W1421" t="s">
        <v>40</v>
      </c>
      <c r="X1421">
        <v>261</v>
      </c>
      <c r="Y1421" t="s">
        <v>377</v>
      </c>
      <c r="Z1421" t="s">
        <v>378</v>
      </c>
      <c r="AA1421" t="s">
        <v>379</v>
      </c>
      <c r="AB1421" t="s">
        <v>559</v>
      </c>
      <c r="AC1421" t="s">
        <v>41</v>
      </c>
      <c r="AD1421" t="s">
        <v>41</v>
      </c>
      <c r="AE1421" t="s">
        <v>41</v>
      </c>
      <c r="AF1421" t="s">
        <v>41</v>
      </c>
      <c r="AK1421"/>
    </row>
    <row r="1422" spans="1:38" x14ac:dyDescent="0.25">
      <c r="A1422" t="s">
        <v>38</v>
      </c>
      <c r="B1422">
        <v>46060.062164351853</v>
      </c>
      <c r="C1422">
        <v>91348</v>
      </c>
      <c r="D1422" t="s">
        <v>866</v>
      </c>
      <c r="E1422">
        <v>4510119</v>
      </c>
      <c r="F1422">
        <v>156292</v>
      </c>
      <c r="G1422" t="s">
        <v>46</v>
      </c>
      <c r="H1422" t="s">
        <v>1485</v>
      </c>
      <c r="I1422">
        <v>7</v>
      </c>
      <c r="J1422" t="b">
        <v>1</v>
      </c>
      <c r="K1422">
        <v>1.75</v>
      </c>
      <c r="L1422">
        <v>156291</v>
      </c>
      <c r="M1422" t="s">
        <v>433</v>
      </c>
      <c r="N1422">
        <v>4</v>
      </c>
      <c r="O1422">
        <v>4</v>
      </c>
      <c r="P1422"/>
      <c r="Q1422">
        <v>2301936</v>
      </c>
      <c r="R1422">
        <v>1</v>
      </c>
      <c r="S1422" t="s">
        <v>40</v>
      </c>
      <c r="T1422">
        <v>261</v>
      </c>
      <c r="U1422">
        <v>147664</v>
      </c>
      <c r="V1422">
        <v>24</v>
      </c>
      <c r="W1422" t="s">
        <v>40</v>
      </c>
      <c r="X1422">
        <v>261</v>
      </c>
      <c r="Y1422" t="s">
        <v>377</v>
      </c>
      <c r="Z1422" t="s">
        <v>378</v>
      </c>
      <c r="AA1422" t="s">
        <v>379</v>
      </c>
      <c r="AB1422" t="s">
        <v>384</v>
      </c>
      <c r="AC1422" t="s">
        <v>41</v>
      </c>
      <c r="AD1422" t="s">
        <v>41</v>
      </c>
      <c r="AE1422" t="s">
        <v>41</v>
      </c>
      <c r="AF1422" t="s">
        <v>41</v>
      </c>
      <c r="AK1422"/>
    </row>
    <row r="1423" spans="1:38" x14ac:dyDescent="0.25">
      <c r="A1423" t="s">
        <v>38</v>
      </c>
      <c r="B1423">
        <v>46060.063310185185</v>
      </c>
      <c r="C1423">
        <v>91348</v>
      </c>
      <c r="D1423" t="s">
        <v>866</v>
      </c>
      <c r="E1423">
        <v>4510118</v>
      </c>
      <c r="F1423">
        <v>156292</v>
      </c>
      <c r="G1423" t="s">
        <v>46</v>
      </c>
      <c r="H1423" t="s">
        <v>1485</v>
      </c>
      <c r="I1423">
        <v>7</v>
      </c>
      <c r="J1423" t="b">
        <v>1</v>
      </c>
      <c r="K1423">
        <v>1.75</v>
      </c>
      <c r="L1423">
        <v>156291</v>
      </c>
      <c r="M1423" t="s">
        <v>433</v>
      </c>
      <c r="N1423">
        <v>4</v>
      </c>
      <c r="O1423">
        <v>4</v>
      </c>
      <c r="P1423"/>
      <c r="Q1423">
        <v>2301936</v>
      </c>
      <c r="R1423">
        <v>1</v>
      </c>
      <c r="S1423" t="s">
        <v>40</v>
      </c>
      <c r="T1423">
        <v>261</v>
      </c>
      <c r="U1423">
        <v>147664</v>
      </c>
      <c r="V1423">
        <v>24</v>
      </c>
      <c r="W1423" t="s">
        <v>40</v>
      </c>
      <c r="X1423">
        <v>261</v>
      </c>
      <c r="Y1423" t="s">
        <v>377</v>
      </c>
      <c r="Z1423" t="s">
        <v>378</v>
      </c>
      <c r="AA1423" t="s">
        <v>379</v>
      </c>
      <c r="AB1423" t="s">
        <v>384</v>
      </c>
      <c r="AC1423" t="s">
        <v>41</v>
      </c>
      <c r="AD1423" t="s">
        <v>41</v>
      </c>
      <c r="AE1423" t="s">
        <v>41</v>
      </c>
      <c r="AF1423" t="s">
        <v>41</v>
      </c>
      <c r="AK1423"/>
    </row>
    <row r="1424" spans="1:38" x14ac:dyDescent="0.25">
      <c r="A1424" t="s">
        <v>44</v>
      </c>
      <c r="B1424">
        <v>46060.136412037034</v>
      </c>
      <c r="C1424">
        <v>91752</v>
      </c>
      <c r="D1424" t="s">
        <v>866</v>
      </c>
      <c r="E1424">
        <v>4508307</v>
      </c>
      <c r="F1424">
        <v>2304758</v>
      </c>
      <c r="G1424" t="s">
        <v>402</v>
      </c>
      <c r="H1424" t="s">
        <v>1471</v>
      </c>
      <c r="I1424">
        <v>14</v>
      </c>
      <c r="J1424" t="b">
        <v>1</v>
      </c>
      <c r="K1424">
        <v>1.75</v>
      </c>
      <c r="L1424">
        <v>2304759</v>
      </c>
      <c r="M1424"/>
      <c r="N1424">
        <v>8</v>
      </c>
      <c r="O1424">
        <v>8</v>
      </c>
      <c r="P1424"/>
      <c r="Q1424">
        <v>155687</v>
      </c>
      <c r="R1424">
        <v>1</v>
      </c>
      <c r="S1424" t="s">
        <v>40</v>
      </c>
      <c r="T1424">
        <v>261</v>
      </c>
      <c r="U1424">
        <v>147664</v>
      </c>
      <c r="V1424">
        <v>48</v>
      </c>
      <c r="W1424" t="s">
        <v>40</v>
      </c>
      <c r="X1424">
        <v>261</v>
      </c>
      <c r="Y1424" t="s">
        <v>377</v>
      </c>
      <c r="Z1424" t="s">
        <v>378</v>
      </c>
      <c r="AA1424" t="s">
        <v>379</v>
      </c>
      <c r="AB1424" t="s">
        <v>384</v>
      </c>
      <c r="AC1424" t="s">
        <v>379</v>
      </c>
      <c r="AD1424" t="s">
        <v>384</v>
      </c>
      <c r="AE1424" t="s">
        <v>41</v>
      </c>
      <c r="AF1424" t="s">
        <v>41</v>
      </c>
      <c r="AI1424">
        <v>155687</v>
      </c>
      <c r="AJ1424">
        <v>1</v>
      </c>
      <c r="AK1424" t="s">
        <v>40</v>
      </c>
      <c r="AL1424">
        <v>261</v>
      </c>
    </row>
    <row r="1425" spans="1:38" x14ac:dyDescent="0.25">
      <c r="A1425" t="s">
        <v>47</v>
      </c>
      <c r="B1425">
        <v>46060.366828703707</v>
      </c>
      <c r="C1425">
        <v>92124</v>
      </c>
      <c r="D1425" t="s">
        <v>494</v>
      </c>
      <c r="E1425">
        <v>4501955</v>
      </c>
      <c r="F1425">
        <v>2104721</v>
      </c>
      <c r="G1425" t="s">
        <v>1553</v>
      </c>
      <c r="H1425" t="s">
        <v>1554</v>
      </c>
      <c r="I1425">
        <v>25.5</v>
      </c>
      <c r="J1425" t="b">
        <v>1</v>
      </c>
      <c r="K1425">
        <v>0.11233480176211454</v>
      </c>
      <c r="L1425">
        <v>2106045</v>
      </c>
      <c r="M1425" t="s">
        <v>1555</v>
      </c>
      <c r="N1425">
        <v>227</v>
      </c>
      <c r="O1425">
        <v>218</v>
      </c>
      <c r="P1425"/>
      <c r="Q1425">
        <v>134976</v>
      </c>
      <c r="R1425">
        <v>1</v>
      </c>
      <c r="S1425" t="s">
        <v>40</v>
      </c>
      <c r="T1425">
        <v>261</v>
      </c>
      <c r="W1425"/>
      <c r="Y1425" t="s">
        <v>377</v>
      </c>
      <c r="Z1425" t="s">
        <v>378</v>
      </c>
      <c r="AA1425" t="s">
        <v>379</v>
      </c>
      <c r="AB1425" t="s">
        <v>1397</v>
      </c>
      <c r="AC1425" t="s">
        <v>41</v>
      </c>
      <c r="AD1425" t="s">
        <v>41</v>
      </c>
      <c r="AE1425" t="s">
        <v>41</v>
      </c>
      <c r="AF1425" t="s">
        <v>41</v>
      </c>
      <c r="AK1425"/>
    </row>
    <row r="1426" spans="1:38" x14ac:dyDescent="0.25">
      <c r="A1426" t="s">
        <v>47</v>
      </c>
      <c r="B1426">
        <v>46060.36787037037</v>
      </c>
      <c r="C1426">
        <v>92671</v>
      </c>
      <c r="D1426" t="s">
        <v>494</v>
      </c>
      <c r="E1426">
        <v>4503347</v>
      </c>
      <c r="F1426">
        <v>2104662</v>
      </c>
      <c r="G1426" t="s">
        <v>1556</v>
      </c>
      <c r="H1426" t="s">
        <v>1554</v>
      </c>
      <c r="I1426">
        <v>25.5</v>
      </c>
      <c r="J1426" t="b">
        <v>1</v>
      </c>
      <c r="K1426">
        <v>0.23181818181818181</v>
      </c>
      <c r="L1426">
        <v>2105999</v>
      </c>
      <c r="M1426" t="s">
        <v>1557</v>
      </c>
      <c r="N1426">
        <v>110</v>
      </c>
      <c r="O1426">
        <v>109</v>
      </c>
      <c r="P1426"/>
      <c r="Q1426">
        <v>134976</v>
      </c>
      <c r="R1426">
        <v>1</v>
      </c>
      <c r="S1426" t="s">
        <v>40</v>
      </c>
      <c r="T1426">
        <v>261</v>
      </c>
      <c r="W1426"/>
      <c r="Y1426" t="s">
        <v>377</v>
      </c>
      <c r="Z1426" t="s">
        <v>378</v>
      </c>
      <c r="AA1426" t="s">
        <v>379</v>
      </c>
      <c r="AB1426" t="s">
        <v>573</v>
      </c>
      <c r="AC1426" t="s">
        <v>41</v>
      </c>
      <c r="AD1426" t="s">
        <v>41</v>
      </c>
      <c r="AE1426" t="s">
        <v>41</v>
      </c>
      <c r="AF1426" t="s">
        <v>41</v>
      </c>
      <c r="AK1426"/>
    </row>
    <row r="1427" spans="1:38" x14ac:dyDescent="0.25">
      <c r="A1427" t="s">
        <v>37</v>
      </c>
      <c r="B1427">
        <v>46060.379826388889</v>
      </c>
      <c r="C1427">
        <v>89687</v>
      </c>
      <c r="D1427" t="s">
        <v>494</v>
      </c>
      <c r="E1427">
        <v>4510624</v>
      </c>
      <c r="F1427">
        <v>2104879</v>
      </c>
      <c r="G1427" t="s">
        <v>556</v>
      </c>
      <c r="H1427" t="s">
        <v>1509</v>
      </c>
      <c r="I1427">
        <v>10</v>
      </c>
      <c r="J1427" t="b">
        <v>1</v>
      </c>
      <c r="K1427">
        <v>2</v>
      </c>
      <c r="L1427">
        <v>2106199</v>
      </c>
      <c r="M1427" t="s">
        <v>558</v>
      </c>
      <c r="N1427">
        <v>5</v>
      </c>
      <c r="O1427">
        <v>9</v>
      </c>
      <c r="P1427"/>
      <c r="Q1427">
        <v>134971</v>
      </c>
      <c r="R1427">
        <v>1</v>
      </c>
      <c r="S1427" t="s">
        <v>40</v>
      </c>
      <c r="T1427">
        <v>261</v>
      </c>
      <c r="U1427">
        <v>147664</v>
      </c>
      <c r="V1427">
        <v>24</v>
      </c>
      <c r="W1427" t="s">
        <v>40</v>
      </c>
      <c r="X1427">
        <v>261</v>
      </c>
      <c r="Y1427" t="s">
        <v>377</v>
      </c>
      <c r="Z1427" t="s">
        <v>378</v>
      </c>
      <c r="AA1427" t="s">
        <v>379</v>
      </c>
      <c r="AB1427" t="s">
        <v>559</v>
      </c>
      <c r="AC1427" t="s">
        <v>41</v>
      </c>
      <c r="AD1427" t="s">
        <v>41</v>
      </c>
      <c r="AE1427" t="s">
        <v>41</v>
      </c>
      <c r="AF1427" t="s">
        <v>41</v>
      </c>
      <c r="AK1427"/>
    </row>
    <row r="1428" spans="1:38" x14ac:dyDescent="0.25">
      <c r="A1428" t="s">
        <v>37</v>
      </c>
      <c r="B1428">
        <v>46060.380694444444</v>
      </c>
      <c r="C1428">
        <v>89687</v>
      </c>
      <c r="D1428" t="s">
        <v>494</v>
      </c>
      <c r="E1428">
        <v>4510623</v>
      </c>
      <c r="F1428">
        <v>2104879</v>
      </c>
      <c r="G1428" t="s">
        <v>556</v>
      </c>
      <c r="H1428" t="s">
        <v>1509</v>
      </c>
      <c r="I1428">
        <v>10</v>
      </c>
      <c r="J1428" t="b">
        <v>1</v>
      </c>
      <c r="K1428">
        <v>2.5</v>
      </c>
      <c r="L1428">
        <v>2106199</v>
      </c>
      <c r="M1428" t="s">
        <v>558</v>
      </c>
      <c r="N1428">
        <v>4</v>
      </c>
      <c r="O1428">
        <v>4</v>
      </c>
      <c r="P1428"/>
      <c r="Q1428">
        <v>134971</v>
      </c>
      <c r="R1428">
        <v>1</v>
      </c>
      <c r="S1428" t="s">
        <v>40</v>
      </c>
      <c r="T1428">
        <v>261</v>
      </c>
      <c r="U1428">
        <v>147664</v>
      </c>
      <c r="V1428">
        <v>24</v>
      </c>
      <c r="W1428" t="s">
        <v>40</v>
      </c>
      <c r="X1428">
        <v>261</v>
      </c>
      <c r="Y1428" t="s">
        <v>377</v>
      </c>
      <c r="Z1428" t="s">
        <v>378</v>
      </c>
      <c r="AA1428" t="s">
        <v>379</v>
      </c>
      <c r="AB1428" t="s">
        <v>384</v>
      </c>
      <c r="AC1428" t="s">
        <v>41</v>
      </c>
      <c r="AD1428" t="s">
        <v>41</v>
      </c>
      <c r="AE1428" t="s">
        <v>41</v>
      </c>
      <c r="AF1428" t="s">
        <v>41</v>
      </c>
      <c r="AK1428"/>
    </row>
    <row r="1429" spans="1:38" x14ac:dyDescent="0.25">
      <c r="A1429" t="s">
        <v>39</v>
      </c>
      <c r="B1429">
        <v>46060.637754629628</v>
      </c>
      <c r="C1429">
        <v>91349</v>
      </c>
      <c r="D1429" t="s">
        <v>494</v>
      </c>
      <c r="E1429">
        <v>4510531</v>
      </c>
      <c r="F1429">
        <v>156316</v>
      </c>
      <c r="G1429" t="s">
        <v>899</v>
      </c>
      <c r="H1429" t="s">
        <v>1500</v>
      </c>
      <c r="I1429">
        <v>14</v>
      </c>
      <c r="J1429" t="b">
        <v>1</v>
      </c>
      <c r="K1429">
        <v>3.5</v>
      </c>
      <c r="L1429">
        <v>156315</v>
      </c>
      <c r="M1429" t="s">
        <v>901</v>
      </c>
      <c r="N1429">
        <v>4</v>
      </c>
      <c r="O1429">
        <v>8</v>
      </c>
      <c r="P1429"/>
      <c r="Q1429">
        <v>134905</v>
      </c>
      <c r="R1429">
        <v>1</v>
      </c>
      <c r="S1429" t="s">
        <v>40</v>
      </c>
      <c r="T1429">
        <v>261</v>
      </c>
      <c r="U1429">
        <v>147664</v>
      </c>
      <c r="V1429">
        <v>24</v>
      </c>
      <c r="W1429" t="s">
        <v>40</v>
      </c>
      <c r="X1429">
        <v>261</v>
      </c>
      <c r="Y1429" t="s">
        <v>377</v>
      </c>
      <c r="Z1429" t="s">
        <v>378</v>
      </c>
      <c r="AA1429" t="s">
        <v>379</v>
      </c>
      <c r="AB1429" t="s">
        <v>384</v>
      </c>
      <c r="AC1429" t="s">
        <v>41</v>
      </c>
      <c r="AD1429" t="s">
        <v>41</v>
      </c>
      <c r="AE1429" t="s">
        <v>41</v>
      </c>
      <c r="AF1429" t="s">
        <v>41</v>
      </c>
      <c r="AK1429"/>
    </row>
    <row r="1430" spans="1:38" x14ac:dyDescent="0.25">
      <c r="A1430" t="s">
        <v>39</v>
      </c>
      <c r="B1430">
        <v>46060.638773148145</v>
      </c>
      <c r="C1430">
        <v>91349</v>
      </c>
      <c r="D1430" t="s">
        <v>494</v>
      </c>
      <c r="E1430">
        <v>4510530</v>
      </c>
      <c r="F1430">
        <v>156316</v>
      </c>
      <c r="G1430" t="s">
        <v>899</v>
      </c>
      <c r="H1430" t="s">
        <v>1500</v>
      </c>
      <c r="I1430">
        <v>14</v>
      </c>
      <c r="J1430" t="b">
        <v>1</v>
      </c>
      <c r="K1430">
        <v>3.5</v>
      </c>
      <c r="L1430">
        <v>156315</v>
      </c>
      <c r="M1430" t="s">
        <v>901</v>
      </c>
      <c r="N1430">
        <v>4</v>
      </c>
      <c r="O1430">
        <v>4</v>
      </c>
      <c r="P1430"/>
      <c r="Q1430">
        <v>134905</v>
      </c>
      <c r="R1430">
        <v>1</v>
      </c>
      <c r="S1430" t="s">
        <v>40</v>
      </c>
      <c r="T1430">
        <v>261</v>
      </c>
      <c r="U1430">
        <v>147664</v>
      </c>
      <c r="V1430">
        <v>24</v>
      </c>
      <c r="W1430" t="s">
        <v>40</v>
      </c>
      <c r="X1430">
        <v>261</v>
      </c>
      <c r="Y1430" t="s">
        <v>377</v>
      </c>
      <c r="Z1430" t="s">
        <v>378</v>
      </c>
      <c r="AA1430" t="s">
        <v>379</v>
      </c>
      <c r="AB1430" t="s">
        <v>384</v>
      </c>
      <c r="AC1430" t="s">
        <v>41</v>
      </c>
      <c r="AD1430" t="s">
        <v>41</v>
      </c>
      <c r="AE1430" t="s">
        <v>41</v>
      </c>
      <c r="AF1430" t="s">
        <v>41</v>
      </c>
      <c r="AK1430"/>
    </row>
    <row r="1431" spans="1:38" x14ac:dyDescent="0.25">
      <c r="A1431" t="s">
        <v>47</v>
      </c>
      <c r="B1431">
        <v>46061.178425925929</v>
      </c>
      <c r="C1431">
        <v>90271</v>
      </c>
      <c r="D1431" t="s">
        <v>531</v>
      </c>
      <c r="E1431">
        <v>4484223</v>
      </c>
      <c r="F1431">
        <v>2301787</v>
      </c>
      <c r="G1431" t="s">
        <v>1558</v>
      </c>
      <c r="H1431" t="s">
        <v>1554</v>
      </c>
      <c r="I1431">
        <v>4</v>
      </c>
      <c r="J1431" t="b">
        <v>1</v>
      </c>
      <c r="K1431">
        <v>1.6597510373443983E-2</v>
      </c>
      <c r="L1431">
        <v>2301788</v>
      </c>
      <c r="M1431" t="s">
        <v>1559</v>
      </c>
      <c r="N1431">
        <v>241</v>
      </c>
      <c r="O1431">
        <v>236</v>
      </c>
      <c r="P1431"/>
      <c r="Q1431">
        <v>134976</v>
      </c>
      <c r="R1431">
        <v>1</v>
      </c>
      <c r="S1431" t="s">
        <v>40</v>
      </c>
      <c r="T1431">
        <v>261</v>
      </c>
      <c r="W1431"/>
      <c r="Y1431" t="s">
        <v>377</v>
      </c>
      <c r="Z1431" t="s">
        <v>378</v>
      </c>
      <c r="AA1431" t="s">
        <v>379</v>
      </c>
      <c r="AB1431" t="s">
        <v>1006</v>
      </c>
      <c r="AC1431" t="s">
        <v>41</v>
      </c>
      <c r="AD1431" t="s">
        <v>41</v>
      </c>
      <c r="AE1431" t="s">
        <v>41</v>
      </c>
      <c r="AF1431" t="s">
        <v>41</v>
      </c>
      <c r="AK1431"/>
    </row>
    <row r="1432" spans="1:38" x14ac:dyDescent="0.25">
      <c r="A1432" t="s">
        <v>47</v>
      </c>
      <c r="B1432">
        <v>46061.181145833332</v>
      </c>
      <c r="C1432">
        <v>90270</v>
      </c>
      <c r="D1432" t="s">
        <v>531</v>
      </c>
      <c r="E1432">
        <v>4509886</v>
      </c>
      <c r="F1432">
        <v>2129207</v>
      </c>
      <c r="G1432" t="s">
        <v>1560</v>
      </c>
      <c r="H1432" t="s">
        <v>1464</v>
      </c>
      <c r="I1432">
        <v>4</v>
      </c>
      <c r="J1432" t="b">
        <v>1</v>
      </c>
      <c r="K1432">
        <v>0.04</v>
      </c>
      <c r="L1432">
        <v>2132159</v>
      </c>
      <c r="M1432" t="s">
        <v>1561</v>
      </c>
      <c r="N1432">
        <v>100</v>
      </c>
      <c r="O1432">
        <v>99</v>
      </c>
      <c r="P1432"/>
      <c r="Q1432">
        <v>134974</v>
      </c>
      <c r="R1432">
        <v>1</v>
      </c>
      <c r="S1432" t="s">
        <v>40</v>
      </c>
      <c r="T1432">
        <v>261</v>
      </c>
      <c r="W1432"/>
      <c r="Y1432" t="s">
        <v>377</v>
      </c>
      <c r="Z1432" t="s">
        <v>378</v>
      </c>
      <c r="AA1432" t="s">
        <v>379</v>
      </c>
      <c r="AB1432" t="s">
        <v>773</v>
      </c>
      <c r="AC1432" t="s">
        <v>41</v>
      </c>
      <c r="AD1432" t="s">
        <v>41</v>
      </c>
      <c r="AE1432" t="s">
        <v>41</v>
      </c>
      <c r="AF1432" t="s">
        <v>41</v>
      </c>
      <c r="AK1432"/>
    </row>
    <row r="1433" spans="1:38" x14ac:dyDescent="0.25">
      <c r="A1433" t="s">
        <v>37</v>
      </c>
      <c r="B1433">
        <v>46061.182673611111</v>
      </c>
      <c r="C1433">
        <v>2106200</v>
      </c>
      <c r="D1433" t="s">
        <v>531</v>
      </c>
      <c r="E1433">
        <v>4510777</v>
      </c>
      <c r="F1433">
        <v>2104880</v>
      </c>
      <c r="G1433" t="s">
        <v>577</v>
      </c>
      <c r="H1433" t="s">
        <v>1562</v>
      </c>
      <c r="I1433">
        <v>5</v>
      </c>
      <c r="J1433" t="b">
        <v>1</v>
      </c>
      <c r="K1433">
        <v>1</v>
      </c>
      <c r="L1433">
        <v>2106200</v>
      </c>
      <c r="M1433" t="s">
        <v>579</v>
      </c>
      <c r="N1433">
        <v>5</v>
      </c>
      <c r="O1433">
        <v>5</v>
      </c>
      <c r="P1433"/>
      <c r="Q1433">
        <v>134905</v>
      </c>
      <c r="R1433">
        <v>1</v>
      </c>
      <c r="S1433" t="s">
        <v>40</v>
      </c>
      <c r="T1433">
        <v>261</v>
      </c>
      <c r="U1433">
        <v>147664</v>
      </c>
      <c r="V1433">
        <v>24</v>
      </c>
      <c r="W1433" t="s">
        <v>40</v>
      </c>
      <c r="X1433">
        <v>261</v>
      </c>
      <c r="Y1433" t="s">
        <v>377</v>
      </c>
      <c r="Z1433" t="s">
        <v>378</v>
      </c>
      <c r="AA1433" t="s">
        <v>379</v>
      </c>
      <c r="AB1433" t="s">
        <v>559</v>
      </c>
      <c r="AC1433" t="s">
        <v>41</v>
      </c>
      <c r="AD1433" t="s">
        <v>41</v>
      </c>
      <c r="AE1433" t="s">
        <v>41</v>
      </c>
      <c r="AF1433" t="s">
        <v>41</v>
      </c>
      <c r="AK1433"/>
    </row>
    <row r="1434" spans="1:38" x14ac:dyDescent="0.25">
      <c r="A1434" t="s">
        <v>37</v>
      </c>
      <c r="B1434">
        <v>46061.184108796297</v>
      </c>
      <c r="C1434">
        <v>89688</v>
      </c>
      <c r="D1434" t="s">
        <v>531</v>
      </c>
      <c r="E1434">
        <v>4510776</v>
      </c>
      <c r="F1434">
        <v>2104880</v>
      </c>
      <c r="G1434" t="s">
        <v>577</v>
      </c>
      <c r="H1434" t="s">
        <v>1562</v>
      </c>
      <c r="I1434">
        <v>5</v>
      </c>
      <c r="J1434" t="b">
        <v>1</v>
      </c>
      <c r="K1434">
        <v>1.25</v>
      </c>
      <c r="L1434">
        <v>2106200</v>
      </c>
      <c r="M1434" t="s">
        <v>579</v>
      </c>
      <c r="N1434">
        <v>4</v>
      </c>
      <c r="O1434">
        <v>4</v>
      </c>
      <c r="P1434"/>
      <c r="Q1434">
        <v>134905</v>
      </c>
      <c r="R1434">
        <v>1</v>
      </c>
      <c r="S1434" t="s">
        <v>40</v>
      </c>
      <c r="T1434">
        <v>261</v>
      </c>
      <c r="U1434">
        <v>147664</v>
      </c>
      <c r="V1434">
        <v>24</v>
      </c>
      <c r="W1434" t="s">
        <v>40</v>
      </c>
      <c r="X1434">
        <v>261</v>
      </c>
      <c r="Y1434" t="s">
        <v>377</v>
      </c>
      <c r="Z1434" t="s">
        <v>378</v>
      </c>
      <c r="AA1434" t="s">
        <v>379</v>
      </c>
      <c r="AB1434" t="s">
        <v>384</v>
      </c>
      <c r="AC1434" t="s">
        <v>41</v>
      </c>
      <c r="AD1434" t="s">
        <v>41</v>
      </c>
      <c r="AE1434" t="s">
        <v>41</v>
      </c>
      <c r="AF1434" t="s">
        <v>41</v>
      </c>
      <c r="AK1434"/>
    </row>
    <row r="1435" spans="1:38" x14ac:dyDescent="0.25">
      <c r="A1435" t="s">
        <v>38</v>
      </c>
      <c r="B1435">
        <v>46061.391608796293</v>
      </c>
      <c r="C1435">
        <v>91755</v>
      </c>
      <c r="D1435" t="s">
        <v>373</v>
      </c>
      <c r="E1435">
        <v>4508308</v>
      </c>
      <c r="F1435">
        <v>2304758</v>
      </c>
      <c r="G1435" t="s">
        <v>402</v>
      </c>
      <c r="H1435" t="s">
        <v>1484</v>
      </c>
      <c r="I1435">
        <v>14</v>
      </c>
      <c r="J1435" t="b">
        <v>1</v>
      </c>
      <c r="K1435">
        <v>1.75</v>
      </c>
      <c r="L1435">
        <v>2304759</v>
      </c>
      <c r="M1435" t="s">
        <v>404</v>
      </c>
      <c r="N1435">
        <v>8</v>
      </c>
      <c r="O1435">
        <v>8</v>
      </c>
      <c r="P1435"/>
      <c r="Q1435">
        <v>2301936</v>
      </c>
      <c r="R1435">
        <v>1</v>
      </c>
      <c r="S1435" t="s">
        <v>40</v>
      </c>
      <c r="T1435">
        <v>261</v>
      </c>
      <c r="U1435">
        <v>147664</v>
      </c>
      <c r="V1435">
        <v>48</v>
      </c>
      <c r="W1435" t="s">
        <v>40</v>
      </c>
      <c r="X1435">
        <v>261</v>
      </c>
      <c r="Y1435" t="s">
        <v>377</v>
      </c>
      <c r="Z1435" t="s">
        <v>378</v>
      </c>
      <c r="AA1435" t="s">
        <v>384</v>
      </c>
      <c r="AB1435" t="s">
        <v>384</v>
      </c>
      <c r="AC1435" t="s">
        <v>41</v>
      </c>
      <c r="AD1435" t="s">
        <v>41</v>
      </c>
      <c r="AE1435" t="s">
        <v>41</v>
      </c>
      <c r="AF1435" t="s">
        <v>41</v>
      </c>
      <c r="AI1435">
        <v>155687</v>
      </c>
      <c r="AJ1435">
        <v>1</v>
      </c>
      <c r="AK1435" t="s">
        <v>40</v>
      </c>
      <c r="AL1435">
        <v>261</v>
      </c>
    </row>
    <row r="1436" spans="1:38" x14ac:dyDescent="0.25">
      <c r="A1436" t="s">
        <v>37</v>
      </c>
      <c r="B1436">
        <v>46062.013124999998</v>
      </c>
      <c r="C1436">
        <v>89691</v>
      </c>
      <c r="D1436" t="s">
        <v>1025</v>
      </c>
      <c r="E1436">
        <v>4510778</v>
      </c>
      <c r="F1436">
        <v>2104880</v>
      </c>
      <c r="G1436" t="s">
        <v>577</v>
      </c>
      <c r="H1436" t="s">
        <v>1563</v>
      </c>
      <c r="I1436">
        <v>5</v>
      </c>
      <c r="J1436" t="b">
        <v>1</v>
      </c>
      <c r="K1436">
        <v>1.25</v>
      </c>
      <c r="L1436">
        <v>2106200</v>
      </c>
      <c r="M1436" t="s">
        <v>579</v>
      </c>
      <c r="N1436">
        <v>4</v>
      </c>
      <c r="O1436">
        <v>4</v>
      </c>
      <c r="P1436"/>
      <c r="Q1436">
        <v>134905</v>
      </c>
      <c r="R1436">
        <v>1</v>
      </c>
      <c r="S1436" t="s">
        <v>40</v>
      </c>
      <c r="T1436">
        <v>261</v>
      </c>
      <c r="U1436">
        <v>147664</v>
      </c>
      <c r="V1436">
        <v>24</v>
      </c>
      <c r="W1436" t="s">
        <v>40</v>
      </c>
      <c r="X1436">
        <v>261</v>
      </c>
      <c r="Y1436" t="s">
        <v>377</v>
      </c>
      <c r="Z1436" t="s">
        <v>378</v>
      </c>
      <c r="AA1436" t="s">
        <v>379</v>
      </c>
      <c r="AB1436" t="s">
        <v>384</v>
      </c>
      <c r="AC1436" t="s">
        <v>41</v>
      </c>
      <c r="AD1436" t="s">
        <v>41</v>
      </c>
      <c r="AE1436" t="s">
        <v>41</v>
      </c>
      <c r="AF1436" t="s">
        <v>41</v>
      </c>
      <c r="AK1436"/>
    </row>
    <row r="1437" spans="1:38" x14ac:dyDescent="0.25">
      <c r="A1437" t="s">
        <v>37</v>
      </c>
      <c r="B1437">
        <v>46062.013715277775</v>
      </c>
      <c r="C1437">
        <v>89691</v>
      </c>
      <c r="D1437" t="s">
        <v>1025</v>
      </c>
      <c r="E1437">
        <v>4510779</v>
      </c>
      <c r="F1437">
        <v>2104880</v>
      </c>
      <c r="G1437" t="s">
        <v>577</v>
      </c>
      <c r="H1437" t="s">
        <v>1563</v>
      </c>
      <c r="I1437">
        <v>5</v>
      </c>
      <c r="J1437" t="b">
        <v>1</v>
      </c>
      <c r="K1437">
        <v>1</v>
      </c>
      <c r="L1437">
        <v>2106200</v>
      </c>
      <c r="M1437" t="s">
        <v>579</v>
      </c>
      <c r="N1437">
        <v>5</v>
      </c>
      <c r="O1437">
        <v>5</v>
      </c>
      <c r="P1437"/>
      <c r="Q1437">
        <v>134905</v>
      </c>
      <c r="R1437">
        <v>1</v>
      </c>
      <c r="S1437" t="s">
        <v>40</v>
      </c>
      <c r="T1437">
        <v>261</v>
      </c>
      <c r="U1437">
        <v>147664</v>
      </c>
      <c r="V1437">
        <v>24</v>
      </c>
      <c r="W1437" t="s">
        <v>40</v>
      </c>
      <c r="X1437">
        <v>261</v>
      </c>
      <c r="Y1437" t="s">
        <v>377</v>
      </c>
      <c r="Z1437" t="s">
        <v>378</v>
      </c>
      <c r="AA1437" t="s">
        <v>379</v>
      </c>
      <c r="AB1437" t="s">
        <v>559</v>
      </c>
      <c r="AC1437" t="s">
        <v>41</v>
      </c>
      <c r="AD1437" t="s">
        <v>41</v>
      </c>
      <c r="AE1437" t="s">
        <v>41</v>
      </c>
      <c r="AF1437" t="s">
        <v>41</v>
      </c>
      <c r="AK1437"/>
    </row>
    <row r="1438" spans="1:38" x14ac:dyDescent="0.25">
      <c r="A1438" t="s">
        <v>38</v>
      </c>
      <c r="B1438">
        <v>46062.365937499999</v>
      </c>
      <c r="C1438">
        <v>91756</v>
      </c>
      <c r="D1438" t="s">
        <v>1530</v>
      </c>
      <c r="E1438">
        <v>4508309</v>
      </c>
      <c r="F1438">
        <v>2304758</v>
      </c>
      <c r="G1438" t="s">
        <v>402</v>
      </c>
      <c r="H1438" t="s">
        <v>1485</v>
      </c>
      <c r="I1438">
        <v>14</v>
      </c>
      <c r="J1438" t="b">
        <v>1</v>
      </c>
      <c r="K1438">
        <v>1.75</v>
      </c>
      <c r="L1438">
        <v>2304759</v>
      </c>
      <c r="M1438" t="s">
        <v>404</v>
      </c>
      <c r="N1438">
        <v>8</v>
      </c>
      <c r="O1438">
        <v>8</v>
      </c>
      <c r="P1438"/>
      <c r="Q1438">
        <v>143276</v>
      </c>
      <c r="R1438">
        <v>1</v>
      </c>
      <c r="S1438" t="s">
        <v>40</v>
      </c>
      <c r="T1438">
        <v>261</v>
      </c>
      <c r="U1438">
        <v>147664</v>
      </c>
      <c r="V1438">
        <v>48</v>
      </c>
      <c r="W1438" t="s">
        <v>40</v>
      </c>
      <c r="X1438">
        <v>261</v>
      </c>
      <c r="Y1438" t="s">
        <v>377</v>
      </c>
      <c r="Z1438" t="s">
        <v>378</v>
      </c>
      <c r="AA1438" t="s">
        <v>384</v>
      </c>
      <c r="AB1438" t="s">
        <v>384</v>
      </c>
      <c r="AC1438" t="s">
        <v>41</v>
      </c>
      <c r="AD1438" t="s">
        <v>41</v>
      </c>
      <c r="AE1438" t="s">
        <v>41</v>
      </c>
      <c r="AF1438" t="s">
        <v>41</v>
      </c>
      <c r="AI1438">
        <v>143276</v>
      </c>
      <c r="AJ1438">
        <v>1</v>
      </c>
      <c r="AK1438" t="s">
        <v>40</v>
      </c>
      <c r="AL1438">
        <v>261</v>
      </c>
    </row>
    <row r="1439" spans="1:38" x14ac:dyDescent="0.25">
      <c r="A1439" t="s">
        <v>47</v>
      </c>
      <c r="B1439">
        <v>46062.45689814815</v>
      </c>
      <c r="C1439">
        <v>90272</v>
      </c>
      <c r="D1439" t="s">
        <v>1530</v>
      </c>
      <c r="E1439">
        <v>4505956</v>
      </c>
      <c r="F1439">
        <v>2104655</v>
      </c>
      <c r="G1439" t="s">
        <v>1487</v>
      </c>
      <c r="H1439" t="s">
        <v>1564</v>
      </c>
      <c r="I1439">
        <v>4</v>
      </c>
      <c r="J1439" t="b">
        <v>1</v>
      </c>
      <c r="K1439">
        <v>1.2861736334405145E-2</v>
      </c>
      <c r="L1439">
        <v>2105992</v>
      </c>
      <c r="M1439" t="s">
        <v>1488</v>
      </c>
      <c r="N1439">
        <v>311</v>
      </c>
      <c r="O1439">
        <v>302</v>
      </c>
      <c r="P1439"/>
      <c r="Q1439">
        <v>134978</v>
      </c>
      <c r="R1439">
        <v>1</v>
      </c>
      <c r="S1439" t="s">
        <v>40</v>
      </c>
      <c r="T1439">
        <v>261</v>
      </c>
      <c r="W1439"/>
      <c r="Y1439" t="s">
        <v>377</v>
      </c>
      <c r="Z1439" t="s">
        <v>378</v>
      </c>
      <c r="AA1439" t="s">
        <v>379</v>
      </c>
      <c r="AB1439" t="s">
        <v>1565</v>
      </c>
      <c r="AC1439" t="s">
        <v>41</v>
      </c>
      <c r="AD1439" t="s">
        <v>41</v>
      </c>
      <c r="AE1439" t="s">
        <v>41</v>
      </c>
      <c r="AF1439" t="s">
        <v>41</v>
      </c>
      <c r="AK1439"/>
    </row>
    <row r="1440" spans="1:38" x14ac:dyDescent="0.25">
      <c r="A1440" t="s">
        <v>45</v>
      </c>
      <c r="B1440">
        <v>46062.675555555557</v>
      </c>
      <c r="C1440">
        <v>92128</v>
      </c>
      <c r="D1440" t="s">
        <v>1530</v>
      </c>
      <c r="E1440">
        <v>4498821</v>
      </c>
      <c r="F1440">
        <v>2123970</v>
      </c>
      <c r="G1440" t="s">
        <v>1045</v>
      </c>
      <c r="H1440" t="s">
        <v>1554</v>
      </c>
      <c r="I1440">
        <v>52</v>
      </c>
      <c r="J1440" t="b">
        <v>1</v>
      </c>
      <c r="K1440">
        <v>0.52</v>
      </c>
      <c r="L1440">
        <v>2124341</v>
      </c>
      <c r="M1440" t="s">
        <v>1046</v>
      </c>
      <c r="N1440">
        <v>100</v>
      </c>
      <c r="O1440">
        <v>100</v>
      </c>
      <c r="P1440"/>
      <c r="Q1440">
        <v>134976</v>
      </c>
      <c r="R1440">
        <v>1</v>
      </c>
      <c r="S1440" t="s">
        <v>40</v>
      </c>
      <c r="T1440">
        <v>261</v>
      </c>
      <c r="W1440"/>
      <c r="Y1440" t="s">
        <v>377</v>
      </c>
      <c r="Z1440" t="s">
        <v>378</v>
      </c>
      <c r="AA1440" t="s">
        <v>379</v>
      </c>
      <c r="AB1440" t="s">
        <v>773</v>
      </c>
      <c r="AC1440" t="s">
        <v>41</v>
      </c>
      <c r="AD1440" t="s">
        <v>41</v>
      </c>
      <c r="AE1440" t="s">
        <v>41</v>
      </c>
      <c r="AF1440" t="s">
        <v>41</v>
      </c>
      <c r="AK1440"/>
    </row>
    <row r="1441" spans="1:38" x14ac:dyDescent="0.25">
      <c r="A1441" t="s">
        <v>45</v>
      </c>
      <c r="B1441">
        <v>46062.677187499998</v>
      </c>
      <c r="C1441">
        <v>92128</v>
      </c>
      <c r="D1441" t="s">
        <v>1530</v>
      </c>
      <c r="E1441">
        <v>4498821</v>
      </c>
      <c r="F1441">
        <v>2123970</v>
      </c>
      <c r="G1441" t="s">
        <v>1045</v>
      </c>
      <c r="H1441" t="s">
        <v>1554</v>
      </c>
      <c r="I1441">
        <v>52</v>
      </c>
      <c r="J1441" t="b">
        <v>1</v>
      </c>
      <c r="K1441">
        <v>0.203125</v>
      </c>
      <c r="L1441">
        <v>2124341</v>
      </c>
      <c r="M1441" t="s">
        <v>1046</v>
      </c>
      <c r="N1441">
        <v>256</v>
      </c>
      <c r="O1441">
        <v>256</v>
      </c>
      <c r="P1441"/>
      <c r="Q1441">
        <v>134976</v>
      </c>
      <c r="R1441">
        <v>1</v>
      </c>
      <c r="S1441" t="s">
        <v>40</v>
      </c>
      <c r="T1441">
        <v>261</v>
      </c>
      <c r="W1441"/>
      <c r="Y1441" t="s">
        <v>377</v>
      </c>
      <c r="Z1441" t="s">
        <v>378</v>
      </c>
      <c r="AA1441" t="s">
        <v>379</v>
      </c>
      <c r="AB1441" t="s">
        <v>1207</v>
      </c>
      <c r="AC1441" t="s">
        <v>41</v>
      </c>
      <c r="AD1441" t="s">
        <v>41</v>
      </c>
      <c r="AE1441" t="s">
        <v>41</v>
      </c>
      <c r="AF1441" t="s">
        <v>41</v>
      </c>
      <c r="AK1441"/>
    </row>
    <row r="1442" spans="1:38" x14ac:dyDescent="0.25">
      <c r="A1442" t="s">
        <v>42</v>
      </c>
      <c r="B1442">
        <v>46063.142534722225</v>
      </c>
      <c r="C1442">
        <v>92130</v>
      </c>
      <c r="D1442" t="s">
        <v>745</v>
      </c>
      <c r="E1442">
        <v>4510637</v>
      </c>
      <c r="F1442">
        <v>143480</v>
      </c>
      <c r="G1442" t="s">
        <v>1566</v>
      </c>
      <c r="H1442" t="s">
        <v>1554</v>
      </c>
      <c r="I1442">
        <v>61</v>
      </c>
      <c r="J1442" t="b">
        <v>1</v>
      </c>
      <c r="K1442">
        <v>0.46923076923076923</v>
      </c>
      <c r="L1442">
        <v>143481</v>
      </c>
      <c r="M1442" t="s">
        <v>1567</v>
      </c>
      <c r="N1442">
        <v>130</v>
      </c>
      <c r="O1442">
        <v>130</v>
      </c>
      <c r="P1442"/>
      <c r="Q1442">
        <v>134974</v>
      </c>
      <c r="R1442">
        <v>1</v>
      </c>
      <c r="S1442" t="s">
        <v>40</v>
      </c>
      <c r="T1442">
        <v>261</v>
      </c>
      <c r="W1442"/>
      <c r="Y1442" t="s">
        <v>377</v>
      </c>
      <c r="Z1442" t="s">
        <v>378</v>
      </c>
      <c r="AA1442" t="s">
        <v>379</v>
      </c>
      <c r="AB1442" t="s">
        <v>676</v>
      </c>
      <c r="AC1442" t="s">
        <v>41</v>
      </c>
      <c r="AD1442" t="s">
        <v>41</v>
      </c>
      <c r="AE1442" t="s">
        <v>41</v>
      </c>
      <c r="AF1442" t="s">
        <v>41</v>
      </c>
      <c r="AK1442"/>
    </row>
    <row r="1443" spans="1:38" x14ac:dyDescent="0.25">
      <c r="A1443" t="s">
        <v>37</v>
      </c>
      <c r="B1443">
        <v>46063.144733796296</v>
      </c>
      <c r="C1443">
        <v>89692</v>
      </c>
      <c r="D1443" t="s">
        <v>745</v>
      </c>
      <c r="E1443">
        <v>4510784</v>
      </c>
      <c r="F1443">
        <v>2104879</v>
      </c>
      <c r="G1443" t="s">
        <v>556</v>
      </c>
      <c r="H1443" t="s">
        <v>1568</v>
      </c>
      <c r="I1443">
        <v>5</v>
      </c>
      <c r="J1443" t="b">
        <v>1</v>
      </c>
      <c r="K1443">
        <v>1.25</v>
      </c>
      <c r="L1443">
        <v>2106199</v>
      </c>
      <c r="M1443" t="s">
        <v>558</v>
      </c>
      <c r="N1443">
        <v>4</v>
      </c>
      <c r="O1443">
        <v>4</v>
      </c>
      <c r="P1443"/>
      <c r="Q1443">
        <v>134971</v>
      </c>
      <c r="R1443">
        <v>1</v>
      </c>
      <c r="S1443" t="s">
        <v>40</v>
      </c>
      <c r="T1443">
        <v>261</v>
      </c>
      <c r="U1443">
        <v>147664</v>
      </c>
      <c r="V1443">
        <v>24</v>
      </c>
      <c r="W1443" t="s">
        <v>40</v>
      </c>
      <c r="X1443">
        <v>261</v>
      </c>
      <c r="Y1443" t="s">
        <v>377</v>
      </c>
      <c r="Z1443" t="s">
        <v>378</v>
      </c>
      <c r="AA1443" t="s">
        <v>379</v>
      </c>
      <c r="AB1443" t="s">
        <v>384</v>
      </c>
      <c r="AC1443" t="s">
        <v>41</v>
      </c>
      <c r="AD1443" t="s">
        <v>41</v>
      </c>
      <c r="AE1443" t="s">
        <v>41</v>
      </c>
      <c r="AF1443" t="s">
        <v>41</v>
      </c>
      <c r="AK1443"/>
    </row>
    <row r="1444" spans="1:38" x14ac:dyDescent="0.25">
      <c r="A1444" t="s">
        <v>37</v>
      </c>
      <c r="B1444">
        <v>46063.145428240743</v>
      </c>
      <c r="C1444">
        <v>89692</v>
      </c>
      <c r="D1444" t="s">
        <v>745</v>
      </c>
      <c r="E1444">
        <v>4510785</v>
      </c>
      <c r="F1444">
        <v>2104879</v>
      </c>
      <c r="G1444" t="s">
        <v>556</v>
      </c>
      <c r="H1444" t="s">
        <v>1568</v>
      </c>
      <c r="I1444">
        <v>5</v>
      </c>
      <c r="J1444" t="b">
        <v>1</v>
      </c>
      <c r="K1444">
        <v>1</v>
      </c>
      <c r="L1444">
        <v>2106199</v>
      </c>
      <c r="M1444" t="s">
        <v>558</v>
      </c>
      <c r="N1444">
        <v>5</v>
      </c>
      <c r="O1444">
        <v>5</v>
      </c>
      <c r="P1444"/>
      <c r="Q1444">
        <v>134971</v>
      </c>
      <c r="R1444">
        <v>1</v>
      </c>
      <c r="S1444" t="s">
        <v>40</v>
      </c>
      <c r="T1444">
        <v>261</v>
      </c>
      <c r="U1444">
        <v>147664</v>
      </c>
      <c r="V1444">
        <v>24</v>
      </c>
      <c r="W1444" t="s">
        <v>40</v>
      </c>
      <c r="X1444">
        <v>261</v>
      </c>
      <c r="Y1444" t="s">
        <v>377</v>
      </c>
      <c r="Z1444" t="s">
        <v>378</v>
      </c>
      <c r="AA1444" t="s">
        <v>379</v>
      </c>
      <c r="AB1444" t="s">
        <v>559</v>
      </c>
      <c r="AC1444" t="s">
        <v>41</v>
      </c>
      <c r="AD1444" t="s">
        <v>41</v>
      </c>
      <c r="AE1444" t="s">
        <v>41</v>
      </c>
      <c r="AF1444" t="s">
        <v>41</v>
      </c>
      <c r="AK1444"/>
    </row>
    <row r="1445" spans="1:38" x14ac:dyDescent="0.25">
      <c r="A1445" t="s">
        <v>47</v>
      </c>
      <c r="B1445">
        <v>46063.461840277778</v>
      </c>
      <c r="C1445">
        <v>92371</v>
      </c>
      <c r="D1445" t="s">
        <v>393</v>
      </c>
      <c r="E1445">
        <v>4511018</v>
      </c>
      <c r="F1445">
        <v>2309685</v>
      </c>
      <c r="G1445" t="s">
        <v>1569</v>
      </c>
      <c r="H1445" t="s">
        <v>1554</v>
      </c>
      <c r="I1445">
        <v>3</v>
      </c>
      <c r="J1445" t="b">
        <v>1</v>
      </c>
      <c r="K1445">
        <v>1.7647058823529412E-2</v>
      </c>
      <c r="L1445">
        <v>2309687</v>
      </c>
      <c r="M1445" t="s">
        <v>1570</v>
      </c>
      <c r="N1445">
        <v>170</v>
      </c>
      <c r="O1445">
        <v>174</v>
      </c>
      <c r="P1445"/>
      <c r="Q1445">
        <v>134974</v>
      </c>
      <c r="R1445">
        <v>1</v>
      </c>
      <c r="S1445" t="s">
        <v>40</v>
      </c>
      <c r="T1445">
        <v>261</v>
      </c>
      <c r="W1445"/>
      <c r="Y1445" t="s">
        <v>377</v>
      </c>
      <c r="Z1445" t="s">
        <v>378</v>
      </c>
      <c r="AA1445" t="s">
        <v>379</v>
      </c>
      <c r="AB1445" t="s">
        <v>642</v>
      </c>
      <c r="AC1445" t="s">
        <v>41</v>
      </c>
      <c r="AD1445" t="s">
        <v>41</v>
      </c>
      <c r="AE1445" t="s">
        <v>41</v>
      </c>
      <c r="AF1445" t="s">
        <v>41</v>
      </c>
      <c r="AK1445"/>
    </row>
    <row r="1446" spans="1:38" x14ac:dyDescent="0.25">
      <c r="A1446" t="s">
        <v>42</v>
      </c>
      <c r="B1446">
        <v>46063.646874999999</v>
      </c>
      <c r="C1446">
        <v>90273</v>
      </c>
      <c r="D1446" t="s">
        <v>393</v>
      </c>
      <c r="E1446">
        <v>4508478</v>
      </c>
      <c r="F1446">
        <v>2104655</v>
      </c>
      <c r="G1446" t="s">
        <v>1487</v>
      </c>
      <c r="H1446" t="s">
        <v>1562</v>
      </c>
      <c r="I1446">
        <v>5</v>
      </c>
      <c r="J1446" t="b">
        <v>1</v>
      </c>
      <c r="K1446">
        <v>1.6666666666666666E-2</v>
      </c>
      <c r="L1446">
        <v>2105992</v>
      </c>
      <c r="M1446" t="s">
        <v>1488</v>
      </c>
      <c r="N1446">
        <v>300</v>
      </c>
      <c r="O1446">
        <v>301</v>
      </c>
      <c r="P1446"/>
      <c r="Q1446">
        <v>134976</v>
      </c>
      <c r="R1446">
        <v>1</v>
      </c>
      <c r="S1446" t="s">
        <v>40</v>
      </c>
      <c r="T1446">
        <v>261</v>
      </c>
      <c r="W1446"/>
      <c r="Y1446" t="s">
        <v>377</v>
      </c>
      <c r="Z1446" t="s">
        <v>378</v>
      </c>
      <c r="AA1446" t="s">
        <v>379</v>
      </c>
      <c r="AB1446" t="s">
        <v>1522</v>
      </c>
      <c r="AC1446" t="s">
        <v>41</v>
      </c>
      <c r="AD1446" t="s">
        <v>41</v>
      </c>
      <c r="AE1446" t="s">
        <v>41</v>
      </c>
      <c r="AF1446" t="s">
        <v>41</v>
      </c>
      <c r="AK1446"/>
    </row>
    <row r="1447" spans="1:38" x14ac:dyDescent="0.25">
      <c r="A1447" t="s">
        <v>42</v>
      </c>
      <c r="B1447">
        <v>46064.000509259262</v>
      </c>
      <c r="C1447">
        <v>92374</v>
      </c>
      <c r="D1447" t="s">
        <v>843</v>
      </c>
      <c r="E1447">
        <v>4508411</v>
      </c>
      <c r="F1447">
        <v>155034</v>
      </c>
      <c r="G1447" t="s">
        <v>1571</v>
      </c>
      <c r="H1447" t="s">
        <v>1554</v>
      </c>
      <c r="I1447">
        <v>3</v>
      </c>
      <c r="J1447" t="b">
        <v>1</v>
      </c>
      <c r="K1447">
        <v>1.4999999999999999E-2</v>
      </c>
      <c r="L1447">
        <v>155038</v>
      </c>
      <c r="M1447" t="s">
        <v>1572</v>
      </c>
      <c r="N1447">
        <v>200</v>
      </c>
      <c r="O1447">
        <v>200</v>
      </c>
      <c r="P1447"/>
      <c r="Q1447">
        <v>134976</v>
      </c>
      <c r="R1447">
        <v>1</v>
      </c>
      <c r="S1447" t="s">
        <v>40</v>
      </c>
      <c r="T1447">
        <v>261</v>
      </c>
      <c r="V1447">
        <v>0</v>
      </c>
      <c r="W1447"/>
      <c r="Y1447" t="s">
        <v>377</v>
      </c>
      <c r="Z1447" t="s">
        <v>378</v>
      </c>
      <c r="AA1447" t="s">
        <v>379</v>
      </c>
      <c r="AB1447" t="s">
        <v>825</v>
      </c>
      <c r="AC1447" t="s">
        <v>379</v>
      </c>
      <c r="AD1447" t="s">
        <v>798</v>
      </c>
      <c r="AE1447" t="s">
        <v>41</v>
      </c>
      <c r="AF1447" t="s">
        <v>41</v>
      </c>
      <c r="AI1447">
        <v>134974</v>
      </c>
      <c r="AJ1447">
        <v>1</v>
      </c>
      <c r="AK1447" t="s">
        <v>40</v>
      </c>
      <c r="AL1447">
        <v>261</v>
      </c>
    </row>
    <row r="1448" spans="1:38" x14ac:dyDescent="0.25">
      <c r="A1448" t="s">
        <v>38</v>
      </c>
      <c r="B1448">
        <v>46064.174930555557</v>
      </c>
      <c r="C1448">
        <v>91350</v>
      </c>
      <c r="D1448" t="s">
        <v>843</v>
      </c>
      <c r="E1448">
        <v>4510533</v>
      </c>
      <c r="F1448">
        <v>156316</v>
      </c>
      <c r="G1448" t="s">
        <v>899</v>
      </c>
      <c r="H1448" t="s">
        <v>1506</v>
      </c>
      <c r="I1448">
        <v>7</v>
      </c>
      <c r="J1448" t="b">
        <v>1</v>
      </c>
      <c r="K1448">
        <v>1.75</v>
      </c>
      <c r="L1448">
        <v>156315</v>
      </c>
      <c r="M1448" t="s">
        <v>901</v>
      </c>
      <c r="N1448">
        <v>4</v>
      </c>
      <c r="O1448">
        <v>8</v>
      </c>
      <c r="P1448"/>
      <c r="Q1448">
        <v>134906</v>
      </c>
      <c r="R1448">
        <v>1</v>
      </c>
      <c r="S1448" t="s">
        <v>40</v>
      </c>
      <c r="T1448">
        <v>261</v>
      </c>
      <c r="U1448">
        <v>147664</v>
      </c>
      <c r="V1448">
        <v>24</v>
      </c>
      <c r="W1448" t="s">
        <v>40</v>
      </c>
      <c r="X1448">
        <v>261</v>
      </c>
      <c r="Y1448" t="s">
        <v>377</v>
      </c>
      <c r="Z1448" t="s">
        <v>378</v>
      </c>
      <c r="AA1448" t="s">
        <v>379</v>
      </c>
      <c r="AB1448" t="s">
        <v>384</v>
      </c>
      <c r="AC1448" t="s">
        <v>41</v>
      </c>
      <c r="AD1448" t="s">
        <v>41</v>
      </c>
      <c r="AE1448" t="s">
        <v>41</v>
      </c>
      <c r="AF1448" t="s">
        <v>41</v>
      </c>
      <c r="AK1448"/>
    </row>
    <row r="1449" spans="1:38" x14ac:dyDescent="0.25">
      <c r="A1449" t="s">
        <v>38</v>
      </c>
      <c r="B1449">
        <v>46064.175798611112</v>
      </c>
      <c r="C1449">
        <v>91350</v>
      </c>
      <c r="D1449" t="s">
        <v>843</v>
      </c>
      <c r="E1449">
        <v>4510532</v>
      </c>
      <c r="F1449">
        <v>156316</v>
      </c>
      <c r="G1449" t="s">
        <v>899</v>
      </c>
      <c r="H1449" t="s">
        <v>1506</v>
      </c>
      <c r="I1449">
        <v>7</v>
      </c>
      <c r="J1449" t="b">
        <v>1</v>
      </c>
      <c r="K1449">
        <v>1.75</v>
      </c>
      <c r="L1449">
        <v>156315</v>
      </c>
      <c r="M1449" t="s">
        <v>901</v>
      </c>
      <c r="N1449">
        <v>4</v>
      </c>
      <c r="O1449">
        <v>4</v>
      </c>
      <c r="P1449"/>
      <c r="Q1449">
        <v>134906</v>
      </c>
      <c r="R1449">
        <v>1</v>
      </c>
      <c r="S1449" t="s">
        <v>40</v>
      </c>
      <c r="T1449">
        <v>261</v>
      </c>
      <c r="U1449">
        <v>147664</v>
      </c>
      <c r="V1449">
        <v>24</v>
      </c>
      <c r="W1449" t="s">
        <v>40</v>
      </c>
      <c r="X1449">
        <v>261</v>
      </c>
      <c r="Y1449" t="s">
        <v>377</v>
      </c>
      <c r="Z1449" t="s">
        <v>378</v>
      </c>
      <c r="AA1449" t="s">
        <v>379</v>
      </c>
      <c r="AB1449" t="s">
        <v>384</v>
      </c>
      <c r="AC1449" t="s">
        <v>41</v>
      </c>
      <c r="AD1449" t="s">
        <v>41</v>
      </c>
      <c r="AE1449" t="s">
        <v>41</v>
      </c>
      <c r="AF1449" t="s">
        <v>41</v>
      </c>
      <c r="AK1449"/>
    </row>
    <row r="1450" spans="1:38" x14ac:dyDescent="0.25">
      <c r="A1450" t="s">
        <v>37</v>
      </c>
      <c r="B1450">
        <v>46064.200925925928</v>
      </c>
      <c r="C1450">
        <v>89694</v>
      </c>
      <c r="D1450" t="s">
        <v>843</v>
      </c>
      <c r="E1450">
        <v>4510786</v>
      </c>
      <c r="F1450">
        <v>2104879</v>
      </c>
      <c r="G1450" t="s">
        <v>556</v>
      </c>
      <c r="H1450" t="s">
        <v>1573</v>
      </c>
      <c r="I1450">
        <v>5</v>
      </c>
      <c r="J1450" t="b">
        <v>1</v>
      </c>
      <c r="K1450">
        <v>1.25</v>
      </c>
      <c r="L1450">
        <v>2106199</v>
      </c>
      <c r="M1450" t="s">
        <v>558</v>
      </c>
      <c r="N1450">
        <v>4</v>
      </c>
      <c r="O1450">
        <v>4</v>
      </c>
      <c r="P1450"/>
      <c r="Q1450">
        <v>134905</v>
      </c>
      <c r="R1450">
        <v>1</v>
      </c>
      <c r="S1450" t="s">
        <v>40</v>
      </c>
      <c r="T1450">
        <v>261</v>
      </c>
      <c r="U1450">
        <v>147664</v>
      </c>
      <c r="V1450">
        <v>24</v>
      </c>
      <c r="W1450" t="s">
        <v>40</v>
      </c>
      <c r="X1450">
        <v>261</v>
      </c>
      <c r="Y1450" t="s">
        <v>377</v>
      </c>
      <c r="Z1450" t="s">
        <v>378</v>
      </c>
      <c r="AA1450" t="s">
        <v>379</v>
      </c>
      <c r="AB1450" t="s">
        <v>384</v>
      </c>
      <c r="AC1450" t="s">
        <v>41</v>
      </c>
      <c r="AD1450" t="s">
        <v>41</v>
      </c>
      <c r="AE1450" t="s">
        <v>41</v>
      </c>
      <c r="AF1450" t="s">
        <v>41</v>
      </c>
      <c r="AK1450"/>
    </row>
    <row r="1451" spans="1:38" x14ac:dyDescent="0.25">
      <c r="A1451" t="s">
        <v>37</v>
      </c>
      <c r="B1451">
        <v>46064.201828703706</v>
      </c>
      <c r="C1451">
        <v>89694</v>
      </c>
      <c r="D1451" t="s">
        <v>843</v>
      </c>
      <c r="E1451">
        <v>4510787</v>
      </c>
      <c r="F1451">
        <v>2104879</v>
      </c>
      <c r="G1451" t="s">
        <v>556</v>
      </c>
      <c r="H1451" t="s">
        <v>1573</v>
      </c>
      <c r="I1451">
        <v>5</v>
      </c>
      <c r="J1451" t="b">
        <v>1</v>
      </c>
      <c r="K1451">
        <v>1</v>
      </c>
      <c r="L1451">
        <v>2106199</v>
      </c>
      <c r="M1451" t="s">
        <v>558</v>
      </c>
      <c r="N1451">
        <v>5</v>
      </c>
      <c r="O1451">
        <v>5</v>
      </c>
      <c r="P1451"/>
      <c r="Q1451">
        <v>134905</v>
      </c>
      <c r="R1451">
        <v>1</v>
      </c>
      <c r="S1451" t="s">
        <v>40</v>
      </c>
      <c r="T1451">
        <v>261</v>
      </c>
      <c r="U1451">
        <v>147664</v>
      </c>
      <c r="V1451">
        <v>24</v>
      </c>
      <c r="W1451" t="s">
        <v>40</v>
      </c>
      <c r="X1451">
        <v>261</v>
      </c>
      <c r="Y1451" t="s">
        <v>377</v>
      </c>
      <c r="Z1451" t="s">
        <v>378</v>
      </c>
      <c r="AA1451" t="s">
        <v>379</v>
      </c>
      <c r="AB1451" t="s">
        <v>559</v>
      </c>
      <c r="AC1451" t="s">
        <v>41</v>
      </c>
      <c r="AD1451" t="s">
        <v>41</v>
      </c>
      <c r="AE1451" t="s">
        <v>41</v>
      </c>
      <c r="AF1451" t="s">
        <v>41</v>
      </c>
      <c r="AK1451"/>
    </row>
    <row r="1452" spans="1:38" x14ac:dyDescent="0.25">
      <c r="A1452" t="s">
        <v>44</v>
      </c>
      <c r="B1452">
        <v>46064.323692129627</v>
      </c>
      <c r="C1452">
        <v>91757</v>
      </c>
      <c r="D1452" t="s">
        <v>646</v>
      </c>
      <c r="E1452">
        <v>4508310</v>
      </c>
      <c r="F1452">
        <v>2304758</v>
      </c>
      <c r="G1452" t="s">
        <v>402</v>
      </c>
      <c r="H1452" t="s">
        <v>1500</v>
      </c>
      <c r="I1452">
        <v>14</v>
      </c>
      <c r="J1452" t="b">
        <v>1</v>
      </c>
      <c r="K1452">
        <v>1.75</v>
      </c>
      <c r="L1452">
        <v>2304759</v>
      </c>
      <c r="M1452" t="s">
        <v>404</v>
      </c>
      <c r="N1452">
        <v>8</v>
      </c>
      <c r="O1452">
        <v>8</v>
      </c>
      <c r="P1452"/>
      <c r="Q1452">
        <v>155687</v>
      </c>
      <c r="R1452">
        <v>2</v>
      </c>
      <c r="S1452" t="s">
        <v>40</v>
      </c>
      <c r="T1452">
        <v>261</v>
      </c>
      <c r="U1452">
        <v>147664</v>
      </c>
      <c r="V1452">
        <v>48</v>
      </c>
      <c r="W1452" t="s">
        <v>40</v>
      </c>
      <c r="X1452">
        <v>261</v>
      </c>
      <c r="Y1452" t="s">
        <v>377</v>
      </c>
      <c r="Z1452" t="s">
        <v>378</v>
      </c>
      <c r="AA1452" t="s">
        <v>384</v>
      </c>
      <c r="AB1452" t="s">
        <v>384</v>
      </c>
      <c r="AC1452" t="s">
        <v>41</v>
      </c>
      <c r="AD1452" t="s">
        <v>41</v>
      </c>
      <c r="AE1452" t="s">
        <v>41</v>
      </c>
      <c r="AF1452" t="s">
        <v>41</v>
      </c>
      <c r="AK1452"/>
    </row>
    <row r="1453" spans="1:38" x14ac:dyDescent="0.25">
      <c r="A1453" t="s">
        <v>37</v>
      </c>
      <c r="B1453">
        <v>46064.705937500003</v>
      </c>
      <c r="C1453">
        <v>92375</v>
      </c>
      <c r="D1453" t="s">
        <v>373</v>
      </c>
      <c r="E1453">
        <v>4511381</v>
      </c>
      <c r="F1453">
        <v>2308623</v>
      </c>
      <c r="G1453" t="s">
        <v>1574</v>
      </c>
      <c r="H1453" t="s">
        <v>1554</v>
      </c>
      <c r="I1453">
        <v>2.5</v>
      </c>
      <c r="J1453" t="b">
        <v>1</v>
      </c>
      <c r="K1453">
        <v>5.6689342403628117E-3</v>
      </c>
      <c r="L1453">
        <v>2305682</v>
      </c>
      <c r="M1453" t="s">
        <v>1575</v>
      </c>
      <c r="N1453">
        <v>441</v>
      </c>
      <c r="O1453">
        <v>400</v>
      </c>
      <c r="P1453"/>
      <c r="Q1453">
        <v>134974</v>
      </c>
      <c r="R1453">
        <v>1</v>
      </c>
      <c r="S1453" t="s">
        <v>40</v>
      </c>
      <c r="T1453">
        <v>261</v>
      </c>
      <c r="V1453">
        <v>0</v>
      </c>
      <c r="W1453"/>
      <c r="Y1453" t="s">
        <v>377</v>
      </c>
      <c r="Z1453" t="s">
        <v>378</v>
      </c>
      <c r="AA1453" t="s">
        <v>379</v>
      </c>
      <c r="AB1453" t="s">
        <v>1006</v>
      </c>
      <c r="AC1453" t="s">
        <v>379</v>
      </c>
      <c r="AD1453" t="s">
        <v>668</v>
      </c>
      <c r="AE1453" t="s">
        <v>41</v>
      </c>
      <c r="AF1453" t="s">
        <v>41</v>
      </c>
      <c r="AI1453">
        <v>134974</v>
      </c>
      <c r="AJ1453">
        <v>1</v>
      </c>
      <c r="AK1453" t="s">
        <v>40</v>
      </c>
      <c r="AL1453">
        <v>261</v>
      </c>
    </row>
    <row r="1454" spans="1:38" x14ac:dyDescent="0.25">
      <c r="A1454" t="s">
        <v>39</v>
      </c>
      <c r="B1454">
        <v>46064.725925925923</v>
      </c>
      <c r="C1454">
        <v>92673</v>
      </c>
      <c r="D1454" t="s">
        <v>373</v>
      </c>
      <c r="E1454">
        <v>4507356</v>
      </c>
      <c r="F1454">
        <v>2310135</v>
      </c>
      <c r="G1454" t="s">
        <v>1052</v>
      </c>
      <c r="H1454" t="s">
        <v>1576</v>
      </c>
      <c r="I1454">
        <v>64.3</v>
      </c>
      <c r="J1454" t="b">
        <v>1</v>
      </c>
      <c r="K1454">
        <v>0.14781609195402298</v>
      </c>
      <c r="L1454">
        <v>2310136</v>
      </c>
      <c r="M1454" t="s">
        <v>1053</v>
      </c>
      <c r="N1454">
        <v>435</v>
      </c>
      <c r="O1454">
        <v>408</v>
      </c>
      <c r="P1454"/>
      <c r="Q1454">
        <v>134974</v>
      </c>
      <c r="R1454">
        <v>1</v>
      </c>
      <c r="S1454" t="s">
        <v>40</v>
      </c>
      <c r="T1454">
        <v>261</v>
      </c>
      <c r="W1454"/>
      <c r="Y1454" t="s">
        <v>377</v>
      </c>
      <c r="Z1454" t="s">
        <v>378</v>
      </c>
      <c r="AA1454" t="s">
        <v>379</v>
      </c>
      <c r="AB1454" t="s">
        <v>1577</v>
      </c>
      <c r="AC1454" t="s">
        <v>41</v>
      </c>
      <c r="AD1454" t="s">
        <v>41</v>
      </c>
      <c r="AE1454" t="s">
        <v>41</v>
      </c>
      <c r="AF1454" t="s">
        <v>41</v>
      </c>
      <c r="AK1454"/>
    </row>
    <row r="1455" spans="1:38" x14ac:dyDescent="0.25">
      <c r="A1455" t="s">
        <v>42</v>
      </c>
      <c r="B1455">
        <v>46064.862349537034</v>
      </c>
      <c r="C1455">
        <v>89695</v>
      </c>
      <c r="D1455" t="s">
        <v>590</v>
      </c>
      <c r="E1455">
        <v>4510780</v>
      </c>
      <c r="F1455">
        <v>2104880</v>
      </c>
      <c r="G1455" t="s">
        <v>577</v>
      </c>
      <c r="H1455" t="s">
        <v>1578</v>
      </c>
      <c r="I1455">
        <v>10</v>
      </c>
      <c r="J1455" t="b">
        <v>1</v>
      </c>
      <c r="K1455">
        <v>2.5</v>
      </c>
      <c r="L1455">
        <v>2106200</v>
      </c>
      <c r="M1455" t="s">
        <v>579</v>
      </c>
      <c r="N1455">
        <v>4</v>
      </c>
      <c r="O1455">
        <v>4</v>
      </c>
      <c r="P1455"/>
      <c r="Q1455">
        <v>134905</v>
      </c>
      <c r="R1455">
        <v>1</v>
      </c>
      <c r="S1455" t="s">
        <v>40</v>
      </c>
      <c r="T1455">
        <v>261</v>
      </c>
      <c r="U1455">
        <v>147664</v>
      </c>
      <c r="V1455">
        <v>24</v>
      </c>
      <c r="W1455" t="s">
        <v>40</v>
      </c>
      <c r="X1455">
        <v>261</v>
      </c>
      <c r="Y1455" t="s">
        <v>377</v>
      </c>
      <c r="Z1455" t="s">
        <v>378</v>
      </c>
      <c r="AA1455" t="s">
        <v>379</v>
      </c>
      <c r="AB1455" t="s">
        <v>384</v>
      </c>
      <c r="AC1455" t="s">
        <v>41</v>
      </c>
      <c r="AD1455" t="s">
        <v>41</v>
      </c>
      <c r="AE1455" t="s">
        <v>41</v>
      </c>
      <c r="AF1455" t="s">
        <v>41</v>
      </c>
      <c r="AK1455"/>
    </row>
    <row r="1456" spans="1:38" x14ac:dyDescent="0.25">
      <c r="A1456" t="s">
        <v>42</v>
      </c>
      <c r="B1456">
        <v>46064.863113425927</v>
      </c>
      <c r="C1456">
        <v>89695</v>
      </c>
      <c r="D1456" t="s">
        <v>590</v>
      </c>
      <c r="E1456">
        <v>4510781</v>
      </c>
      <c r="F1456">
        <v>2104880</v>
      </c>
      <c r="G1456" t="s">
        <v>577</v>
      </c>
      <c r="H1456" t="s">
        <v>1578</v>
      </c>
      <c r="I1456">
        <v>10</v>
      </c>
      <c r="J1456" t="b">
        <v>1</v>
      </c>
      <c r="K1456">
        <v>2</v>
      </c>
      <c r="L1456">
        <v>2106200</v>
      </c>
      <c r="M1456" t="s">
        <v>579</v>
      </c>
      <c r="N1456">
        <v>5</v>
      </c>
      <c r="O1456">
        <v>5</v>
      </c>
      <c r="P1456"/>
      <c r="Q1456">
        <v>134906</v>
      </c>
      <c r="R1456">
        <v>1</v>
      </c>
      <c r="S1456" t="s">
        <v>40</v>
      </c>
      <c r="T1456">
        <v>261</v>
      </c>
      <c r="U1456">
        <v>147664</v>
      </c>
      <c r="V1456">
        <v>24</v>
      </c>
      <c r="W1456" t="s">
        <v>40</v>
      </c>
      <c r="X1456">
        <v>261</v>
      </c>
      <c r="Y1456" t="s">
        <v>377</v>
      </c>
      <c r="Z1456" t="s">
        <v>378</v>
      </c>
      <c r="AA1456" t="s">
        <v>379</v>
      </c>
      <c r="AB1456" t="s">
        <v>559</v>
      </c>
      <c r="AC1456" t="s">
        <v>41</v>
      </c>
      <c r="AD1456" t="s">
        <v>41</v>
      </c>
      <c r="AE1456" t="s">
        <v>41</v>
      </c>
      <c r="AF1456" t="s">
        <v>41</v>
      </c>
      <c r="AK1456"/>
    </row>
    <row r="1457" spans="1:38" x14ac:dyDescent="0.25">
      <c r="A1457" t="s">
        <v>44</v>
      </c>
      <c r="B1457">
        <v>46064.86509259259</v>
      </c>
      <c r="C1457">
        <v>91759</v>
      </c>
      <c r="D1457" t="s">
        <v>590</v>
      </c>
      <c r="E1457">
        <v>4508311</v>
      </c>
      <c r="F1457">
        <v>2304758</v>
      </c>
      <c r="G1457" t="s">
        <v>402</v>
      </c>
      <c r="H1457" t="s">
        <v>1506</v>
      </c>
      <c r="I1457">
        <v>14</v>
      </c>
      <c r="J1457" t="b">
        <v>1</v>
      </c>
      <c r="K1457">
        <v>1.75</v>
      </c>
      <c r="L1457">
        <v>2304759</v>
      </c>
      <c r="M1457" t="s">
        <v>404</v>
      </c>
      <c r="N1457">
        <v>8</v>
      </c>
      <c r="O1457">
        <v>8</v>
      </c>
      <c r="P1457"/>
      <c r="Q1457">
        <v>155687</v>
      </c>
      <c r="R1457">
        <v>2</v>
      </c>
      <c r="S1457" t="s">
        <v>40</v>
      </c>
      <c r="T1457">
        <v>261</v>
      </c>
      <c r="U1457">
        <v>147664</v>
      </c>
      <c r="V1457">
        <v>48</v>
      </c>
      <c r="W1457" t="s">
        <v>40</v>
      </c>
      <c r="X1457">
        <v>261</v>
      </c>
      <c r="Y1457" t="s">
        <v>377</v>
      </c>
      <c r="Z1457" t="s">
        <v>378</v>
      </c>
      <c r="AA1457" t="s">
        <v>384</v>
      </c>
      <c r="AB1457" t="s">
        <v>384</v>
      </c>
      <c r="AC1457" t="s">
        <v>41</v>
      </c>
      <c r="AD1457" t="s">
        <v>41</v>
      </c>
      <c r="AE1457" t="s">
        <v>41</v>
      </c>
      <c r="AF1457" t="s">
        <v>41</v>
      </c>
      <c r="AK1457"/>
    </row>
    <row r="1458" spans="1:38" x14ac:dyDescent="0.25">
      <c r="A1458" t="s">
        <v>39</v>
      </c>
      <c r="B1458">
        <v>46065.07885416667</v>
      </c>
      <c r="C1458">
        <v>90274</v>
      </c>
      <c r="D1458" t="s">
        <v>590</v>
      </c>
      <c r="E1458">
        <v>4508479</v>
      </c>
      <c r="F1458">
        <v>2104655</v>
      </c>
      <c r="G1458" t="s">
        <v>1487</v>
      </c>
      <c r="H1458" t="s">
        <v>1563</v>
      </c>
      <c r="I1458">
        <v>4</v>
      </c>
      <c r="J1458" t="b">
        <v>1</v>
      </c>
      <c r="K1458">
        <v>1.3157894736842105E-2</v>
      </c>
      <c r="L1458">
        <v>2105992</v>
      </c>
      <c r="M1458" t="s">
        <v>1488</v>
      </c>
      <c r="N1458">
        <v>304</v>
      </c>
      <c r="O1458">
        <v>306</v>
      </c>
      <c r="P1458"/>
      <c r="Q1458">
        <v>134976</v>
      </c>
      <c r="R1458">
        <v>1</v>
      </c>
      <c r="S1458" t="s">
        <v>40</v>
      </c>
      <c r="T1458">
        <v>261</v>
      </c>
      <c r="W1458"/>
      <c r="Y1458" t="s">
        <v>377</v>
      </c>
      <c r="Z1458" t="s">
        <v>378</v>
      </c>
      <c r="AA1458" t="s">
        <v>379</v>
      </c>
      <c r="AB1458" t="s">
        <v>1005</v>
      </c>
      <c r="AC1458" t="s">
        <v>41</v>
      </c>
      <c r="AD1458" t="s">
        <v>41</v>
      </c>
      <c r="AE1458" t="s">
        <v>41</v>
      </c>
      <c r="AF1458" t="s">
        <v>41</v>
      </c>
      <c r="AK1458"/>
    </row>
    <row r="1459" spans="1:38" x14ac:dyDescent="0.25">
      <c r="A1459" t="s">
        <v>43</v>
      </c>
      <c r="B1459">
        <v>46065.404618055552</v>
      </c>
      <c r="C1459">
        <v>91352</v>
      </c>
      <c r="D1459" t="s">
        <v>373</v>
      </c>
      <c r="E1459">
        <v>4510569</v>
      </c>
      <c r="F1459">
        <v>156292</v>
      </c>
      <c r="G1459" t="s">
        <v>46</v>
      </c>
      <c r="H1459" t="s">
        <v>1500</v>
      </c>
      <c r="I1459">
        <v>7</v>
      </c>
      <c r="J1459" t="b">
        <v>1</v>
      </c>
      <c r="K1459">
        <v>1.75</v>
      </c>
      <c r="L1459">
        <v>156291</v>
      </c>
      <c r="M1459" t="s">
        <v>433</v>
      </c>
      <c r="N1459">
        <v>4</v>
      </c>
      <c r="O1459">
        <v>4</v>
      </c>
      <c r="P1459"/>
      <c r="Q1459">
        <v>2301936</v>
      </c>
      <c r="R1459">
        <v>1</v>
      </c>
      <c r="S1459" t="s">
        <v>40</v>
      </c>
      <c r="T1459">
        <v>261</v>
      </c>
      <c r="U1459">
        <v>147664</v>
      </c>
      <c r="V1459">
        <v>24</v>
      </c>
      <c r="W1459" t="s">
        <v>40</v>
      </c>
      <c r="X1459">
        <v>261</v>
      </c>
      <c r="Y1459" t="s">
        <v>377</v>
      </c>
      <c r="Z1459" t="s">
        <v>378</v>
      </c>
      <c r="AA1459" t="s">
        <v>379</v>
      </c>
      <c r="AB1459" t="s">
        <v>384</v>
      </c>
      <c r="AC1459" t="s">
        <v>41</v>
      </c>
      <c r="AD1459" t="s">
        <v>41</v>
      </c>
      <c r="AE1459" t="s">
        <v>41</v>
      </c>
      <c r="AF1459" t="s">
        <v>41</v>
      </c>
      <c r="AK1459"/>
    </row>
    <row r="1460" spans="1:38" x14ac:dyDescent="0.25">
      <c r="A1460" t="s">
        <v>43</v>
      </c>
      <c r="B1460">
        <v>46065.405289351853</v>
      </c>
      <c r="C1460">
        <v>91352</v>
      </c>
      <c r="D1460" t="s">
        <v>373</v>
      </c>
      <c r="E1460">
        <v>4510570</v>
      </c>
      <c r="F1460">
        <v>156292</v>
      </c>
      <c r="G1460" t="s">
        <v>46</v>
      </c>
      <c r="H1460" t="s">
        <v>1500</v>
      </c>
      <c r="I1460">
        <v>7</v>
      </c>
      <c r="J1460" t="b">
        <v>1</v>
      </c>
      <c r="K1460">
        <v>1.75</v>
      </c>
      <c r="L1460">
        <v>156291</v>
      </c>
      <c r="M1460" t="s">
        <v>433</v>
      </c>
      <c r="N1460">
        <v>4</v>
      </c>
      <c r="O1460">
        <v>4</v>
      </c>
      <c r="P1460"/>
      <c r="Q1460">
        <v>2301936</v>
      </c>
      <c r="R1460">
        <v>1</v>
      </c>
      <c r="S1460" t="s">
        <v>40</v>
      </c>
      <c r="T1460">
        <v>261</v>
      </c>
      <c r="U1460">
        <v>147664</v>
      </c>
      <c r="V1460">
        <v>24</v>
      </c>
      <c r="W1460" t="s">
        <v>40</v>
      </c>
      <c r="X1460">
        <v>261</v>
      </c>
      <c r="Y1460" t="s">
        <v>377</v>
      </c>
      <c r="Z1460" t="s">
        <v>378</v>
      </c>
      <c r="AA1460" t="s">
        <v>379</v>
      </c>
      <c r="AB1460" t="s">
        <v>384</v>
      </c>
      <c r="AC1460" t="s">
        <v>41</v>
      </c>
      <c r="AD1460" t="s">
        <v>41</v>
      </c>
      <c r="AE1460" t="s">
        <v>41</v>
      </c>
      <c r="AF1460" t="s">
        <v>41</v>
      </c>
      <c r="AK1460"/>
    </row>
    <row r="1461" spans="1:38" x14ac:dyDescent="0.25">
      <c r="A1461" t="s">
        <v>38</v>
      </c>
      <c r="B1461">
        <v>46065.422384259262</v>
      </c>
      <c r="C1461">
        <v>91754</v>
      </c>
      <c r="D1461" t="s">
        <v>373</v>
      </c>
      <c r="E1461">
        <v>4511056</v>
      </c>
      <c r="F1461">
        <v>160991</v>
      </c>
      <c r="G1461" t="s">
        <v>1507</v>
      </c>
      <c r="H1461" t="s">
        <v>1563</v>
      </c>
      <c r="I1461">
        <v>14</v>
      </c>
      <c r="J1461" t="b">
        <v>1</v>
      </c>
      <c r="K1461">
        <v>1.75</v>
      </c>
      <c r="L1461">
        <v>160988</v>
      </c>
      <c r="M1461" t="s">
        <v>1508</v>
      </c>
      <c r="N1461">
        <v>8</v>
      </c>
      <c r="O1461">
        <v>7</v>
      </c>
      <c r="P1461"/>
      <c r="Q1461">
        <v>155687</v>
      </c>
      <c r="R1461">
        <v>1</v>
      </c>
      <c r="S1461" t="s">
        <v>40</v>
      </c>
      <c r="T1461">
        <v>261</v>
      </c>
      <c r="U1461">
        <v>147664</v>
      </c>
      <c r="V1461">
        <v>48</v>
      </c>
      <c r="W1461" t="s">
        <v>40</v>
      </c>
      <c r="X1461">
        <v>261</v>
      </c>
      <c r="Y1461" t="s">
        <v>377</v>
      </c>
      <c r="Z1461" t="s">
        <v>378</v>
      </c>
      <c r="AA1461" t="s">
        <v>384</v>
      </c>
      <c r="AB1461" t="s">
        <v>384</v>
      </c>
      <c r="AC1461" t="s">
        <v>41</v>
      </c>
      <c r="AD1461" t="s">
        <v>41</v>
      </c>
      <c r="AE1461" t="s">
        <v>41</v>
      </c>
      <c r="AF1461" t="s">
        <v>41</v>
      </c>
      <c r="AI1461">
        <v>155687</v>
      </c>
      <c r="AJ1461">
        <v>1</v>
      </c>
      <c r="AK1461" t="s">
        <v>40</v>
      </c>
      <c r="AL1461">
        <v>261</v>
      </c>
    </row>
    <row r="1462" spans="1:38" x14ac:dyDescent="0.25">
      <c r="A1462" t="s">
        <v>37</v>
      </c>
      <c r="B1462">
        <v>46065.679756944446</v>
      </c>
      <c r="C1462">
        <v>89696</v>
      </c>
      <c r="D1462" t="s">
        <v>373</v>
      </c>
      <c r="E1462">
        <v>4510782</v>
      </c>
      <c r="F1462">
        <v>2104880</v>
      </c>
      <c r="G1462" t="s">
        <v>577</v>
      </c>
      <c r="H1462" t="s">
        <v>1568</v>
      </c>
      <c r="I1462">
        <v>5</v>
      </c>
      <c r="J1462" t="b">
        <v>1</v>
      </c>
      <c r="K1462">
        <v>1.25</v>
      </c>
      <c r="L1462">
        <v>2106200</v>
      </c>
      <c r="M1462" t="s">
        <v>579</v>
      </c>
      <c r="N1462">
        <v>4</v>
      </c>
      <c r="O1462">
        <v>4</v>
      </c>
      <c r="P1462"/>
      <c r="Q1462">
        <v>134905</v>
      </c>
      <c r="R1462">
        <v>1</v>
      </c>
      <c r="S1462" t="s">
        <v>40</v>
      </c>
      <c r="T1462">
        <v>261</v>
      </c>
      <c r="U1462">
        <v>147664</v>
      </c>
      <c r="V1462">
        <v>24</v>
      </c>
      <c r="W1462" t="s">
        <v>40</v>
      </c>
      <c r="X1462">
        <v>261</v>
      </c>
      <c r="Y1462" t="s">
        <v>377</v>
      </c>
      <c r="Z1462" t="s">
        <v>378</v>
      </c>
      <c r="AA1462" t="s">
        <v>379</v>
      </c>
      <c r="AB1462" t="s">
        <v>384</v>
      </c>
      <c r="AC1462" t="s">
        <v>41</v>
      </c>
      <c r="AD1462" t="s">
        <v>41</v>
      </c>
      <c r="AE1462" t="s">
        <v>41</v>
      </c>
      <c r="AF1462" t="s">
        <v>41</v>
      </c>
      <c r="AK1462"/>
    </row>
    <row r="1463" spans="1:38" x14ac:dyDescent="0.25">
      <c r="A1463" t="s">
        <v>37</v>
      </c>
      <c r="B1463">
        <v>46065.680358796293</v>
      </c>
      <c r="C1463">
        <v>89696</v>
      </c>
      <c r="D1463" t="s">
        <v>373</v>
      </c>
      <c r="E1463">
        <v>4510783</v>
      </c>
      <c r="F1463">
        <v>2104880</v>
      </c>
      <c r="G1463" t="s">
        <v>577</v>
      </c>
      <c r="H1463" t="s">
        <v>1568</v>
      </c>
      <c r="I1463">
        <v>5</v>
      </c>
      <c r="J1463" t="b">
        <v>1</v>
      </c>
      <c r="K1463">
        <v>1</v>
      </c>
      <c r="L1463">
        <v>2106200</v>
      </c>
      <c r="M1463" t="s">
        <v>579</v>
      </c>
      <c r="N1463">
        <v>5</v>
      </c>
      <c r="O1463">
        <v>5</v>
      </c>
      <c r="P1463"/>
      <c r="Q1463">
        <v>134905</v>
      </c>
      <c r="R1463">
        <v>1</v>
      </c>
      <c r="S1463" t="s">
        <v>40</v>
      </c>
      <c r="T1463">
        <v>261</v>
      </c>
      <c r="U1463">
        <v>147664</v>
      </c>
      <c r="V1463">
        <v>24</v>
      </c>
      <c r="W1463" t="s">
        <v>40</v>
      </c>
      <c r="X1463">
        <v>261</v>
      </c>
      <c r="Y1463" t="s">
        <v>377</v>
      </c>
      <c r="Z1463" t="s">
        <v>378</v>
      </c>
      <c r="AA1463" t="s">
        <v>379</v>
      </c>
      <c r="AB1463" t="s">
        <v>559</v>
      </c>
      <c r="AC1463" t="s">
        <v>41</v>
      </c>
      <c r="AD1463" t="s">
        <v>41</v>
      </c>
      <c r="AE1463" t="s">
        <v>41</v>
      </c>
      <c r="AF1463" t="s">
        <v>41</v>
      </c>
      <c r="AK1463"/>
    </row>
    <row r="1464" spans="1:38" x14ac:dyDescent="0.25">
      <c r="A1464" t="s">
        <v>39</v>
      </c>
      <c r="B1464">
        <v>46065.703865740739</v>
      </c>
      <c r="C1464">
        <v>92677</v>
      </c>
      <c r="D1464" t="s">
        <v>373</v>
      </c>
      <c r="E1464">
        <v>4511382</v>
      </c>
      <c r="F1464">
        <v>2308623</v>
      </c>
      <c r="G1464" t="s">
        <v>1574</v>
      </c>
      <c r="H1464" t="s">
        <v>1579</v>
      </c>
      <c r="I1464">
        <v>2.5</v>
      </c>
      <c r="J1464" t="b">
        <v>1</v>
      </c>
      <c r="K1464">
        <v>5.7603686635944703E-3</v>
      </c>
      <c r="L1464">
        <v>2305682</v>
      </c>
      <c r="M1464" t="s">
        <v>1575</v>
      </c>
      <c r="N1464">
        <v>434</v>
      </c>
      <c r="O1464">
        <v>399</v>
      </c>
      <c r="P1464"/>
      <c r="Q1464">
        <v>134976</v>
      </c>
      <c r="R1464">
        <v>1</v>
      </c>
      <c r="S1464" t="s">
        <v>40</v>
      </c>
      <c r="T1464">
        <v>261</v>
      </c>
      <c r="W1464"/>
      <c r="Y1464" t="s">
        <v>377</v>
      </c>
      <c r="Z1464" t="s">
        <v>378</v>
      </c>
      <c r="AA1464" t="s">
        <v>379</v>
      </c>
      <c r="AB1464" t="s">
        <v>514</v>
      </c>
      <c r="AC1464" t="s">
        <v>379</v>
      </c>
      <c r="AD1464" t="s">
        <v>1295</v>
      </c>
      <c r="AE1464" t="s">
        <v>41</v>
      </c>
      <c r="AF1464" t="s">
        <v>41</v>
      </c>
      <c r="AK1464"/>
    </row>
    <row r="1465" spans="1:38" x14ac:dyDescent="0.25">
      <c r="A1465" t="s">
        <v>45</v>
      </c>
      <c r="B1465">
        <v>46066.06890046296</v>
      </c>
      <c r="C1465">
        <v>92674</v>
      </c>
      <c r="D1465" t="s">
        <v>1025</v>
      </c>
      <c r="E1465">
        <v>4507357</v>
      </c>
      <c r="F1465">
        <v>2310135</v>
      </c>
      <c r="G1465" t="s">
        <v>1052</v>
      </c>
      <c r="H1465" t="s">
        <v>1580</v>
      </c>
      <c r="I1465">
        <v>64.3</v>
      </c>
      <c r="J1465" t="b">
        <v>1</v>
      </c>
      <c r="K1465">
        <v>0.14988344988344987</v>
      </c>
      <c r="L1465">
        <v>2310136</v>
      </c>
      <c r="M1465" t="s">
        <v>1053</v>
      </c>
      <c r="N1465">
        <v>429</v>
      </c>
      <c r="O1465">
        <v>400</v>
      </c>
      <c r="P1465"/>
      <c r="Q1465">
        <v>134974</v>
      </c>
      <c r="R1465">
        <v>1</v>
      </c>
      <c r="S1465" t="s">
        <v>40</v>
      </c>
      <c r="T1465">
        <v>261</v>
      </c>
      <c r="W1465"/>
      <c r="Y1465" t="s">
        <v>377</v>
      </c>
      <c r="Z1465" t="s">
        <v>378</v>
      </c>
      <c r="AA1465" t="s">
        <v>379</v>
      </c>
      <c r="AB1465" t="s">
        <v>1262</v>
      </c>
      <c r="AC1465" t="s">
        <v>41</v>
      </c>
      <c r="AD1465" t="s">
        <v>41</v>
      </c>
      <c r="AE1465" t="s">
        <v>41</v>
      </c>
      <c r="AF1465" t="s">
        <v>41</v>
      </c>
      <c r="AK1465"/>
    </row>
    <row r="1466" spans="1:38" x14ac:dyDescent="0.25">
      <c r="A1466" t="s">
        <v>37</v>
      </c>
      <c r="B1466">
        <v>46066.517754629633</v>
      </c>
      <c r="C1466">
        <v>89697</v>
      </c>
      <c r="D1466" t="s">
        <v>393</v>
      </c>
      <c r="E1466">
        <v>4510788</v>
      </c>
      <c r="F1466">
        <v>2104879</v>
      </c>
      <c r="G1466" t="s">
        <v>556</v>
      </c>
      <c r="H1466" t="s">
        <v>1581</v>
      </c>
      <c r="I1466">
        <v>10</v>
      </c>
      <c r="J1466" t="b">
        <v>1</v>
      </c>
      <c r="K1466">
        <v>2.5</v>
      </c>
      <c r="L1466">
        <v>2106199</v>
      </c>
      <c r="M1466" t="s">
        <v>558</v>
      </c>
      <c r="N1466">
        <v>4</v>
      </c>
      <c r="O1466">
        <v>4</v>
      </c>
      <c r="P1466"/>
      <c r="Q1466">
        <v>134971</v>
      </c>
      <c r="R1466">
        <v>1</v>
      </c>
      <c r="S1466" t="s">
        <v>40</v>
      </c>
      <c r="T1466">
        <v>261</v>
      </c>
      <c r="U1466">
        <v>147664</v>
      </c>
      <c r="V1466">
        <v>24</v>
      </c>
      <c r="W1466" t="s">
        <v>40</v>
      </c>
      <c r="X1466">
        <v>261</v>
      </c>
      <c r="Y1466" t="s">
        <v>377</v>
      </c>
      <c r="Z1466" t="s">
        <v>378</v>
      </c>
      <c r="AA1466" t="s">
        <v>379</v>
      </c>
      <c r="AB1466" t="s">
        <v>384</v>
      </c>
      <c r="AC1466" t="s">
        <v>41</v>
      </c>
      <c r="AD1466" t="s">
        <v>41</v>
      </c>
      <c r="AE1466" t="s">
        <v>41</v>
      </c>
      <c r="AF1466" t="s">
        <v>41</v>
      </c>
      <c r="AK1466"/>
    </row>
    <row r="1467" spans="1:38" x14ac:dyDescent="0.25">
      <c r="A1467" t="s">
        <v>37</v>
      </c>
      <c r="B1467">
        <v>46066.51934027778</v>
      </c>
      <c r="C1467">
        <v>89697</v>
      </c>
      <c r="D1467" t="s">
        <v>393</v>
      </c>
      <c r="E1467">
        <v>4510789</v>
      </c>
      <c r="F1467">
        <v>2104879</v>
      </c>
      <c r="G1467" t="s">
        <v>556</v>
      </c>
      <c r="H1467" t="s">
        <v>1581</v>
      </c>
      <c r="I1467">
        <v>10</v>
      </c>
      <c r="J1467" t="b">
        <v>1</v>
      </c>
      <c r="K1467">
        <v>2</v>
      </c>
      <c r="L1467">
        <v>2106199</v>
      </c>
      <c r="M1467" t="s">
        <v>558</v>
      </c>
      <c r="N1467">
        <v>5</v>
      </c>
      <c r="O1467">
        <v>5</v>
      </c>
      <c r="P1467"/>
      <c r="Q1467">
        <v>134971</v>
      </c>
      <c r="R1467">
        <v>1</v>
      </c>
      <c r="S1467" t="s">
        <v>40</v>
      </c>
      <c r="T1467">
        <v>261</v>
      </c>
      <c r="U1467">
        <v>147664</v>
      </c>
      <c r="V1467">
        <v>24</v>
      </c>
      <c r="W1467" t="s">
        <v>40</v>
      </c>
      <c r="X1467">
        <v>261</v>
      </c>
      <c r="Y1467" t="s">
        <v>377</v>
      </c>
      <c r="Z1467" t="s">
        <v>378</v>
      </c>
      <c r="AA1467" t="s">
        <v>379</v>
      </c>
      <c r="AB1467" t="s">
        <v>559</v>
      </c>
      <c r="AC1467" t="s">
        <v>41</v>
      </c>
      <c r="AD1467" t="s">
        <v>41</v>
      </c>
      <c r="AE1467" t="s">
        <v>41</v>
      </c>
      <c r="AF1467" t="s">
        <v>41</v>
      </c>
      <c r="AK1467"/>
    </row>
    <row r="1468" spans="1:38" x14ac:dyDescent="0.25">
      <c r="A1468" t="s">
        <v>45</v>
      </c>
      <c r="B1468">
        <v>46066.701886574076</v>
      </c>
      <c r="C1468">
        <v>90275</v>
      </c>
      <c r="D1468" t="s">
        <v>393</v>
      </c>
      <c r="E1468">
        <v>4508480</v>
      </c>
      <c r="F1468">
        <v>2104655</v>
      </c>
      <c r="G1468" t="s">
        <v>1487</v>
      </c>
      <c r="H1468" t="s">
        <v>1578</v>
      </c>
      <c r="I1468">
        <v>4</v>
      </c>
      <c r="J1468" t="b">
        <v>1</v>
      </c>
      <c r="K1468">
        <v>1.3333333333333334E-2</v>
      </c>
      <c r="L1468">
        <v>2105992</v>
      </c>
      <c r="M1468" t="s">
        <v>1488</v>
      </c>
      <c r="N1468">
        <v>300</v>
      </c>
      <c r="O1468">
        <v>300</v>
      </c>
      <c r="P1468"/>
      <c r="Q1468">
        <v>134976</v>
      </c>
      <c r="R1468">
        <v>1</v>
      </c>
      <c r="S1468" t="s">
        <v>40</v>
      </c>
      <c r="T1468">
        <v>261</v>
      </c>
      <c r="W1468"/>
      <c r="Y1468" t="s">
        <v>377</v>
      </c>
      <c r="Z1468" t="s">
        <v>378</v>
      </c>
      <c r="AA1468" t="s">
        <v>379</v>
      </c>
      <c r="AB1468" t="s">
        <v>1522</v>
      </c>
      <c r="AC1468" t="s">
        <v>41</v>
      </c>
      <c r="AD1468" t="s">
        <v>41</v>
      </c>
      <c r="AE1468" t="s">
        <v>41</v>
      </c>
      <c r="AF1468" t="s">
        <v>41</v>
      </c>
      <c r="AK1468"/>
    </row>
    <row r="1469" spans="1:38" x14ac:dyDescent="0.25">
      <c r="A1469" t="s">
        <v>38</v>
      </c>
      <c r="B1469">
        <v>46066.730462962965</v>
      </c>
      <c r="C1469">
        <v>91761</v>
      </c>
      <c r="D1469" t="s">
        <v>393</v>
      </c>
      <c r="E1469">
        <v>4511055</v>
      </c>
      <c r="F1469">
        <v>160991</v>
      </c>
      <c r="G1469" t="s">
        <v>1507</v>
      </c>
      <c r="H1469" t="s">
        <v>1562</v>
      </c>
      <c r="I1469">
        <v>14</v>
      </c>
      <c r="J1469" t="b">
        <v>1</v>
      </c>
      <c r="K1469">
        <v>1.75</v>
      </c>
      <c r="L1469">
        <v>160988</v>
      </c>
      <c r="M1469" t="s">
        <v>1508</v>
      </c>
      <c r="N1469">
        <v>8</v>
      </c>
      <c r="O1469">
        <v>8</v>
      </c>
      <c r="P1469"/>
      <c r="Q1469">
        <v>155687</v>
      </c>
      <c r="R1469">
        <v>1</v>
      </c>
      <c r="S1469" t="s">
        <v>40</v>
      </c>
      <c r="T1469">
        <v>261</v>
      </c>
      <c r="U1469">
        <v>147664</v>
      </c>
      <c r="V1469">
        <v>48</v>
      </c>
      <c r="W1469" t="s">
        <v>40</v>
      </c>
      <c r="X1469">
        <v>261</v>
      </c>
      <c r="Y1469" t="s">
        <v>377</v>
      </c>
      <c r="Z1469" t="s">
        <v>378</v>
      </c>
      <c r="AA1469" t="s">
        <v>384</v>
      </c>
      <c r="AB1469" t="s">
        <v>384</v>
      </c>
      <c r="AC1469" t="s">
        <v>41</v>
      </c>
      <c r="AD1469" t="s">
        <v>41</v>
      </c>
      <c r="AE1469" t="s">
        <v>41</v>
      </c>
      <c r="AF1469" t="s">
        <v>41</v>
      </c>
      <c r="AI1469">
        <v>155687</v>
      </c>
      <c r="AJ1469">
        <v>1</v>
      </c>
      <c r="AK1469" t="s">
        <v>40</v>
      </c>
      <c r="AL1469">
        <v>261</v>
      </c>
    </row>
    <row r="1470" spans="1:38" x14ac:dyDescent="0.25">
      <c r="A1470" t="s">
        <v>39</v>
      </c>
      <c r="B1470">
        <v>46066.859074074076</v>
      </c>
      <c r="C1470">
        <v>91353</v>
      </c>
      <c r="D1470" t="s">
        <v>682</v>
      </c>
      <c r="E1470">
        <v>4510571</v>
      </c>
      <c r="F1470">
        <v>156292</v>
      </c>
      <c r="G1470" t="s">
        <v>46</v>
      </c>
      <c r="H1470" t="s">
        <v>1506</v>
      </c>
      <c r="I1470">
        <v>7</v>
      </c>
      <c r="J1470" t="b">
        <v>1</v>
      </c>
      <c r="K1470">
        <v>1.75</v>
      </c>
      <c r="L1470">
        <v>156291</v>
      </c>
      <c r="M1470" t="s">
        <v>433</v>
      </c>
      <c r="N1470">
        <v>4</v>
      </c>
      <c r="O1470">
        <v>4</v>
      </c>
      <c r="P1470"/>
      <c r="Q1470">
        <v>134905</v>
      </c>
      <c r="R1470">
        <v>1</v>
      </c>
      <c r="S1470" t="s">
        <v>40</v>
      </c>
      <c r="T1470">
        <v>261</v>
      </c>
      <c r="U1470">
        <v>147664</v>
      </c>
      <c r="V1470">
        <v>24</v>
      </c>
      <c r="W1470" t="s">
        <v>40</v>
      </c>
      <c r="X1470">
        <v>261</v>
      </c>
      <c r="Y1470" t="s">
        <v>377</v>
      </c>
      <c r="Z1470" t="s">
        <v>378</v>
      </c>
      <c r="AA1470" t="s">
        <v>379</v>
      </c>
      <c r="AB1470" t="s">
        <v>384</v>
      </c>
      <c r="AC1470" t="s">
        <v>41</v>
      </c>
      <c r="AD1470" t="s">
        <v>41</v>
      </c>
      <c r="AE1470" t="s">
        <v>41</v>
      </c>
      <c r="AF1470" t="s">
        <v>41</v>
      </c>
      <c r="AK1470"/>
    </row>
    <row r="1471" spans="1:38" x14ac:dyDescent="0.25">
      <c r="A1471" t="s">
        <v>39</v>
      </c>
      <c r="B1471">
        <v>46066.860879629632</v>
      </c>
      <c r="C1471">
        <v>91353</v>
      </c>
      <c r="D1471" t="s">
        <v>682</v>
      </c>
      <c r="E1471">
        <v>4510572</v>
      </c>
      <c r="F1471">
        <v>156292</v>
      </c>
      <c r="G1471" t="s">
        <v>46</v>
      </c>
      <c r="H1471" t="s">
        <v>1506</v>
      </c>
      <c r="I1471">
        <v>7</v>
      </c>
      <c r="J1471" t="b">
        <v>1</v>
      </c>
      <c r="K1471">
        <v>1.75</v>
      </c>
      <c r="L1471">
        <v>156291</v>
      </c>
      <c r="M1471" t="s">
        <v>433</v>
      </c>
      <c r="N1471">
        <v>4</v>
      </c>
      <c r="O1471">
        <v>4</v>
      </c>
      <c r="P1471"/>
      <c r="Q1471">
        <v>134905</v>
      </c>
      <c r="R1471">
        <v>1</v>
      </c>
      <c r="S1471" t="s">
        <v>40</v>
      </c>
      <c r="T1471">
        <v>261</v>
      </c>
      <c r="U1471">
        <v>147664</v>
      </c>
      <c r="V1471">
        <v>24</v>
      </c>
      <c r="W1471" t="s">
        <v>40</v>
      </c>
      <c r="X1471">
        <v>261</v>
      </c>
      <c r="Y1471" t="s">
        <v>377</v>
      </c>
      <c r="Z1471" t="s">
        <v>378</v>
      </c>
      <c r="AA1471" t="s">
        <v>379</v>
      </c>
      <c r="AB1471" t="s">
        <v>384</v>
      </c>
      <c r="AC1471" t="s">
        <v>41</v>
      </c>
      <c r="AD1471" t="s">
        <v>41</v>
      </c>
      <c r="AE1471" t="s">
        <v>41</v>
      </c>
      <c r="AF1471" t="s">
        <v>41</v>
      </c>
      <c r="AK1471"/>
    </row>
    <row r="1472" spans="1:38" x14ac:dyDescent="0.25">
      <c r="A1472" t="s">
        <v>37</v>
      </c>
      <c r="B1472">
        <v>46067.034317129626</v>
      </c>
      <c r="C1472">
        <v>92679</v>
      </c>
      <c r="D1472" t="s">
        <v>682</v>
      </c>
      <c r="E1472">
        <v>4511383</v>
      </c>
      <c r="F1472">
        <v>2308623</v>
      </c>
      <c r="G1472" t="s">
        <v>1574</v>
      </c>
      <c r="H1472" t="s">
        <v>1582</v>
      </c>
      <c r="I1472">
        <v>1.5</v>
      </c>
      <c r="J1472" t="b">
        <v>1</v>
      </c>
      <c r="K1472">
        <v>7.4999999999999997E-3</v>
      </c>
      <c r="L1472">
        <v>2305682</v>
      </c>
      <c r="M1472" t="s">
        <v>1575</v>
      </c>
      <c r="N1472">
        <v>200</v>
      </c>
      <c r="O1472">
        <v>200</v>
      </c>
      <c r="P1472"/>
      <c r="Q1472">
        <v>134976</v>
      </c>
      <c r="R1472">
        <v>1</v>
      </c>
      <c r="S1472" t="s">
        <v>40</v>
      </c>
      <c r="T1472">
        <v>261</v>
      </c>
      <c r="W1472"/>
      <c r="Y1472" t="s">
        <v>377</v>
      </c>
      <c r="Z1472" t="s">
        <v>378</v>
      </c>
      <c r="AA1472" t="s">
        <v>379</v>
      </c>
      <c r="AB1472" t="s">
        <v>668</v>
      </c>
      <c r="AC1472" t="s">
        <v>41</v>
      </c>
      <c r="AD1472" t="s">
        <v>41</v>
      </c>
      <c r="AE1472" t="s">
        <v>41</v>
      </c>
      <c r="AF1472" t="s">
        <v>41</v>
      </c>
      <c r="AK1472"/>
    </row>
    <row r="1473" spans="1:38" x14ac:dyDescent="0.25">
      <c r="A1473" t="s">
        <v>37</v>
      </c>
      <c r="B1473">
        <v>46067.035995370374</v>
      </c>
      <c r="C1473">
        <v>92679</v>
      </c>
      <c r="D1473" t="s">
        <v>682</v>
      </c>
      <c r="E1473">
        <v>4511383</v>
      </c>
      <c r="F1473">
        <v>2308623</v>
      </c>
      <c r="G1473" t="s">
        <v>1574</v>
      </c>
      <c r="H1473" t="s">
        <v>1582</v>
      </c>
      <c r="I1473">
        <v>1.5</v>
      </c>
      <c r="J1473" t="b">
        <v>1</v>
      </c>
      <c r="K1473">
        <v>7.4999999999999997E-3</v>
      </c>
      <c r="L1473">
        <v>2305682</v>
      </c>
      <c r="M1473" t="s">
        <v>1575</v>
      </c>
      <c r="N1473">
        <v>200</v>
      </c>
      <c r="O1473">
        <v>200</v>
      </c>
      <c r="P1473"/>
      <c r="Q1473">
        <v>134976</v>
      </c>
      <c r="R1473">
        <v>1</v>
      </c>
      <c r="S1473" t="s">
        <v>40</v>
      </c>
      <c r="T1473">
        <v>261</v>
      </c>
      <c r="W1473"/>
      <c r="Y1473" t="s">
        <v>377</v>
      </c>
      <c r="Z1473" t="s">
        <v>378</v>
      </c>
      <c r="AA1473" t="s">
        <v>379</v>
      </c>
      <c r="AB1473" t="s">
        <v>668</v>
      </c>
      <c r="AC1473" t="s">
        <v>41</v>
      </c>
      <c r="AD1473" t="s">
        <v>41</v>
      </c>
      <c r="AE1473" t="s">
        <v>41</v>
      </c>
      <c r="AF1473" t="s">
        <v>41</v>
      </c>
      <c r="AK1473"/>
    </row>
    <row r="1474" spans="1:38" x14ac:dyDescent="0.25">
      <c r="A1474" t="s">
        <v>43</v>
      </c>
      <c r="B1474">
        <v>46067.116377314815</v>
      </c>
      <c r="C1474">
        <v>91762</v>
      </c>
      <c r="D1474" t="s">
        <v>682</v>
      </c>
      <c r="E1474">
        <v>4508312</v>
      </c>
      <c r="F1474">
        <v>2304758</v>
      </c>
      <c r="G1474" t="s">
        <v>402</v>
      </c>
      <c r="H1474" t="s">
        <v>1578</v>
      </c>
      <c r="I1474">
        <v>7</v>
      </c>
      <c r="J1474" t="b">
        <v>1</v>
      </c>
      <c r="K1474">
        <v>1.75</v>
      </c>
      <c r="L1474">
        <v>2304759</v>
      </c>
      <c r="M1474" t="s">
        <v>404</v>
      </c>
      <c r="N1474">
        <v>4</v>
      </c>
      <c r="O1474">
        <v>4</v>
      </c>
      <c r="P1474"/>
      <c r="Q1474">
        <v>134905</v>
      </c>
      <c r="R1474">
        <v>1</v>
      </c>
      <c r="S1474" t="s">
        <v>40</v>
      </c>
      <c r="T1474">
        <v>261</v>
      </c>
      <c r="U1474">
        <v>147664</v>
      </c>
      <c r="V1474">
        <v>24</v>
      </c>
      <c r="W1474" t="s">
        <v>40</v>
      </c>
      <c r="X1474">
        <v>261</v>
      </c>
      <c r="Y1474" t="s">
        <v>377</v>
      </c>
      <c r="Z1474" t="s">
        <v>378</v>
      </c>
      <c r="AA1474" t="s">
        <v>379</v>
      </c>
      <c r="AB1474" t="s">
        <v>384</v>
      </c>
      <c r="AC1474" t="s">
        <v>41</v>
      </c>
      <c r="AD1474" t="s">
        <v>41</v>
      </c>
      <c r="AE1474" t="s">
        <v>41</v>
      </c>
      <c r="AF1474" t="s">
        <v>41</v>
      </c>
      <c r="AK1474"/>
    </row>
    <row r="1475" spans="1:38" x14ac:dyDescent="0.25">
      <c r="A1475" t="s">
        <v>43</v>
      </c>
      <c r="B1475">
        <v>46067.118344907409</v>
      </c>
      <c r="C1475">
        <v>91762</v>
      </c>
      <c r="D1475" t="s">
        <v>682</v>
      </c>
      <c r="E1475">
        <v>4508312</v>
      </c>
      <c r="F1475">
        <v>2304758</v>
      </c>
      <c r="G1475" t="s">
        <v>402</v>
      </c>
      <c r="H1475" t="s">
        <v>1578</v>
      </c>
      <c r="I1475">
        <v>7</v>
      </c>
      <c r="J1475" t="b">
        <v>1</v>
      </c>
      <c r="K1475">
        <v>1.75</v>
      </c>
      <c r="L1475">
        <v>2304759</v>
      </c>
      <c r="M1475" t="s">
        <v>404</v>
      </c>
      <c r="N1475">
        <v>4</v>
      </c>
      <c r="O1475">
        <v>4</v>
      </c>
      <c r="P1475"/>
      <c r="Q1475">
        <v>134905</v>
      </c>
      <c r="R1475">
        <v>1</v>
      </c>
      <c r="S1475" t="s">
        <v>40</v>
      </c>
      <c r="T1475">
        <v>261</v>
      </c>
      <c r="U1475">
        <v>147664</v>
      </c>
      <c r="V1475">
        <v>24</v>
      </c>
      <c r="W1475" t="s">
        <v>40</v>
      </c>
      <c r="X1475">
        <v>261</v>
      </c>
      <c r="Y1475" t="s">
        <v>377</v>
      </c>
      <c r="Z1475" t="s">
        <v>378</v>
      </c>
      <c r="AA1475" t="s">
        <v>379</v>
      </c>
      <c r="AB1475" t="s">
        <v>384</v>
      </c>
      <c r="AC1475" t="s">
        <v>41</v>
      </c>
      <c r="AD1475" t="s">
        <v>41</v>
      </c>
      <c r="AE1475" t="s">
        <v>41</v>
      </c>
      <c r="AF1475" t="s">
        <v>41</v>
      </c>
      <c r="AK1475"/>
    </row>
    <row r="1476" spans="1:38" x14ac:dyDescent="0.25">
      <c r="A1476" t="s">
        <v>42</v>
      </c>
      <c r="B1476">
        <v>46067.364872685182</v>
      </c>
      <c r="C1476">
        <v>92111</v>
      </c>
      <c r="D1476" t="s">
        <v>401</v>
      </c>
      <c r="E1476">
        <v>4501828</v>
      </c>
      <c r="F1476">
        <v>2104700</v>
      </c>
      <c r="G1476" t="s">
        <v>677</v>
      </c>
      <c r="H1476" t="s">
        <v>1464</v>
      </c>
      <c r="I1476">
        <v>33</v>
      </c>
      <c r="J1476" t="b">
        <v>1</v>
      </c>
      <c r="K1476">
        <v>0.36666666666666664</v>
      </c>
      <c r="L1476">
        <v>2106028</v>
      </c>
      <c r="M1476" t="s">
        <v>678</v>
      </c>
      <c r="N1476">
        <v>90</v>
      </c>
      <c r="O1476">
        <v>90</v>
      </c>
      <c r="P1476"/>
      <c r="Q1476">
        <v>0</v>
      </c>
      <c r="R1476">
        <v>0</v>
      </c>
      <c r="S1476" t="s">
        <v>40</v>
      </c>
      <c r="T1476">
        <v>261</v>
      </c>
      <c r="W1476"/>
      <c r="Y1476" t="s">
        <v>679</v>
      </c>
      <c r="Z1476" t="s">
        <v>378</v>
      </c>
      <c r="AA1476" t="s">
        <v>379</v>
      </c>
      <c r="AB1476" t="s">
        <v>574</v>
      </c>
      <c r="AC1476" t="s">
        <v>41</v>
      </c>
      <c r="AD1476" t="s">
        <v>41</v>
      </c>
      <c r="AE1476" t="s">
        <v>41</v>
      </c>
      <c r="AF1476" t="s">
        <v>41</v>
      </c>
      <c r="AK1476"/>
    </row>
    <row r="1477" spans="1:38" x14ac:dyDescent="0.25">
      <c r="A1477" t="s">
        <v>47</v>
      </c>
      <c r="B1477">
        <v>46067.429409722223</v>
      </c>
      <c r="C1477">
        <v>92675</v>
      </c>
      <c r="D1477" t="s">
        <v>401</v>
      </c>
      <c r="E1477">
        <v>4507358</v>
      </c>
      <c r="F1477">
        <v>2310135</v>
      </c>
      <c r="G1477" t="s">
        <v>1052</v>
      </c>
      <c r="H1477" t="s">
        <v>1583</v>
      </c>
      <c r="I1477">
        <v>64.3</v>
      </c>
      <c r="J1477" t="b">
        <v>1</v>
      </c>
      <c r="K1477">
        <v>0.16075</v>
      </c>
      <c r="L1477">
        <v>2310136</v>
      </c>
      <c r="M1477" t="s">
        <v>1053</v>
      </c>
      <c r="N1477">
        <v>400</v>
      </c>
      <c r="O1477">
        <v>400</v>
      </c>
      <c r="P1477"/>
      <c r="Q1477">
        <v>134974</v>
      </c>
      <c r="R1477">
        <v>1</v>
      </c>
      <c r="S1477" t="s">
        <v>40</v>
      </c>
      <c r="T1477">
        <v>261</v>
      </c>
      <c r="W1477"/>
      <c r="Y1477" t="s">
        <v>377</v>
      </c>
      <c r="Z1477" t="s">
        <v>378</v>
      </c>
      <c r="AA1477" t="s">
        <v>379</v>
      </c>
      <c r="AB1477" t="s">
        <v>1079</v>
      </c>
      <c r="AC1477" t="s">
        <v>41</v>
      </c>
      <c r="AD1477" t="s">
        <v>41</v>
      </c>
      <c r="AE1477" t="s">
        <v>41</v>
      </c>
      <c r="AF1477" t="s">
        <v>41</v>
      </c>
      <c r="AK1477"/>
    </row>
    <row r="1478" spans="1:38" x14ac:dyDescent="0.25">
      <c r="A1478" t="s">
        <v>37</v>
      </c>
      <c r="B1478">
        <v>46067.669432870367</v>
      </c>
      <c r="C1478">
        <v>89698</v>
      </c>
      <c r="D1478" t="s">
        <v>401</v>
      </c>
      <c r="E1478">
        <v>4510791</v>
      </c>
      <c r="F1478">
        <v>2104879</v>
      </c>
      <c r="G1478" t="s">
        <v>556</v>
      </c>
      <c r="H1478" t="s">
        <v>1584</v>
      </c>
      <c r="I1478">
        <v>5</v>
      </c>
      <c r="J1478" t="b">
        <v>1</v>
      </c>
      <c r="K1478">
        <v>1</v>
      </c>
      <c r="L1478">
        <v>2106199</v>
      </c>
      <c r="M1478" t="s">
        <v>558</v>
      </c>
      <c r="N1478">
        <v>5</v>
      </c>
      <c r="O1478">
        <v>5</v>
      </c>
      <c r="P1478"/>
      <c r="Q1478">
        <v>134905</v>
      </c>
      <c r="R1478">
        <v>1</v>
      </c>
      <c r="S1478" t="s">
        <v>40</v>
      </c>
      <c r="T1478">
        <v>261</v>
      </c>
      <c r="U1478">
        <v>147664</v>
      </c>
      <c r="V1478">
        <v>24</v>
      </c>
      <c r="W1478" t="s">
        <v>40</v>
      </c>
      <c r="X1478">
        <v>261</v>
      </c>
      <c r="Y1478" t="s">
        <v>377</v>
      </c>
      <c r="Z1478" t="s">
        <v>378</v>
      </c>
      <c r="AA1478" t="s">
        <v>379</v>
      </c>
      <c r="AB1478" t="s">
        <v>559</v>
      </c>
      <c r="AC1478" t="s">
        <v>41</v>
      </c>
      <c r="AD1478" t="s">
        <v>41</v>
      </c>
      <c r="AE1478" t="s">
        <v>41</v>
      </c>
      <c r="AF1478" t="s">
        <v>41</v>
      </c>
      <c r="AK1478"/>
    </row>
    <row r="1479" spans="1:38" x14ac:dyDescent="0.25">
      <c r="A1479" t="s">
        <v>37</v>
      </c>
      <c r="B1479">
        <v>46067.670347222222</v>
      </c>
      <c r="C1479">
        <v>89698</v>
      </c>
      <c r="D1479" t="s">
        <v>401</v>
      </c>
      <c r="E1479">
        <v>4510790</v>
      </c>
      <c r="F1479">
        <v>2104879</v>
      </c>
      <c r="G1479" t="s">
        <v>556</v>
      </c>
      <c r="H1479" t="s">
        <v>1584</v>
      </c>
      <c r="I1479">
        <v>5</v>
      </c>
      <c r="J1479" t="b">
        <v>1</v>
      </c>
      <c r="K1479">
        <v>1.25</v>
      </c>
      <c r="L1479">
        <v>2106199</v>
      </c>
      <c r="M1479" t="s">
        <v>558</v>
      </c>
      <c r="N1479">
        <v>4</v>
      </c>
      <c r="O1479">
        <v>4</v>
      </c>
      <c r="P1479"/>
      <c r="Q1479">
        <v>134905</v>
      </c>
      <c r="R1479">
        <v>1</v>
      </c>
      <c r="S1479" t="s">
        <v>40</v>
      </c>
      <c r="T1479">
        <v>261</v>
      </c>
      <c r="U1479">
        <v>147664</v>
      </c>
      <c r="V1479">
        <v>24</v>
      </c>
      <c r="W1479" t="s">
        <v>40</v>
      </c>
      <c r="X1479">
        <v>261</v>
      </c>
      <c r="Y1479" t="s">
        <v>377</v>
      </c>
      <c r="Z1479" t="s">
        <v>378</v>
      </c>
      <c r="AA1479" t="s">
        <v>379</v>
      </c>
      <c r="AB1479" t="s">
        <v>384</v>
      </c>
      <c r="AC1479" t="s">
        <v>41</v>
      </c>
      <c r="AD1479" t="s">
        <v>41</v>
      </c>
      <c r="AE1479" t="s">
        <v>41</v>
      </c>
      <c r="AF1479" t="s">
        <v>41</v>
      </c>
      <c r="AK1479"/>
    </row>
    <row r="1480" spans="1:38" x14ac:dyDescent="0.25">
      <c r="A1480" t="s">
        <v>38</v>
      </c>
      <c r="B1480">
        <v>46067.728449074071</v>
      </c>
      <c r="C1480">
        <v>92680</v>
      </c>
      <c r="D1480" t="s">
        <v>401</v>
      </c>
      <c r="E1480">
        <v>4511384</v>
      </c>
      <c r="F1480">
        <v>2308623</v>
      </c>
      <c r="G1480" t="s">
        <v>1574</v>
      </c>
      <c r="H1480" t="s">
        <v>1564</v>
      </c>
      <c r="I1480">
        <v>3</v>
      </c>
      <c r="J1480" t="b">
        <v>1</v>
      </c>
      <c r="K1480">
        <v>7.4999999999999997E-3</v>
      </c>
      <c r="L1480">
        <v>2305682</v>
      </c>
      <c r="M1480" t="s">
        <v>1575</v>
      </c>
      <c r="N1480">
        <v>400</v>
      </c>
      <c r="O1480">
        <v>400</v>
      </c>
      <c r="P1480"/>
      <c r="Q1480">
        <v>134974</v>
      </c>
      <c r="R1480">
        <v>1</v>
      </c>
      <c r="S1480" t="s">
        <v>40</v>
      </c>
      <c r="T1480">
        <v>261</v>
      </c>
      <c r="V1480">
        <v>0</v>
      </c>
      <c r="W1480"/>
      <c r="Y1480" t="s">
        <v>377</v>
      </c>
      <c r="Z1480" t="s">
        <v>378</v>
      </c>
      <c r="AA1480" t="s">
        <v>384</v>
      </c>
      <c r="AB1480" t="s">
        <v>668</v>
      </c>
      <c r="AC1480" t="s">
        <v>41</v>
      </c>
      <c r="AD1480" t="s">
        <v>41</v>
      </c>
      <c r="AE1480" t="s">
        <v>41</v>
      </c>
      <c r="AF1480" t="s">
        <v>41</v>
      </c>
      <c r="AI1480">
        <v>134974</v>
      </c>
      <c r="AJ1480">
        <v>1</v>
      </c>
      <c r="AK1480" t="s">
        <v>40</v>
      </c>
      <c r="AL1480">
        <v>261</v>
      </c>
    </row>
    <row r="1481" spans="1:38" x14ac:dyDescent="0.25">
      <c r="A1481" t="s">
        <v>43</v>
      </c>
      <c r="B1481">
        <v>46067.979270833333</v>
      </c>
      <c r="C1481">
        <v>91355</v>
      </c>
      <c r="D1481" t="s">
        <v>563</v>
      </c>
      <c r="E1481">
        <v>4508974</v>
      </c>
      <c r="F1481">
        <v>113677</v>
      </c>
      <c r="G1481" t="s">
        <v>687</v>
      </c>
      <c r="H1481" t="s">
        <v>1554</v>
      </c>
      <c r="I1481">
        <v>14</v>
      </c>
      <c r="J1481" t="b">
        <v>1</v>
      </c>
      <c r="K1481">
        <v>1.75</v>
      </c>
      <c r="L1481">
        <v>113679</v>
      </c>
      <c r="M1481" t="s">
        <v>689</v>
      </c>
      <c r="N1481">
        <v>8</v>
      </c>
      <c r="O1481">
        <v>8</v>
      </c>
      <c r="P1481"/>
      <c r="Q1481">
        <v>134906</v>
      </c>
      <c r="R1481">
        <v>1</v>
      </c>
      <c r="S1481" t="s">
        <v>40</v>
      </c>
      <c r="T1481">
        <v>261</v>
      </c>
      <c r="U1481">
        <v>147664</v>
      </c>
      <c r="V1481">
        <v>48</v>
      </c>
      <c r="W1481" t="s">
        <v>40</v>
      </c>
      <c r="X1481">
        <v>261</v>
      </c>
      <c r="Y1481" t="s">
        <v>377</v>
      </c>
      <c r="Z1481" t="s">
        <v>378</v>
      </c>
      <c r="AA1481" t="s">
        <v>384</v>
      </c>
      <c r="AB1481" t="s">
        <v>384</v>
      </c>
      <c r="AC1481" t="s">
        <v>41</v>
      </c>
      <c r="AD1481" t="s">
        <v>41</v>
      </c>
      <c r="AE1481" t="s">
        <v>41</v>
      </c>
      <c r="AF1481" t="s">
        <v>41</v>
      </c>
      <c r="AI1481">
        <v>134906</v>
      </c>
      <c r="AJ1481">
        <v>1</v>
      </c>
      <c r="AK1481" t="s">
        <v>40</v>
      </c>
      <c r="AL1481">
        <v>261</v>
      </c>
    </row>
    <row r="1482" spans="1:38" x14ac:dyDescent="0.25">
      <c r="A1482" t="s">
        <v>39</v>
      </c>
      <c r="B1482">
        <v>46068.002488425926</v>
      </c>
      <c r="C1482">
        <v>90276</v>
      </c>
      <c r="D1482" t="s">
        <v>563</v>
      </c>
      <c r="E1482">
        <v>4508481</v>
      </c>
      <c r="F1482">
        <v>2104655</v>
      </c>
      <c r="G1482" t="s">
        <v>1487</v>
      </c>
      <c r="H1482" t="s">
        <v>1568</v>
      </c>
      <c r="I1482">
        <v>4</v>
      </c>
      <c r="J1482" t="b">
        <v>1</v>
      </c>
      <c r="K1482">
        <v>1.3071895424836602E-2</v>
      </c>
      <c r="L1482">
        <v>2105992</v>
      </c>
      <c r="M1482" t="s">
        <v>1488</v>
      </c>
      <c r="N1482">
        <v>306</v>
      </c>
      <c r="O1482">
        <v>306</v>
      </c>
      <c r="P1482"/>
      <c r="Q1482">
        <v>134976</v>
      </c>
      <c r="R1482">
        <v>1</v>
      </c>
      <c r="S1482" t="s">
        <v>40</v>
      </c>
      <c r="T1482">
        <v>261</v>
      </c>
      <c r="W1482"/>
      <c r="Y1482" t="s">
        <v>377</v>
      </c>
      <c r="Z1482" t="s">
        <v>378</v>
      </c>
      <c r="AA1482" t="s">
        <v>379</v>
      </c>
      <c r="AB1482" t="s">
        <v>869</v>
      </c>
      <c r="AC1482" t="s">
        <v>41</v>
      </c>
      <c r="AD1482" t="s">
        <v>41</v>
      </c>
      <c r="AE1482" t="s">
        <v>41</v>
      </c>
      <c r="AF1482" t="s">
        <v>41</v>
      </c>
      <c r="AK1482"/>
    </row>
    <row r="1483" spans="1:38" x14ac:dyDescent="0.25">
      <c r="A1483" t="s">
        <v>37</v>
      </c>
      <c r="B1483">
        <v>46068.524444444447</v>
      </c>
      <c r="C1483">
        <v>89699</v>
      </c>
      <c r="D1483" t="s">
        <v>459</v>
      </c>
      <c r="E1483">
        <v>4511706</v>
      </c>
      <c r="F1483">
        <v>107144</v>
      </c>
      <c r="G1483" t="s">
        <v>1585</v>
      </c>
      <c r="H1483" t="s">
        <v>1554</v>
      </c>
      <c r="I1483">
        <v>10</v>
      </c>
      <c r="J1483" t="b">
        <v>1</v>
      </c>
      <c r="K1483">
        <v>1.25</v>
      </c>
      <c r="L1483">
        <v>107145</v>
      </c>
      <c r="M1483" t="s">
        <v>1586</v>
      </c>
      <c r="N1483">
        <v>8</v>
      </c>
      <c r="O1483">
        <v>8</v>
      </c>
      <c r="P1483"/>
      <c r="Q1483">
        <v>134907</v>
      </c>
      <c r="R1483">
        <v>2</v>
      </c>
      <c r="S1483" t="s">
        <v>40</v>
      </c>
      <c r="T1483">
        <v>261</v>
      </c>
      <c r="U1483">
        <v>147664</v>
      </c>
      <c r="V1483">
        <v>48</v>
      </c>
      <c r="W1483" t="s">
        <v>40</v>
      </c>
      <c r="X1483">
        <v>261</v>
      </c>
      <c r="Y1483" t="s">
        <v>377</v>
      </c>
      <c r="Z1483" t="s">
        <v>378</v>
      </c>
      <c r="AA1483" t="s">
        <v>384</v>
      </c>
      <c r="AB1483" t="s">
        <v>384</v>
      </c>
      <c r="AC1483" t="s">
        <v>41</v>
      </c>
      <c r="AD1483" t="s">
        <v>41</v>
      </c>
      <c r="AE1483" t="s">
        <v>41</v>
      </c>
      <c r="AF1483" t="s">
        <v>41</v>
      </c>
      <c r="AK1483"/>
    </row>
    <row r="1484" spans="1:38" x14ac:dyDescent="0.25">
      <c r="A1484" t="s">
        <v>45</v>
      </c>
      <c r="B1484">
        <v>46068.553981481484</v>
      </c>
      <c r="C1484">
        <v>92112</v>
      </c>
      <c r="D1484" t="s">
        <v>459</v>
      </c>
      <c r="E1484">
        <v>4501828</v>
      </c>
      <c r="F1484">
        <v>2104700</v>
      </c>
      <c r="G1484" t="s">
        <v>677</v>
      </c>
      <c r="H1484" t="s">
        <v>1464</v>
      </c>
      <c r="I1484">
        <v>33</v>
      </c>
      <c r="J1484" t="b">
        <v>1</v>
      </c>
      <c r="K1484">
        <v>0.42307692307692307</v>
      </c>
      <c r="L1484">
        <v>2106028</v>
      </c>
      <c r="M1484" t="s">
        <v>678</v>
      </c>
      <c r="N1484">
        <v>78</v>
      </c>
      <c r="O1484">
        <v>63</v>
      </c>
      <c r="P1484"/>
      <c r="Q1484">
        <v>0</v>
      </c>
      <c r="R1484">
        <v>0</v>
      </c>
      <c r="S1484" t="s">
        <v>40</v>
      </c>
      <c r="T1484">
        <v>261</v>
      </c>
      <c r="W1484"/>
      <c r="Y1484" t="s">
        <v>679</v>
      </c>
      <c r="Z1484" t="s">
        <v>378</v>
      </c>
      <c r="AA1484" t="s">
        <v>379</v>
      </c>
      <c r="AB1484" t="s">
        <v>502</v>
      </c>
      <c r="AC1484" t="s">
        <v>41</v>
      </c>
      <c r="AD1484" t="s">
        <v>41</v>
      </c>
      <c r="AE1484" t="s">
        <v>41</v>
      </c>
      <c r="AF1484" t="s">
        <v>41</v>
      </c>
      <c r="AK1484"/>
    </row>
    <row r="1485" spans="1:38" x14ac:dyDescent="0.25">
      <c r="A1485" t="s">
        <v>43</v>
      </c>
      <c r="B1485">
        <v>46068.637233796297</v>
      </c>
      <c r="C1485">
        <v>92682</v>
      </c>
      <c r="D1485" t="s">
        <v>459</v>
      </c>
      <c r="E1485">
        <v>4511385</v>
      </c>
      <c r="F1485">
        <v>2308623</v>
      </c>
      <c r="G1485" t="s">
        <v>1574</v>
      </c>
      <c r="H1485" t="s">
        <v>1562</v>
      </c>
      <c r="I1485">
        <v>3</v>
      </c>
      <c r="J1485" t="b">
        <v>1</v>
      </c>
      <c r="K1485">
        <v>6.5502183406113534E-3</v>
      </c>
      <c r="L1485">
        <v>2305682</v>
      </c>
      <c r="M1485" t="s">
        <v>1575</v>
      </c>
      <c r="N1485">
        <v>458</v>
      </c>
      <c r="O1485">
        <v>400</v>
      </c>
      <c r="P1485"/>
      <c r="Q1485">
        <v>134976</v>
      </c>
      <c r="R1485">
        <v>2</v>
      </c>
      <c r="S1485" t="s">
        <v>40</v>
      </c>
      <c r="T1485">
        <v>261</v>
      </c>
      <c r="W1485"/>
      <c r="Y1485" t="s">
        <v>377</v>
      </c>
      <c r="Z1485" t="s">
        <v>378</v>
      </c>
      <c r="AA1485" t="s">
        <v>379</v>
      </c>
      <c r="AB1485" t="s">
        <v>1587</v>
      </c>
      <c r="AC1485" t="s">
        <v>379</v>
      </c>
      <c r="AD1485" t="s">
        <v>595</v>
      </c>
      <c r="AE1485" t="s">
        <v>41</v>
      </c>
      <c r="AF1485" t="s">
        <v>41</v>
      </c>
      <c r="AK1485"/>
    </row>
    <row r="1486" spans="1:38" x14ac:dyDescent="0.25">
      <c r="A1486" t="s">
        <v>38</v>
      </c>
      <c r="B1486">
        <v>46068.657326388886</v>
      </c>
      <c r="C1486">
        <v>91354</v>
      </c>
      <c r="D1486" t="s">
        <v>459</v>
      </c>
      <c r="E1486">
        <v>4512094</v>
      </c>
      <c r="F1486">
        <v>160991</v>
      </c>
      <c r="G1486" t="s">
        <v>1507</v>
      </c>
      <c r="H1486" t="s">
        <v>1578</v>
      </c>
      <c r="I1486">
        <v>14</v>
      </c>
      <c r="J1486" t="b">
        <v>1</v>
      </c>
      <c r="K1486">
        <v>1.75</v>
      </c>
      <c r="L1486">
        <v>160988</v>
      </c>
      <c r="M1486" t="s">
        <v>1508</v>
      </c>
      <c r="N1486">
        <v>8</v>
      </c>
      <c r="O1486">
        <v>11</v>
      </c>
      <c r="P1486"/>
      <c r="Q1486">
        <v>2301936</v>
      </c>
      <c r="R1486">
        <v>2</v>
      </c>
      <c r="S1486" t="s">
        <v>40</v>
      </c>
      <c r="T1486">
        <v>261</v>
      </c>
      <c r="U1486">
        <v>147664</v>
      </c>
      <c r="V1486">
        <v>48</v>
      </c>
      <c r="W1486" t="s">
        <v>40</v>
      </c>
      <c r="X1486">
        <v>261</v>
      </c>
      <c r="Y1486" t="s">
        <v>377</v>
      </c>
      <c r="Z1486" t="s">
        <v>378</v>
      </c>
      <c r="AA1486" t="s">
        <v>384</v>
      </c>
      <c r="AB1486" t="s">
        <v>384</v>
      </c>
      <c r="AC1486" t="s">
        <v>41</v>
      </c>
      <c r="AD1486" t="s">
        <v>41</v>
      </c>
      <c r="AE1486" t="s">
        <v>41</v>
      </c>
      <c r="AF1486" t="s">
        <v>41</v>
      </c>
      <c r="AK1486"/>
    </row>
    <row r="1487" spans="1:38" x14ac:dyDescent="0.25">
      <c r="A1487" t="s">
        <v>37</v>
      </c>
      <c r="B1487">
        <v>46069.114710648151</v>
      </c>
      <c r="C1487">
        <v>89700</v>
      </c>
      <c r="D1487" t="s">
        <v>563</v>
      </c>
      <c r="E1487">
        <v>4507622</v>
      </c>
      <c r="F1487">
        <v>156695</v>
      </c>
      <c r="G1487" t="s">
        <v>1336</v>
      </c>
      <c r="H1487" t="s">
        <v>1582</v>
      </c>
      <c r="I1487">
        <v>10</v>
      </c>
      <c r="J1487" t="b">
        <v>1</v>
      </c>
      <c r="K1487">
        <v>1.25</v>
      </c>
      <c r="L1487">
        <v>156696</v>
      </c>
      <c r="M1487" t="s">
        <v>1337</v>
      </c>
      <c r="N1487">
        <v>8</v>
      </c>
      <c r="O1487">
        <v>8</v>
      </c>
      <c r="P1487"/>
      <c r="Q1487">
        <v>134905</v>
      </c>
      <c r="R1487">
        <v>1</v>
      </c>
      <c r="S1487" t="s">
        <v>40</v>
      </c>
      <c r="T1487">
        <v>261</v>
      </c>
      <c r="U1487">
        <v>147664</v>
      </c>
      <c r="V1487">
        <v>48</v>
      </c>
      <c r="W1487" t="s">
        <v>40</v>
      </c>
      <c r="X1487">
        <v>261</v>
      </c>
      <c r="Y1487" t="s">
        <v>377</v>
      </c>
      <c r="Z1487" t="s">
        <v>378</v>
      </c>
      <c r="AA1487" t="s">
        <v>384</v>
      </c>
      <c r="AB1487" t="s">
        <v>384</v>
      </c>
      <c r="AC1487" t="s">
        <v>41</v>
      </c>
      <c r="AD1487" t="s">
        <v>41</v>
      </c>
      <c r="AE1487" t="s">
        <v>41</v>
      </c>
      <c r="AF1487" t="s">
        <v>41</v>
      </c>
      <c r="AI1487">
        <v>134905</v>
      </c>
      <c r="AJ1487">
        <v>1</v>
      </c>
      <c r="AK1487" t="s">
        <v>40</v>
      </c>
      <c r="AL1487">
        <v>261</v>
      </c>
    </row>
    <row r="1488" spans="1:38" x14ac:dyDescent="0.25">
      <c r="A1488" t="s">
        <v>45</v>
      </c>
      <c r="B1488">
        <v>46069.140138888892</v>
      </c>
      <c r="C1488">
        <v>92683</v>
      </c>
      <c r="D1488" t="s">
        <v>563</v>
      </c>
      <c r="E1488">
        <v>4509260</v>
      </c>
      <c r="F1488">
        <v>2302251</v>
      </c>
      <c r="G1488" t="s">
        <v>1588</v>
      </c>
      <c r="H1488" t="s">
        <v>1554</v>
      </c>
      <c r="I1488">
        <v>2.5</v>
      </c>
      <c r="J1488" t="b">
        <v>1</v>
      </c>
      <c r="K1488">
        <v>1.6129032258064516E-2</v>
      </c>
      <c r="L1488">
        <v>2302252</v>
      </c>
      <c r="M1488" t="s">
        <v>1589</v>
      </c>
      <c r="N1488">
        <v>155</v>
      </c>
      <c r="O1488">
        <v>155</v>
      </c>
      <c r="P1488"/>
      <c r="Q1488">
        <v>134976</v>
      </c>
      <c r="R1488">
        <v>1</v>
      </c>
      <c r="S1488" t="s">
        <v>40</v>
      </c>
      <c r="T1488">
        <v>261</v>
      </c>
      <c r="W1488"/>
      <c r="Y1488" t="s">
        <v>377</v>
      </c>
      <c r="Z1488" t="s">
        <v>378</v>
      </c>
      <c r="AA1488" t="s">
        <v>379</v>
      </c>
      <c r="AB1488" t="s">
        <v>728</v>
      </c>
      <c r="AC1488" t="s">
        <v>41</v>
      </c>
      <c r="AD1488" t="s">
        <v>41</v>
      </c>
      <c r="AE1488" t="s">
        <v>41</v>
      </c>
      <c r="AF1488" t="s">
        <v>41</v>
      </c>
      <c r="AK1488"/>
    </row>
    <row r="1489" spans="1:38" x14ac:dyDescent="0.25">
      <c r="A1489" t="s">
        <v>44</v>
      </c>
      <c r="B1489">
        <v>46069.164004629631</v>
      </c>
      <c r="C1489">
        <v>91391</v>
      </c>
      <c r="D1489" t="s">
        <v>563</v>
      </c>
      <c r="E1489">
        <v>4508313</v>
      </c>
      <c r="F1489">
        <v>2304758</v>
      </c>
      <c r="G1489" t="s">
        <v>402</v>
      </c>
      <c r="H1489" t="s">
        <v>1568</v>
      </c>
      <c r="I1489">
        <v>14</v>
      </c>
      <c r="J1489" t="b">
        <v>1</v>
      </c>
      <c r="K1489">
        <v>1.75</v>
      </c>
      <c r="L1489">
        <v>2304759</v>
      </c>
      <c r="M1489" t="s">
        <v>404</v>
      </c>
      <c r="N1489">
        <v>8</v>
      </c>
      <c r="O1489">
        <v>8</v>
      </c>
      <c r="P1489"/>
      <c r="Q1489">
        <v>155687</v>
      </c>
      <c r="R1489">
        <v>2</v>
      </c>
      <c r="S1489" t="s">
        <v>40</v>
      </c>
      <c r="T1489">
        <v>261</v>
      </c>
      <c r="U1489">
        <v>147664</v>
      </c>
      <c r="V1489">
        <v>48</v>
      </c>
      <c r="W1489" t="s">
        <v>40</v>
      </c>
      <c r="X1489">
        <v>261</v>
      </c>
      <c r="Y1489" t="s">
        <v>377</v>
      </c>
      <c r="Z1489" t="s">
        <v>378</v>
      </c>
      <c r="AA1489" t="s">
        <v>384</v>
      </c>
      <c r="AB1489" t="s">
        <v>384</v>
      </c>
      <c r="AC1489" t="s">
        <v>41</v>
      </c>
      <c r="AD1489" t="s">
        <v>41</v>
      </c>
      <c r="AE1489" t="s">
        <v>41</v>
      </c>
      <c r="AF1489" t="s">
        <v>41</v>
      </c>
      <c r="AK1489"/>
    </row>
    <row r="1490" spans="1:38" x14ac:dyDescent="0.25">
      <c r="A1490" t="s">
        <v>38</v>
      </c>
      <c r="B1490">
        <v>46069.419293981482</v>
      </c>
      <c r="C1490">
        <v>91356</v>
      </c>
      <c r="D1490" t="s">
        <v>373</v>
      </c>
      <c r="E1490">
        <v>4512089</v>
      </c>
      <c r="F1490">
        <v>113677</v>
      </c>
      <c r="G1490" t="s">
        <v>687</v>
      </c>
      <c r="H1490" t="s">
        <v>1579</v>
      </c>
      <c r="I1490">
        <v>10</v>
      </c>
      <c r="J1490" t="b">
        <v>1</v>
      </c>
      <c r="K1490">
        <v>1.25</v>
      </c>
      <c r="L1490">
        <v>113679</v>
      </c>
      <c r="M1490" t="s">
        <v>689</v>
      </c>
      <c r="N1490">
        <v>8</v>
      </c>
      <c r="O1490">
        <v>8</v>
      </c>
      <c r="P1490"/>
      <c r="Q1490">
        <v>2301936</v>
      </c>
      <c r="R1490">
        <v>1</v>
      </c>
      <c r="S1490" t="s">
        <v>40</v>
      </c>
      <c r="T1490">
        <v>261</v>
      </c>
      <c r="U1490">
        <v>147664</v>
      </c>
      <c r="V1490">
        <v>48</v>
      </c>
      <c r="W1490" t="s">
        <v>40</v>
      </c>
      <c r="X1490">
        <v>261</v>
      </c>
      <c r="Y1490" t="s">
        <v>377</v>
      </c>
      <c r="Z1490" t="s">
        <v>378</v>
      </c>
      <c r="AA1490" t="s">
        <v>384</v>
      </c>
      <c r="AB1490" t="s">
        <v>384</v>
      </c>
      <c r="AC1490" t="s">
        <v>41</v>
      </c>
      <c r="AD1490" t="s">
        <v>41</v>
      </c>
      <c r="AE1490" t="s">
        <v>41</v>
      </c>
      <c r="AF1490" t="s">
        <v>41</v>
      </c>
      <c r="AI1490">
        <v>2301936</v>
      </c>
      <c r="AJ1490">
        <v>1</v>
      </c>
      <c r="AK1490" t="s">
        <v>40</v>
      </c>
      <c r="AL1490">
        <v>261</v>
      </c>
    </row>
    <row r="1491" spans="1:38" x14ac:dyDescent="0.25">
      <c r="A1491" t="s">
        <v>48</v>
      </c>
      <c r="B1491">
        <v>46069.422546296293</v>
      </c>
      <c r="C1491">
        <v>92676</v>
      </c>
      <c r="D1491" t="s">
        <v>373</v>
      </c>
      <c r="E1491">
        <v>4507359</v>
      </c>
      <c r="F1491">
        <v>2310135</v>
      </c>
      <c r="G1491" t="s">
        <v>1052</v>
      </c>
      <c r="H1491" t="s">
        <v>1583</v>
      </c>
      <c r="I1491">
        <v>64.3</v>
      </c>
      <c r="J1491" t="b">
        <v>1</v>
      </c>
      <c r="K1491">
        <v>0.15682926829268293</v>
      </c>
      <c r="L1491">
        <v>2310136</v>
      </c>
      <c r="M1491" t="s">
        <v>1053</v>
      </c>
      <c r="N1491">
        <v>410</v>
      </c>
      <c r="O1491">
        <v>408</v>
      </c>
      <c r="P1491" t="s">
        <v>1590</v>
      </c>
      <c r="Q1491">
        <v>134974</v>
      </c>
      <c r="R1491">
        <v>1</v>
      </c>
      <c r="S1491" t="s">
        <v>40</v>
      </c>
      <c r="T1491">
        <v>261</v>
      </c>
      <c r="W1491"/>
      <c r="Y1491" t="s">
        <v>377</v>
      </c>
      <c r="Z1491" t="s">
        <v>378</v>
      </c>
      <c r="AA1491" t="s">
        <v>379</v>
      </c>
      <c r="AB1491" t="s">
        <v>1273</v>
      </c>
      <c r="AC1491" t="s">
        <v>41</v>
      </c>
      <c r="AD1491" t="s">
        <v>41</v>
      </c>
      <c r="AE1491" t="s">
        <v>41</v>
      </c>
      <c r="AF1491" t="s">
        <v>41</v>
      </c>
      <c r="AK1491"/>
    </row>
    <row r="1492" spans="1:38" x14ac:dyDescent="0.25">
      <c r="A1492" t="s">
        <v>43</v>
      </c>
      <c r="B1492">
        <v>46069.5309375</v>
      </c>
      <c r="C1492">
        <v>92684</v>
      </c>
      <c r="D1492" t="s">
        <v>373</v>
      </c>
      <c r="E1492">
        <v>4511028</v>
      </c>
      <c r="F1492">
        <v>2105546</v>
      </c>
      <c r="G1492" t="s">
        <v>1591</v>
      </c>
      <c r="H1492" t="s">
        <v>1554</v>
      </c>
      <c r="I1492">
        <v>3</v>
      </c>
      <c r="J1492" t="b">
        <v>1</v>
      </c>
      <c r="K1492">
        <v>1.8518518518518517E-2</v>
      </c>
      <c r="L1492">
        <v>2106809</v>
      </c>
      <c r="M1492" t="s">
        <v>1592</v>
      </c>
      <c r="N1492">
        <v>162</v>
      </c>
      <c r="O1492">
        <v>161</v>
      </c>
      <c r="P1492"/>
      <c r="Q1492">
        <v>134974</v>
      </c>
      <c r="R1492">
        <v>1</v>
      </c>
      <c r="S1492" t="s">
        <v>40</v>
      </c>
      <c r="T1492">
        <v>261</v>
      </c>
      <c r="W1492"/>
      <c r="Y1492" t="s">
        <v>377</v>
      </c>
      <c r="Z1492" t="s">
        <v>378</v>
      </c>
      <c r="AA1492" t="s">
        <v>379</v>
      </c>
      <c r="AB1492" t="s">
        <v>657</v>
      </c>
      <c r="AC1492" t="s">
        <v>41</v>
      </c>
      <c r="AD1492" t="s">
        <v>41</v>
      </c>
      <c r="AE1492" t="s">
        <v>41</v>
      </c>
      <c r="AF1492" t="s">
        <v>41</v>
      </c>
      <c r="AK1492"/>
    </row>
    <row r="1493" spans="1:38" x14ac:dyDescent="0.25">
      <c r="A1493" t="s">
        <v>42</v>
      </c>
      <c r="B1493">
        <v>46069.708252314813</v>
      </c>
      <c r="C1493">
        <v>89702</v>
      </c>
      <c r="D1493" t="s">
        <v>373</v>
      </c>
      <c r="E1493">
        <v>4507623</v>
      </c>
      <c r="F1493">
        <v>156695</v>
      </c>
      <c r="G1493" t="s">
        <v>1336</v>
      </c>
      <c r="H1493" t="s">
        <v>1564</v>
      </c>
      <c r="I1493">
        <v>10</v>
      </c>
      <c r="J1493" t="b">
        <v>1</v>
      </c>
      <c r="K1493">
        <v>1.25</v>
      </c>
      <c r="L1493">
        <v>156696</v>
      </c>
      <c r="M1493" t="s">
        <v>1337</v>
      </c>
      <c r="N1493">
        <v>8</v>
      </c>
      <c r="O1493">
        <v>8</v>
      </c>
      <c r="P1493"/>
      <c r="Q1493">
        <v>134906</v>
      </c>
      <c r="R1493">
        <v>1</v>
      </c>
      <c r="S1493" t="s">
        <v>40</v>
      </c>
      <c r="T1493">
        <v>261</v>
      </c>
      <c r="U1493">
        <v>147664</v>
      </c>
      <c r="V1493">
        <v>48</v>
      </c>
      <c r="W1493" t="s">
        <v>40</v>
      </c>
      <c r="X1493">
        <v>261</v>
      </c>
      <c r="Y1493" t="s">
        <v>377</v>
      </c>
      <c r="Z1493" t="s">
        <v>378</v>
      </c>
      <c r="AA1493" t="s">
        <v>384</v>
      </c>
      <c r="AB1493" t="s">
        <v>384</v>
      </c>
      <c r="AC1493" t="s">
        <v>41</v>
      </c>
      <c r="AD1493" t="s">
        <v>41</v>
      </c>
      <c r="AE1493" t="s">
        <v>41</v>
      </c>
      <c r="AF1493" t="s">
        <v>41</v>
      </c>
      <c r="AI1493">
        <v>134906</v>
      </c>
      <c r="AJ1493">
        <v>1</v>
      </c>
      <c r="AK1493" t="s">
        <v>40</v>
      </c>
      <c r="AL1493">
        <v>261</v>
      </c>
    </row>
    <row r="1494" spans="1:38" x14ac:dyDescent="0.25">
      <c r="A1494" t="s">
        <v>45</v>
      </c>
      <c r="B1494">
        <v>46069.845092592594</v>
      </c>
      <c r="C1494">
        <v>90277</v>
      </c>
      <c r="D1494" t="s">
        <v>866</v>
      </c>
      <c r="E1494">
        <v>4508482</v>
      </c>
      <c r="F1494">
        <v>2104655</v>
      </c>
      <c r="G1494" t="s">
        <v>1487</v>
      </c>
      <c r="H1494" t="s">
        <v>1573</v>
      </c>
      <c r="I1494">
        <v>4</v>
      </c>
      <c r="J1494" t="b">
        <v>1</v>
      </c>
      <c r="K1494">
        <v>1.3698630136986301E-2</v>
      </c>
      <c r="L1494">
        <v>2105992</v>
      </c>
      <c r="M1494" t="s">
        <v>1488</v>
      </c>
      <c r="N1494">
        <v>292</v>
      </c>
      <c r="O1494">
        <v>297</v>
      </c>
      <c r="P1494"/>
      <c r="Q1494">
        <v>134976</v>
      </c>
      <c r="R1494">
        <v>1</v>
      </c>
      <c r="S1494" t="s">
        <v>40</v>
      </c>
      <c r="T1494">
        <v>261</v>
      </c>
      <c r="W1494"/>
      <c r="Y1494" t="s">
        <v>377</v>
      </c>
      <c r="Z1494" t="s">
        <v>378</v>
      </c>
      <c r="AA1494" t="s">
        <v>379</v>
      </c>
      <c r="AB1494" t="s">
        <v>1593</v>
      </c>
      <c r="AC1494" t="s">
        <v>41</v>
      </c>
      <c r="AD1494" t="s">
        <v>41</v>
      </c>
      <c r="AE1494" t="s">
        <v>41</v>
      </c>
      <c r="AF1494" t="s">
        <v>41</v>
      </c>
      <c r="AK1494"/>
    </row>
    <row r="1495" spans="1:38" x14ac:dyDescent="0.25">
      <c r="A1495" t="s">
        <v>38</v>
      </c>
      <c r="B1495">
        <v>46070.241793981484</v>
      </c>
      <c r="C1495">
        <v>91392</v>
      </c>
      <c r="D1495" t="s">
        <v>866</v>
      </c>
      <c r="E1495">
        <v>4508314</v>
      </c>
      <c r="F1495">
        <v>2304758</v>
      </c>
      <c r="G1495" t="s">
        <v>402</v>
      </c>
      <c r="H1495" t="s">
        <v>1573</v>
      </c>
      <c r="I1495">
        <v>14</v>
      </c>
      <c r="J1495" t="b">
        <v>1</v>
      </c>
      <c r="K1495">
        <v>1.75</v>
      </c>
      <c r="L1495">
        <v>2304759</v>
      </c>
      <c r="M1495" t="s">
        <v>404</v>
      </c>
      <c r="N1495">
        <v>8</v>
      </c>
      <c r="O1495">
        <v>8</v>
      </c>
      <c r="P1495"/>
      <c r="Q1495">
        <v>155687</v>
      </c>
      <c r="R1495">
        <v>1</v>
      </c>
      <c r="S1495" t="s">
        <v>40</v>
      </c>
      <c r="T1495">
        <v>261</v>
      </c>
      <c r="U1495">
        <v>147664</v>
      </c>
      <c r="V1495">
        <v>48</v>
      </c>
      <c r="W1495" t="s">
        <v>40</v>
      </c>
      <c r="X1495">
        <v>261</v>
      </c>
      <c r="Y1495" t="s">
        <v>377</v>
      </c>
      <c r="Z1495" t="s">
        <v>378</v>
      </c>
      <c r="AA1495" t="s">
        <v>379</v>
      </c>
      <c r="AB1495" t="s">
        <v>384</v>
      </c>
      <c r="AC1495" t="s">
        <v>379</v>
      </c>
      <c r="AD1495" t="s">
        <v>384</v>
      </c>
      <c r="AE1495" t="s">
        <v>41</v>
      </c>
      <c r="AF1495" t="s">
        <v>41</v>
      </c>
      <c r="AI1495">
        <v>155687</v>
      </c>
      <c r="AJ1495">
        <v>1</v>
      </c>
      <c r="AK1495" t="s">
        <v>40</v>
      </c>
      <c r="AL1495">
        <v>261</v>
      </c>
    </row>
    <row r="1496" spans="1:38" x14ac:dyDescent="0.25">
      <c r="A1496" t="s">
        <v>43</v>
      </c>
      <c r="B1496">
        <v>46070.439340277779</v>
      </c>
      <c r="C1496">
        <v>91357</v>
      </c>
      <c r="D1496" t="s">
        <v>373</v>
      </c>
      <c r="E1496">
        <v>4512090</v>
      </c>
      <c r="F1496">
        <v>113677</v>
      </c>
      <c r="G1496" t="s">
        <v>687</v>
      </c>
      <c r="H1496" t="s">
        <v>1582</v>
      </c>
      <c r="I1496">
        <v>14</v>
      </c>
      <c r="J1496" t="b">
        <v>1</v>
      </c>
      <c r="K1496">
        <v>1.75</v>
      </c>
      <c r="L1496">
        <v>113679</v>
      </c>
      <c r="M1496" t="s">
        <v>689</v>
      </c>
      <c r="N1496">
        <v>8</v>
      </c>
      <c r="O1496">
        <v>8</v>
      </c>
      <c r="P1496"/>
      <c r="Q1496">
        <v>134905</v>
      </c>
      <c r="R1496">
        <v>1</v>
      </c>
      <c r="S1496" t="s">
        <v>40</v>
      </c>
      <c r="T1496">
        <v>261</v>
      </c>
      <c r="U1496">
        <v>147664</v>
      </c>
      <c r="V1496">
        <v>48</v>
      </c>
      <c r="W1496" t="s">
        <v>40</v>
      </c>
      <c r="X1496">
        <v>261</v>
      </c>
      <c r="Y1496" t="s">
        <v>377</v>
      </c>
      <c r="Z1496" t="s">
        <v>378</v>
      </c>
      <c r="AA1496" t="s">
        <v>384</v>
      </c>
      <c r="AB1496" t="s">
        <v>384</v>
      </c>
      <c r="AC1496" t="s">
        <v>41</v>
      </c>
      <c r="AD1496" t="s">
        <v>41</v>
      </c>
      <c r="AE1496" t="s">
        <v>41</v>
      </c>
      <c r="AF1496" t="s">
        <v>41</v>
      </c>
      <c r="AI1496">
        <v>134905</v>
      </c>
      <c r="AJ1496">
        <v>1</v>
      </c>
      <c r="AK1496" t="s">
        <v>40</v>
      </c>
      <c r="AL1496">
        <v>261</v>
      </c>
    </row>
    <row r="1497" spans="1:38" x14ac:dyDescent="0.25">
      <c r="A1497" t="s">
        <v>47</v>
      </c>
      <c r="B1497">
        <v>46070.538611111115</v>
      </c>
      <c r="C1497">
        <v>92678</v>
      </c>
      <c r="D1497" t="s">
        <v>373</v>
      </c>
      <c r="E1497">
        <v>4507360</v>
      </c>
      <c r="F1497">
        <v>2310135</v>
      </c>
      <c r="G1497" t="s">
        <v>1052</v>
      </c>
      <c r="H1497" t="s">
        <v>1594</v>
      </c>
      <c r="I1497">
        <v>64.3</v>
      </c>
      <c r="J1497" t="b">
        <v>1</v>
      </c>
      <c r="K1497">
        <v>0.15644768856447688</v>
      </c>
      <c r="L1497">
        <v>2310136</v>
      </c>
      <c r="M1497" t="s">
        <v>1053</v>
      </c>
      <c r="N1497">
        <v>411</v>
      </c>
      <c r="O1497">
        <v>401</v>
      </c>
      <c r="P1497"/>
      <c r="Q1497">
        <v>134974</v>
      </c>
      <c r="R1497">
        <v>1</v>
      </c>
      <c r="S1497" t="s">
        <v>40</v>
      </c>
      <c r="T1497">
        <v>261</v>
      </c>
      <c r="W1497"/>
      <c r="Y1497" t="s">
        <v>377</v>
      </c>
      <c r="Z1497" t="s">
        <v>378</v>
      </c>
      <c r="AA1497" t="s">
        <v>379</v>
      </c>
      <c r="AB1497" t="s">
        <v>1446</v>
      </c>
      <c r="AC1497" t="s">
        <v>41</v>
      </c>
      <c r="AD1497" t="s">
        <v>41</v>
      </c>
      <c r="AE1497" t="s">
        <v>41</v>
      </c>
      <c r="AF1497" t="s">
        <v>41</v>
      </c>
      <c r="AK1497"/>
    </row>
    <row r="1498" spans="1:38" x14ac:dyDescent="0.25">
      <c r="A1498" t="s">
        <v>37</v>
      </c>
      <c r="B1498">
        <v>46070.629745370374</v>
      </c>
      <c r="C1498">
        <v>89701</v>
      </c>
      <c r="D1498" t="s">
        <v>373</v>
      </c>
      <c r="E1498">
        <v>4507624</v>
      </c>
      <c r="F1498">
        <v>156695</v>
      </c>
      <c r="G1498" t="s">
        <v>1336</v>
      </c>
      <c r="H1498" t="s">
        <v>1562</v>
      </c>
      <c r="I1498">
        <v>10</v>
      </c>
      <c r="J1498" t="b">
        <v>1</v>
      </c>
      <c r="K1498">
        <v>1.25</v>
      </c>
      <c r="L1498">
        <v>156696</v>
      </c>
      <c r="M1498" t="s">
        <v>1337</v>
      </c>
      <c r="N1498">
        <v>8</v>
      </c>
      <c r="O1498">
        <v>8</v>
      </c>
      <c r="P1498"/>
      <c r="Q1498">
        <v>134906</v>
      </c>
      <c r="R1498">
        <v>1</v>
      </c>
      <c r="S1498" t="s">
        <v>40</v>
      </c>
      <c r="T1498">
        <v>261</v>
      </c>
      <c r="U1498">
        <v>147664</v>
      </c>
      <c r="V1498">
        <v>48</v>
      </c>
      <c r="W1498" t="s">
        <v>40</v>
      </c>
      <c r="X1498">
        <v>261</v>
      </c>
      <c r="Y1498" t="s">
        <v>377</v>
      </c>
      <c r="Z1498" t="s">
        <v>378</v>
      </c>
      <c r="AA1498" t="s">
        <v>384</v>
      </c>
      <c r="AB1498" t="s">
        <v>384</v>
      </c>
      <c r="AC1498" t="s">
        <v>41</v>
      </c>
      <c r="AD1498" t="s">
        <v>41</v>
      </c>
      <c r="AE1498" t="s">
        <v>41</v>
      </c>
      <c r="AF1498" t="s">
        <v>41</v>
      </c>
      <c r="AI1498">
        <v>134906</v>
      </c>
      <c r="AJ1498">
        <v>1</v>
      </c>
      <c r="AK1498" t="s">
        <v>40</v>
      </c>
      <c r="AL1498">
        <v>261</v>
      </c>
    </row>
    <row r="1499" spans="1:38" x14ac:dyDescent="0.25">
      <c r="A1499" t="s">
        <v>42</v>
      </c>
      <c r="B1499">
        <v>46071.092303240737</v>
      </c>
      <c r="C1499">
        <v>90278</v>
      </c>
      <c r="D1499" t="s">
        <v>531</v>
      </c>
      <c r="E1499">
        <v>4508484</v>
      </c>
      <c r="F1499">
        <v>2104655</v>
      </c>
      <c r="G1499" t="s">
        <v>1487</v>
      </c>
      <c r="H1499" t="s">
        <v>1581</v>
      </c>
      <c r="I1499">
        <v>4</v>
      </c>
      <c r="J1499" t="b">
        <v>1</v>
      </c>
      <c r="K1499">
        <v>1.2903225806451613E-2</v>
      </c>
      <c r="L1499">
        <v>2105992</v>
      </c>
      <c r="M1499" t="s">
        <v>1488</v>
      </c>
      <c r="N1499">
        <v>310</v>
      </c>
      <c r="O1499">
        <v>305</v>
      </c>
      <c r="P1499"/>
      <c r="Q1499">
        <v>134976</v>
      </c>
      <c r="R1499">
        <v>1</v>
      </c>
      <c r="S1499" t="s">
        <v>40</v>
      </c>
      <c r="T1499">
        <v>261</v>
      </c>
      <c r="W1499"/>
      <c r="Y1499" t="s">
        <v>377</v>
      </c>
      <c r="Z1499" t="s">
        <v>378</v>
      </c>
      <c r="AA1499" t="s">
        <v>379</v>
      </c>
      <c r="AB1499" t="s">
        <v>1498</v>
      </c>
      <c r="AC1499" t="s">
        <v>41</v>
      </c>
      <c r="AD1499" t="s">
        <v>41</v>
      </c>
      <c r="AE1499" t="s">
        <v>41</v>
      </c>
      <c r="AF1499" t="s">
        <v>41</v>
      </c>
      <c r="AK1499"/>
    </row>
    <row r="1500" spans="1:38" x14ac:dyDescent="0.25">
      <c r="A1500" t="s">
        <v>42</v>
      </c>
      <c r="B1500">
        <v>46071.207025462965</v>
      </c>
      <c r="C1500">
        <v>92686</v>
      </c>
      <c r="D1500" t="s">
        <v>531</v>
      </c>
      <c r="E1500">
        <v>4506907</v>
      </c>
      <c r="F1500">
        <v>2105702</v>
      </c>
      <c r="G1500" t="s">
        <v>970</v>
      </c>
      <c r="H1500" t="s">
        <v>1554</v>
      </c>
      <c r="I1500">
        <v>1.5</v>
      </c>
      <c r="J1500" t="b">
        <v>1</v>
      </c>
      <c r="K1500">
        <v>7.9365079365079361E-3</v>
      </c>
      <c r="L1500">
        <v>2106961</v>
      </c>
      <c r="M1500" t="s">
        <v>971</v>
      </c>
      <c r="N1500">
        <v>189</v>
      </c>
      <c r="O1500">
        <v>180</v>
      </c>
      <c r="P1500"/>
      <c r="Q1500">
        <v>134976</v>
      </c>
      <c r="R1500">
        <v>2</v>
      </c>
      <c r="S1500" t="s">
        <v>40</v>
      </c>
      <c r="T1500">
        <v>261</v>
      </c>
      <c r="W1500"/>
      <c r="Y1500" t="s">
        <v>377</v>
      </c>
      <c r="Z1500" t="s">
        <v>378</v>
      </c>
      <c r="AA1500" t="s">
        <v>379</v>
      </c>
      <c r="AB1500" t="s">
        <v>761</v>
      </c>
      <c r="AC1500" t="s">
        <v>379</v>
      </c>
      <c r="AD1500" t="s">
        <v>1502</v>
      </c>
      <c r="AE1500" t="s">
        <v>41</v>
      </c>
      <c r="AF1500" t="s">
        <v>41</v>
      </c>
      <c r="AK1500"/>
    </row>
    <row r="1501" spans="1:38" x14ac:dyDescent="0.25">
      <c r="A1501" t="s">
        <v>45</v>
      </c>
      <c r="B1501">
        <v>46071.430601851855</v>
      </c>
      <c r="C1501">
        <v>92665</v>
      </c>
      <c r="D1501" t="s">
        <v>1530</v>
      </c>
      <c r="E1501">
        <v>4508900</v>
      </c>
      <c r="F1501">
        <v>154143</v>
      </c>
      <c r="G1501" t="s">
        <v>1482</v>
      </c>
      <c r="H1501" t="s">
        <v>1464</v>
      </c>
      <c r="I1501">
        <v>31.5</v>
      </c>
      <c r="J1501" t="b">
        <v>1</v>
      </c>
      <c r="K1501">
        <v>0.29439252336448596</v>
      </c>
      <c r="L1501">
        <v>154145</v>
      </c>
      <c r="M1501" t="s">
        <v>1483</v>
      </c>
      <c r="N1501">
        <v>107</v>
      </c>
      <c r="O1501">
        <v>163</v>
      </c>
      <c r="P1501"/>
      <c r="Q1501">
        <v>0</v>
      </c>
      <c r="R1501">
        <v>0</v>
      </c>
      <c r="S1501" t="s">
        <v>40</v>
      </c>
      <c r="T1501">
        <v>261</v>
      </c>
      <c r="W1501"/>
      <c r="Y1501" t="s">
        <v>679</v>
      </c>
      <c r="Z1501" t="s">
        <v>378</v>
      </c>
      <c r="AA1501" t="s">
        <v>379</v>
      </c>
      <c r="AB1501" t="s">
        <v>450</v>
      </c>
      <c r="AC1501" t="s">
        <v>41</v>
      </c>
      <c r="AD1501" t="s">
        <v>41</v>
      </c>
      <c r="AE1501" t="s">
        <v>41</v>
      </c>
      <c r="AF1501" t="s">
        <v>41</v>
      </c>
      <c r="AK1501"/>
    </row>
    <row r="1502" spans="1:38" x14ac:dyDescent="0.25">
      <c r="A1502" t="s">
        <v>44</v>
      </c>
      <c r="B1502">
        <v>46071.539409722223</v>
      </c>
      <c r="C1502">
        <v>91394</v>
      </c>
      <c r="D1502" t="s">
        <v>1530</v>
      </c>
      <c r="E1502">
        <v>4512095</v>
      </c>
      <c r="F1502">
        <v>160991</v>
      </c>
      <c r="G1502" t="s">
        <v>1507</v>
      </c>
      <c r="H1502" t="s">
        <v>1578</v>
      </c>
      <c r="I1502">
        <v>14</v>
      </c>
      <c r="J1502" t="b">
        <v>1</v>
      </c>
      <c r="K1502">
        <v>1.75</v>
      </c>
      <c r="L1502">
        <v>160988</v>
      </c>
      <c r="M1502" t="s">
        <v>1508</v>
      </c>
      <c r="N1502">
        <v>8</v>
      </c>
      <c r="O1502">
        <v>8</v>
      </c>
      <c r="P1502"/>
      <c r="Q1502">
        <v>134905</v>
      </c>
      <c r="R1502">
        <v>1</v>
      </c>
      <c r="S1502" t="s">
        <v>40</v>
      </c>
      <c r="T1502">
        <v>261</v>
      </c>
      <c r="U1502">
        <v>147664</v>
      </c>
      <c r="V1502">
        <v>48</v>
      </c>
      <c r="W1502" t="s">
        <v>40</v>
      </c>
      <c r="X1502">
        <v>261</v>
      </c>
      <c r="Y1502" t="s">
        <v>377</v>
      </c>
      <c r="Z1502" t="s">
        <v>378</v>
      </c>
      <c r="AA1502" t="s">
        <v>384</v>
      </c>
      <c r="AB1502" t="s">
        <v>384</v>
      </c>
      <c r="AC1502" t="s">
        <v>41</v>
      </c>
      <c r="AD1502" t="s">
        <v>41</v>
      </c>
      <c r="AE1502" t="s">
        <v>41</v>
      </c>
      <c r="AF1502" t="s">
        <v>41</v>
      </c>
      <c r="AI1502">
        <v>134905</v>
      </c>
      <c r="AJ1502">
        <v>1</v>
      </c>
      <c r="AK1502" t="s">
        <v>40</v>
      </c>
      <c r="AL1502">
        <v>261</v>
      </c>
    </row>
    <row r="1503" spans="1:38" x14ac:dyDescent="0.25">
      <c r="A1503" t="s">
        <v>43</v>
      </c>
      <c r="B1503">
        <v>46071.70753472222</v>
      </c>
      <c r="C1503">
        <v>91358</v>
      </c>
      <c r="D1503" t="s">
        <v>1530</v>
      </c>
      <c r="E1503">
        <v>4512091</v>
      </c>
      <c r="F1503">
        <v>113677</v>
      </c>
      <c r="G1503" t="s">
        <v>687</v>
      </c>
      <c r="H1503" t="s">
        <v>1564</v>
      </c>
      <c r="I1503">
        <v>14</v>
      </c>
      <c r="J1503" t="b">
        <v>1</v>
      </c>
      <c r="K1503">
        <v>1.75</v>
      </c>
      <c r="L1503">
        <v>113679</v>
      </c>
      <c r="M1503" t="s">
        <v>689</v>
      </c>
      <c r="N1503">
        <v>8</v>
      </c>
      <c r="O1503">
        <v>8</v>
      </c>
      <c r="P1503"/>
      <c r="Q1503">
        <v>134905</v>
      </c>
      <c r="R1503">
        <v>1</v>
      </c>
      <c r="S1503" t="s">
        <v>40</v>
      </c>
      <c r="T1503">
        <v>261</v>
      </c>
      <c r="U1503">
        <v>147664</v>
      </c>
      <c r="V1503">
        <v>48</v>
      </c>
      <c r="W1503" t="s">
        <v>40</v>
      </c>
      <c r="X1503">
        <v>261</v>
      </c>
      <c r="Y1503" t="s">
        <v>377</v>
      </c>
      <c r="Z1503" t="s">
        <v>378</v>
      </c>
      <c r="AA1503" t="s">
        <v>384</v>
      </c>
      <c r="AB1503" t="s">
        <v>384</v>
      </c>
      <c r="AC1503" t="s">
        <v>41</v>
      </c>
      <c r="AD1503" t="s">
        <v>41</v>
      </c>
      <c r="AE1503" t="s">
        <v>41</v>
      </c>
      <c r="AF1503" t="s">
        <v>41</v>
      </c>
      <c r="AI1503">
        <v>134905</v>
      </c>
      <c r="AJ1503">
        <v>1</v>
      </c>
      <c r="AK1503" t="s">
        <v>40</v>
      </c>
      <c r="AL1503">
        <v>261</v>
      </c>
    </row>
    <row r="1504" spans="1:38" x14ac:dyDescent="0.25">
      <c r="A1504" t="s">
        <v>38</v>
      </c>
      <c r="B1504">
        <v>46071.992997685185</v>
      </c>
      <c r="C1504">
        <v>91395</v>
      </c>
      <c r="D1504" t="s">
        <v>843</v>
      </c>
      <c r="E1504">
        <v>4508315</v>
      </c>
      <c r="F1504">
        <v>2304758</v>
      </c>
      <c r="G1504" t="s">
        <v>402</v>
      </c>
      <c r="H1504" t="s">
        <v>1581</v>
      </c>
      <c r="I1504">
        <v>14</v>
      </c>
      <c r="J1504" t="b">
        <v>1</v>
      </c>
      <c r="K1504">
        <v>1.75</v>
      </c>
      <c r="L1504">
        <v>2304759</v>
      </c>
      <c r="M1504" t="s">
        <v>404</v>
      </c>
      <c r="N1504">
        <v>8</v>
      </c>
      <c r="O1504">
        <v>4</v>
      </c>
      <c r="P1504"/>
      <c r="Q1504">
        <v>155687</v>
      </c>
      <c r="R1504">
        <v>1</v>
      </c>
      <c r="S1504" t="s">
        <v>40</v>
      </c>
      <c r="T1504">
        <v>261</v>
      </c>
      <c r="U1504">
        <v>147664</v>
      </c>
      <c r="V1504">
        <v>24</v>
      </c>
      <c r="W1504" t="s">
        <v>40</v>
      </c>
      <c r="X1504">
        <v>261</v>
      </c>
      <c r="Y1504" t="s">
        <v>377</v>
      </c>
      <c r="Z1504" t="s">
        <v>378</v>
      </c>
      <c r="AA1504" t="s">
        <v>384</v>
      </c>
      <c r="AB1504" t="s">
        <v>384</v>
      </c>
      <c r="AC1504" t="s">
        <v>41</v>
      </c>
      <c r="AD1504" t="s">
        <v>41</v>
      </c>
      <c r="AE1504" t="s">
        <v>41</v>
      </c>
      <c r="AF1504" t="s">
        <v>41</v>
      </c>
      <c r="AK1504"/>
    </row>
    <row r="1505" spans="1:38" x14ac:dyDescent="0.25">
      <c r="A1505" t="s">
        <v>39</v>
      </c>
      <c r="B1505">
        <v>46072.070787037039</v>
      </c>
      <c r="C1505">
        <v>92696</v>
      </c>
      <c r="D1505" t="s">
        <v>843</v>
      </c>
      <c r="E1505">
        <v>4507361</v>
      </c>
      <c r="F1505">
        <v>2310135</v>
      </c>
      <c r="G1505" t="s">
        <v>1052</v>
      </c>
      <c r="H1505" t="s">
        <v>1595</v>
      </c>
      <c r="I1505">
        <v>64.3</v>
      </c>
      <c r="J1505" t="b">
        <v>1</v>
      </c>
      <c r="K1505">
        <v>0.16075</v>
      </c>
      <c r="L1505">
        <v>2310136</v>
      </c>
      <c r="M1505" t="s">
        <v>1053</v>
      </c>
      <c r="N1505">
        <v>400</v>
      </c>
      <c r="O1505">
        <v>400</v>
      </c>
      <c r="P1505"/>
      <c r="Q1505">
        <v>134974</v>
      </c>
      <c r="R1505">
        <v>1</v>
      </c>
      <c r="S1505" t="s">
        <v>40</v>
      </c>
      <c r="T1505">
        <v>261</v>
      </c>
      <c r="W1505"/>
      <c r="Y1505" t="s">
        <v>377</v>
      </c>
      <c r="Z1505" t="s">
        <v>378</v>
      </c>
      <c r="AA1505" t="s">
        <v>379</v>
      </c>
      <c r="AB1505" t="s">
        <v>1079</v>
      </c>
      <c r="AC1505" t="s">
        <v>41</v>
      </c>
      <c r="AD1505" t="s">
        <v>41</v>
      </c>
      <c r="AE1505" t="s">
        <v>41</v>
      </c>
      <c r="AF1505" t="s">
        <v>41</v>
      </c>
      <c r="AK1505"/>
    </row>
    <row r="1506" spans="1:38" x14ac:dyDescent="0.25">
      <c r="A1506" t="s">
        <v>42</v>
      </c>
      <c r="B1506">
        <v>46072.13318287037</v>
      </c>
      <c r="C1506">
        <v>90279</v>
      </c>
      <c r="D1506" t="s">
        <v>843</v>
      </c>
      <c r="E1506">
        <v>4508893</v>
      </c>
      <c r="F1506">
        <v>2104653</v>
      </c>
      <c r="G1506" t="s">
        <v>1596</v>
      </c>
      <c r="H1506" t="s">
        <v>1554</v>
      </c>
      <c r="I1506">
        <v>3</v>
      </c>
      <c r="J1506" t="b">
        <v>1</v>
      </c>
      <c r="K1506">
        <v>9.4936708860759497E-3</v>
      </c>
      <c r="L1506">
        <v>2105990</v>
      </c>
      <c r="M1506" t="s">
        <v>1597</v>
      </c>
      <c r="N1506">
        <v>316</v>
      </c>
      <c r="O1506">
        <v>316</v>
      </c>
      <c r="P1506"/>
      <c r="Q1506">
        <v>134976</v>
      </c>
      <c r="R1506">
        <v>1</v>
      </c>
      <c r="S1506" t="s">
        <v>40</v>
      </c>
      <c r="T1506">
        <v>261</v>
      </c>
      <c r="W1506"/>
      <c r="Y1506" t="s">
        <v>377</v>
      </c>
      <c r="Z1506" t="s">
        <v>378</v>
      </c>
      <c r="AA1506" t="s">
        <v>379</v>
      </c>
      <c r="AB1506" t="s">
        <v>1598</v>
      </c>
      <c r="AC1506" t="s">
        <v>41</v>
      </c>
      <c r="AD1506" t="s">
        <v>41</v>
      </c>
      <c r="AE1506" t="s">
        <v>41</v>
      </c>
      <c r="AF1506" t="s">
        <v>41</v>
      </c>
      <c r="AK1506"/>
    </row>
    <row r="1507" spans="1:38" x14ac:dyDescent="0.25">
      <c r="A1507" t="s">
        <v>45</v>
      </c>
      <c r="B1507">
        <v>46072.190092592595</v>
      </c>
      <c r="C1507">
        <v>92687</v>
      </c>
      <c r="D1507" t="s">
        <v>843</v>
      </c>
      <c r="E1507">
        <v>4507988</v>
      </c>
      <c r="F1507">
        <v>159700</v>
      </c>
      <c r="G1507" t="s">
        <v>581</v>
      </c>
      <c r="H1507" t="s">
        <v>1554</v>
      </c>
      <c r="I1507">
        <v>10</v>
      </c>
      <c r="J1507" t="b">
        <v>1</v>
      </c>
      <c r="K1507">
        <v>8.6956521739130432E-2</v>
      </c>
      <c r="L1507">
        <v>159703</v>
      </c>
      <c r="M1507" t="s">
        <v>583</v>
      </c>
      <c r="N1507">
        <v>115</v>
      </c>
      <c r="O1507">
        <v>115</v>
      </c>
      <c r="P1507"/>
      <c r="Q1507">
        <v>134978</v>
      </c>
      <c r="R1507">
        <v>1</v>
      </c>
      <c r="S1507" t="s">
        <v>40</v>
      </c>
      <c r="T1507">
        <v>261</v>
      </c>
      <c r="W1507"/>
      <c r="Y1507" t="s">
        <v>377</v>
      </c>
      <c r="Z1507" t="s">
        <v>378</v>
      </c>
      <c r="AA1507" t="s">
        <v>379</v>
      </c>
      <c r="AB1507" t="s">
        <v>542</v>
      </c>
      <c r="AC1507" t="s">
        <v>41</v>
      </c>
      <c r="AD1507" t="s">
        <v>41</v>
      </c>
      <c r="AE1507" t="s">
        <v>41</v>
      </c>
      <c r="AF1507" t="s">
        <v>41</v>
      </c>
      <c r="AK1507"/>
    </row>
    <row r="1508" spans="1:38" x14ac:dyDescent="0.25">
      <c r="A1508" t="s">
        <v>37</v>
      </c>
      <c r="B1508">
        <v>46072.432071759256</v>
      </c>
      <c r="C1508">
        <v>92114</v>
      </c>
      <c r="D1508" t="s">
        <v>393</v>
      </c>
      <c r="E1508">
        <v>4508900</v>
      </c>
      <c r="F1508">
        <v>154143</v>
      </c>
      <c r="G1508" t="s">
        <v>1482</v>
      </c>
      <c r="H1508" t="s">
        <v>1599</v>
      </c>
      <c r="I1508">
        <v>31.5</v>
      </c>
      <c r="J1508" t="b">
        <v>1</v>
      </c>
      <c r="K1508">
        <v>0.51639344262295084</v>
      </c>
      <c r="L1508">
        <v>154145</v>
      </c>
      <c r="M1508" t="s">
        <v>1483</v>
      </c>
      <c r="N1508">
        <v>61</v>
      </c>
      <c r="O1508">
        <v>61</v>
      </c>
      <c r="P1508"/>
      <c r="Q1508">
        <v>0</v>
      </c>
      <c r="R1508">
        <v>0</v>
      </c>
      <c r="S1508" t="s">
        <v>40</v>
      </c>
      <c r="T1508">
        <v>261</v>
      </c>
      <c r="W1508"/>
      <c r="Y1508" t="s">
        <v>679</v>
      </c>
      <c r="Z1508" t="s">
        <v>378</v>
      </c>
      <c r="AA1508" t="s">
        <v>379</v>
      </c>
      <c r="AB1508" t="s">
        <v>500</v>
      </c>
      <c r="AC1508" t="s">
        <v>41</v>
      </c>
      <c r="AD1508" t="s">
        <v>41</v>
      </c>
      <c r="AE1508" t="s">
        <v>41</v>
      </c>
      <c r="AF1508" t="s">
        <v>41</v>
      </c>
      <c r="AK1508"/>
    </row>
    <row r="1509" spans="1:38" x14ac:dyDescent="0.25">
      <c r="A1509" t="s">
        <v>42</v>
      </c>
      <c r="B1509">
        <v>46072.465810185182</v>
      </c>
      <c r="C1509">
        <v>92688</v>
      </c>
      <c r="D1509" t="s">
        <v>393</v>
      </c>
      <c r="E1509">
        <v>4511022</v>
      </c>
      <c r="F1509">
        <v>2115598</v>
      </c>
      <c r="G1509" t="s">
        <v>1600</v>
      </c>
      <c r="H1509" t="s">
        <v>1554</v>
      </c>
      <c r="I1509">
        <v>3</v>
      </c>
      <c r="J1509" t="b">
        <v>1</v>
      </c>
      <c r="K1509">
        <v>1.6666666666666666E-2</v>
      </c>
      <c r="L1509">
        <v>2116752</v>
      </c>
      <c r="M1509" t="s">
        <v>1601</v>
      </c>
      <c r="N1509">
        <v>180</v>
      </c>
      <c r="O1509">
        <v>173</v>
      </c>
      <c r="P1509"/>
      <c r="Q1509">
        <v>134974</v>
      </c>
      <c r="R1509">
        <v>1</v>
      </c>
      <c r="S1509" t="s">
        <v>40</v>
      </c>
      <c r="T1509">
        <v>261</v>
      </c>
      <c r="W1509"/>
      <c r="Y1509" t="s">
        <v>377</v>
      </c>
      <c r="Z1509" t="s">
        <v>378</v>
      </c>
      <c r="AA1509" t="s">
        <v>379</v>
      </c>
      <c r="AB1509" t="s">
        <v>839</v>
      </c>
      <c r="AC1509" t="s">
        <v>41</v>
      </c>
      <c r="AD1509" t="s">
        <v>41</v>
      </c>
      <c r="AE1509" t="s">
        <v>41</v>
      </c>
      <c r="AF1509" t="s">
        <v>41</v>
      </c>
      <c r="AK1509"/>
    </row>
    <row r="1510" spans="1:38" x14ac:dyDescent="0.25">
      <c r="A1510" t="s">
        <v>37</v>
      </c>
      <c r="B1510">
        <v>46072.584722222222</v>
      </c>
      <c r="C1510">
        <v>92689</v>
      </c>
      <c r="D1510" t="s">
        <v>393</v>
      </c>
      <c r="E1510">
        <v>4508501</v>
      </c>
      <c r="F1510">
        <v>2116538</v>
      </c>
      <c r="G1510" t="s">
        <v>929</v>
      </c>
      <c r="H1510" t="s">
        <v>1554</v>
      </c>
      <c r="I1510">
        <v>3</v>
      </c>
      <c r="J1510" t="b">
        <v>1</v>
      </c>
      <c r="K1510">
        <v>1.5544041450777202E-2</v>
      </c>
      <c r="L1510">
        <v>2117690</v>
      </c>
      <c r="M1510" t="s">
        <v>931</v>
      </c>
      <c r="N1510">
        <v>193</v>
      </c>
      <c r="O1510">
        <v>180</v>
      </c>
      <c r="P1510"/>
      <c r="Q1510">
        <v>134974</v>
      </c>
      <c r="R1510">
        <v>1</v>
      </c>
      <c r="S1510" t="s">
        <v>40</v>
      </c>
      <c r="T1510">
        <v>261</v>
      </c>
      <c r="W1510"/>
      <c r="Y1510" t="s">
        <v>377</v>
      </c>
      <c r="Z1510" t="s">
        <v>378</v>
      </c>
      <c r="AA1510" t="s">
        <v>379</v>
      </c>
      <c r="AB1510" t="s">
        <v>1133</v>
      </c>
      <c r="AC1510" t="s">
        <v>41</v>
      </c>
      <c r="AD1510" t="s">
        <v>41</v>
      </c>
      <c r="AE1510" t="s">
        <v>41</v>
      </c>
      <c r="AF1510" t="s">
        <v>41</v>
      </c>
      <c r="AK1510"/>
    </row>
    <row r="1511" spans="1:38" x14ac:dyDescent="0.25">
      <c r="A1511" t="s">
        <v>43</v>
      </c>
      <c r="B1511">
        <v>46072.636759259258</v>
      </c>
      <c r="C1511">
        <v>89703</v>
      </c>
      <c r="D1511" t="s">
        <v>393</v>
      </c>
      <c r="E1511">
        <v>4511650</v>
      </c>
      <c r="F1511">
        <v>2104881</v>
      </c>
      <c r="G1511" t="s">
        <v>600</v>
      </c>
      <c r="H1511" t="s">
        <v>1573</v>
      </c>
      <c r="I1511">
        <v>10</v>
      </c>
      <c r="J1511" t="b">
        <v>1</v>
      </c>
      <c r="K1511">
        <v>2.5</v>
      </c>
      <c r="L1511">
        <v>2106201</v>
      </c>
      <c r="M1511" t="s">
        <v>602</v>
      </c>
      <c r="N1511">
        <v>4</v>
      </c>
      <c r="O1511">
        <v>4</v>
      </c>
      <c r="P1511"/>
      <c r="Q1511">
        <v>134905</v>
      </c>
      <c r="R1511">
        <v>1</v>
      </c>
      <c r="S1511" t="s">
        <v>40</v>
      </c>
      <c r="T1511">
        <v>261</v>
      </c>
      <c r="U1511">
        <v>147664</v>
      </c>
      <c r="V1511">
        <v>24</v>
      </c>
      <c r="W1511" t="s">
        <v>40</v>
      </c>
      <c r="X1511">
        <v>261</v>
      </c>
      <c r="Y1511" t="s">
        <v>377</v>
      </c>
      <c r="Z1511" t="s">
        <v>378</v>
      </c>
      <c r="AA1511" t="s">
        <v>379</v>
      </c>
      <c r="AB1511" t="s">
        <v>384</v>
      </c>
      <c r="AC1511" t="s">
        <v>41</v>
      </c>
      <c r="AD1511" t="s">
        <v>41</v>
      </c>
      <c r="AE1511" t="s">
        <v>41</v>
      </c>
      <c r="AF1511" t="s">
        <v>41</v>
      </c>
      <c r="AK1511"/>
    </row>
    <row r="1512" spans="1:38" x14ac:dyDescent="0.25">
      <c r="A1512" t="s">
        <v>43</v>
      </c>
      <c r="B1512">
        <v>46072.638344907406</v>
      </c>
      <c r="C1512">
        <v>89703</v>
      </c>
      <c r="D1512" t="s">
        <v>393</v>
      </c>
      <c r="E1512">
        <v>4511651</v>
      </c>
      <c r="F1512">
        <v>2104881</v>
      </c>
      <c r="G1512" t="s">
        <v>600</v>
      </c>
      <c r="H1512" t="s">
        <v>1573</v>
      </c>
      <c r="I1512">
        <v>10</v>
      </c>
      <c r="J1512" t="b">
        <v>1</v>
      </c>
      <c r="K1512">
        <v>2</v>
      </c>
      <c r="L1512">
        <v>2106201</v>
      </c>
      <c r="M1512" t="s">
        <v>602</v>
      </c>
      <c r="N1512">
        <v>5</v>
      </c>
      <c r="O1512">
        <v>5</v>
      </c>
      <c r="P1512"/>
      <c r="Q1512">
        <v>134905</v>
      </c>
      <c r="R1512">
        <v>1</v>
      </c>
      <c r="S1512" t="s">
        <v>40</v>
      </c>
      <c r="T1512">
        <v>261</v>
      </c>
      <c r="U1512">
        <v>147664</v>
      </c>
      <c r="V1512">
        <v>24</v>
      </c>
      <c r="W1512" t="s">
        <v>40</v>
      </c>
      <c r="X1512">
        <v>261</v>
      </c>
      <c r="Y1512" t="s">
        <v>377</v>
      </c>
      <c r="Z1512" t="s">
        <v>378</v>
      </c>
      <c r="AA1512" t="s">
        <v>379</v>
      </c>
      <c r="AB1512" t="s">
        <v>559</v>
      </c>
      <c r="AC1512" t="s">
        <v>41</v>
      </c>
      <c r="AD1512" t="s">
        <v>41</v>
      </c>
      <c r="AE1512" t="s">
        <v>41</v>
      </c>
      <c r="AF1512" t="s">
        <v>41</v>
      </c>
      <c r="AK1512"/>
    </row>
    <row r="1513" spans="1:38" x14ac:dyDescent="0.25">
      <c r="A1513" t="s">
        <v>38</v>
      </c>
      <c r="B1513">
        <v>46072.956782407404</v>
      </c>
      <c r="C1513">
        <v>91359</v>
      </c>
      <c r="D1513" t="s">
        <v>682</v>
      </c>
      <c r="E1513">
        <v>4512092</v>
      </c>
      <c r="F1513">
        <v>113677</v>
      </c>
      <c r="G1513" t="s">
        <v>687</v>
      </c>
      <c r="H1513" t="s">
        <v>1562</v>
      </c>
      <c r="I1513">
        <v>7</v>
      </c>
      <c r="J1513" t="b">
        <v>1</v>
      </c>
      <c r="K1513">
        <v>0.875</v>
      </c>
      <c r="L1513">
        <v>113679</v>
      </c>
      <c r="M1513" t="s">
        <v>689</v>
      </c>
      <c r="N1513">
        <v>8</v>
      </c>
      <c r="O1513">
        <v>8</v>
      </c>
      <c r="P1513"/>
      <c r="Q1513">
        <v>134905</v>
      </c>
      <c r="R1513">
        <v>1</v>
      </c>
      <c r="S1513" t="s">
        <v>40</v>
      </c>
      <c r="T1513">
        <v>261</v>
      </c>
      <c r="U1513">
        <v>147664</v>
      </c>
      <c r="V1513">
        <v>48</v>
      </c>
      <c r="W1513" t="s">
        <v>40</v>
      </c>
      <c r="X1513">
        <v>261</v>
      </c>
      <c r="Y1513" t="s">
        <v>377</v>
      </c>
      <c r="Z1513" t="s">
        <v>378</v>
      </c>
      <c r="AA1513" t="s">
        <v>379</v>
      </c>
      <c r="AB1513" t="s">
        <v>384</v>
      </c>
      <c r="AC1513" t="s">
        <v>379</v>
      </c>
      <c r="AD1513" t="s">
        <v>384</v>
      </c>
      <c r="AE1513" t="s">
        <v>41</v>
      </c>
      <c r="AF1513" t="s">
        <v>41</v>
      </c>
      <c r="AI1513">
        <v>134905</v>
      </c>
      <c r="AJ1513">
        <v>1</v>
      </c>
      <c r="AK1513" t="s">
        <v>40</v>
      </c>
      <c r="AL1513">
        <v>261</v>
      </c>
    </row>
    <row r="1514" spans="1:38" x14ac:dyDescent="0.25">
      <c r="A1514" t="s">
        <v>37</v>
      </c>
      <c r="B1514">
        <v>46073.466481481482</v>
      </c>
      <c r="C1514">
        <v>92690</v>
      </c>
      <c r="D1514" t="s">
        <v>373</v>
      </c>
      <c r="E1514">
        <v>4493982</v>
      </c>
      <c r="F1514">
        <v>2310138</v>
      </c>
      <c r="G1514" t="s">
        <v>1602</v>
      </c>
      <c r="H1514" t="s">
        <v>1554</v>
      </c>
      <c r="I1514">
        <v>3</v>
      </c>
      <c r="J1514" t="b">
        <v>1</v>
      </c>
      <c r="K1514">
        <v>1.4423076923076924E-2</v>
      </c>
      <c r="L1514">
        <v>2310139</v>
      </c>
      <c r="M1514" t="s">
        <v>1603</v>
      </c>
      <c r="N1514">
        <v>208</v>
      </c>
      <c r="O1514">
        <v>186</v>
      </c>
      <c r="P1514"/>
      <c r="Q1514">
        <v>134971</v>
      </c>
      <c r="R1514">
        <v>1</v>
      </c>
      <c r="S1514" t="s">
        <v>40</v>
      </c>
      <c r="T1514">
        <v>261</v>
      </c>
      <c r="U1514">
        <v>147664</v>
      </c>
      <c r="V1514">
        <v>24</v>
      </c>
      <c r="W1514" t="s">
        <v>40</v>
      </c>
      <c r="X1514">
        <v>261</v>
      </c>
      <c r="Y1514" t="s">
        <v>377</v>
      </c>
      <c r="Z1514" t="s">
        <v>378</v>
      </c>
      <c r="AA1514" t="s">
        <v>379</v>
      </c>
      <c r="AB1514" t="s">
        <v>698</v>
      </c>
      <c r="AC1514" t="s">
        <v>41</v>
      </c>
      <c r="AD1514" t="s">
        <v>41</v>
      </c>
      <c r="AE1514" t="s">
        <v>41</v>
      </c>
      <c r="AF1514" t="s">
        <v>41</v>
      </c>
      <c r="AK1514"/>
    </row>
    <row r="1515" spans="1:38" x14ac:dyDescent="0.25">
      <c r="A1515" t="s">
        <v>44</v>
      </c>
      <c r="B1515">
        <v>46073.575358796297</v>
      </c>
      <c r="C1515">
        <v>91361</v>
      </c>
      <c r="D1515" t="s">
        <v>373</v>
      </c>
      <c r="E1515">
        <v>4512095</v>
      </c>
      <c r="F1515">
        <v>160991</v>
      </c>
      <c r="G1515" t="s">
        <v>1507</v>
      </c>
      <c r="H1515" t="s">
        <v>1568</v>
      </c>
      <c r="I1515">
        <v>14</v>
      </c>
      <c r="J1515" t="b">
        <v>1</v>
      </c>
      <c r="K1515">
        <v>1.75</v>
      </c>
      <c r="L1515">
        <v>160988</v>
      </c>
      <c r="M1515" t="s">
        <v>1508</v>
      </c>
      <c r="N1515">
        <v>8</v>
      </c>
      <c r="O1515">
        <v>8</v>
      </c>
      <c r="P1515"/>
      <c r="Q1515">
        <v>155687</v>
      </c>
      <c r="R1515">
        <v>1</v>
      </c>
      <c r="S1515" t="s">
        <v>40</v>
      </c>
      <c r="T1515">
        <v>261</v>
      </c>
      <c r="U1515">
        <v>147664</v>
      </c>
      <c r="V1515">
        <v>48</v>
      </c>
      <c r="W1515" t="s">
        <v>40</v>
      </c>
      <c r="X1515">
        <v>261</v>
      </c>
      <c r="Y1515" t="s">
        <v>377</v>
      </c>
      <c r="Z1515" t="s">
        <v>378</v>
      </c>
      <c r="AA1515" t="s">
        <v>384</v>
      </c>
      <c r="AB1515" t="s">
        <v>384</v>
      </c>
      <c r="AC1515" t="s">
        <v>41</v>
      </c>
      <c r="AD1515" t="s">
        <v>41</v>
      </c>
      <c r="AE1515" t="s">
        <v>41</v>
      </c>
      <c r="AF1515" t="s">
        <v>41</v>
      </c>
      <c r="AI1515">
        <v>155687</v>
      </c>
      <c r="AJ1515">
        <v>1</v>
      </c>
      <c r="AK1515" t="s">
        <v>40</v>
      </c>
      <c r="AL1515">
        <v>261</v>
      </c>
    </row>
    <row r="1516" spans="1:38" x14ac:dyDescent="0.25">
      <c r="A1516" t="s">
        <v>39</v>
      </c>
      <c r="B1516">
        <v>46073.59542824074</v>
      </c>
      <c r="C1516">
        <v>90280</v>
      </c>
      <c r="D1516" t="s">
        <v>373</v>
      </c>
      <c r="E1516">
        <v>4508895</v>
      </c>
      <c r="F1516">
        <v>2104653</v>
      </c>
      <c r="G1516" t="s">
        <v>1596</v>
      </c>
      <c r="H1516" t="s">
        <v>1579</v>
      </c>
      <c r="I1516">
        <v>3</v>
      </c>
      <c r="J1516" t="b">
        <v>1</v>
      </c>
      <c r="K1516">
        <v>1.5306122448979591E-2</v>
      </c>
      <c r="L1516">
        <v>2105990</v>
      </c>
      <c r="M1516" t="s">
        <v>1597</v>
      </c>
      <c r="N1516">
        <v>196</v>
      </c>
      <c r="O1516">
        <v>193</v>
      </c>
      <c r="P1516"/>
      <c r="Q1516">
        <v>134976</v>
      </c>
      <c r="R1516">
        <v>1</v>
      </c>
      <c r="S1516" t="s">
        <v>40</v>
      </c>
      <c r="T1516">
        <v>261</v>
      </c>
      <c r="W1516"/>
      <c r="Y1516" t="s">
        <v>377</v>
      </c>
      <c r="Z1516" t="s">
        <v>378</v>
      </c>
      <c r="AA1516" t="s">
        <v>379</v>
      </c>
      <c r="AB1516" t="s">
        <v>860</v>
      </c>
      <c r="AC1516" t="s">
        <v>41</v>
      </c>
      <c r="AD1516" t="s">
        <v>41</v>
      </c>
      <c r="AE1516" t="s">
        <v>41</v>
      </c>
      <c r="AF1516" t="s">
        <v>41</v>
      </c>
      <c r="AK1516"/>
    </row>
    <row r="1517" spans="1:38" x14ac:dyDescent="0.25">
      <c r="A1517" t="s">
        <v>47</v>
      </c>
      <c r="B1517">
        <v>46073.614224537036</v>
      </c>
      <c r="C1517">
        <v>92698</v>
      </c>
      <c r="D1517" t="s">
        <v>373</v>
      </c>
      <c r="E1517">
        <v>4507362</v>
      </c>
      <c r="F1517">
        <v>2310135</v>
      </c>
      <c r="G1517" t="s">
        <v>1052</v>
      </c>
      <c r="H1517" t="s">
        <v>1604</v>
      </c>
      <c r="I1517">
        <v>64.3</v>
      </c>
      <c r="J1517" t="b">
        <v>1</v>
      </c>
      <c r="K1517">
        <v>0.15798525798525798</v>
      </c>
      <c r="L1517">
        <v>2310136</v>
      </c>
      <c r="M1517" t="s">
        <v>1053</v>
      </c>
      <c r="N1517">
        <v>407</v>
      </c>
      <c r="O1517">
        <v>405</v>
      </c>
      <c r="P1517"/>
      <c r="Q1517">
        <v>134974</v>
      </c>
      <c r="R1517">
        <v>1</v>
      </c>
      <c r="S1517" t="s">
        <v>40</v>
      </c>
      <c r="T1517">
        <v>261</v>
      </c>
      <c r="W1517"/>
      <c r="Y1517" t="s">
        <v>377</v>
      </c>
      <c r="Z1517" t="s">
        <v>378</v>
      </c>
      <c r="AA1517" t="s">
        <v>379</v>
      </c>
      <c r="AB1517" t="s">
        <v>1157</v>
      </c>
      <c r="AC1517" t="s">
        <v>41</v>
      </c>
      <c r="AD1517" t="s">
        <v>41</v>
      </c>
      <c r="AE1517" t="s">
        <v>41</v>
      </c>
      <c r="AF1517" t="s">
        <v>41</v>
      </c>
      <c r="AK1517"/>
    </row>
    <row r="1518" spans="1:38" x14ac:dyDescent="0.25">
      <c r="A1518" t="s">
        <v>43</v>
      </c>
      <c r="B1518">
        <v>46073.630127314813</v>
      </c>
      <c r="C1518">
        <v>89704</v>
      </c>
      <c r="D1518" t="s">
        <v>373</v>
      </c>
      <c r="E1518">
        <v>4511652</v>
      </c>
      <c r="F1518">
        <v>2104881</v>
      </c>
      <c r="G1518" t="s">
        <v>600</v>
      </c>
      <c r="H1518" t="s">
        <v>1581</v>
      </c>
      <c r="I1518">
        <v>5</v>
      </c>
      <c r="J1518" t="b">
        <v>1</v>
      </c>
      <c r="K1518">
        <v>1.25</v>
      </c>
      <c r="L1518">
        <v>2106201</v>
      </c>
      <c r="M1518" t="s">
        <v>602</v>
      </c>
      <c r="N1518">
        <v>4</v>
      </c>
      <c r="O1518">
        <v>4</v>
      </c>
      <c r="P1518"/>
      <c r="Q1518">
        <v>134905</v>
      </c>
      <c r="R1518">
        <v>1</v>
      </c>
      <c r="S1518" t="s">
        <v>40</v>
      </c>
      <c r="T1518">
        <v>261</v>
      </c>
      <c r="U1518">
        <v>147664</v>
      </c>
      <c r="V1518">
        <v>24</v>
      </c>
      <c r="W1518" t="s">
        <v>40</v>
      </c>
      <c r="X1518">
        <v>261</v>
      </c>
      <c r="Y1518" t="s">
        <v>377</v>
      </c>
      <c r="Z1518" t="s">
        <v>378</v>
      </c>
      <c r="AA1518" t="s">
        <v>379</v>
      </c>
      <c r="AB1518" t="s">
        <v>384</v>
      </c>
      <c r="AC1518" t="s">
        <v>41</v>
      </c>
      <c r="AD1518" t="s">
        <v>41</v>
      </c>
      <c r="AE1518" t="s">
        <v>41</v>
      </c>
      <c r="AF1518" t="s">
        <v>41</v>
      </c>
      <c r="AK1518"/>
    </row>
    <row r="1519" spans="1:38" x14ac:dyDescent="0.25">
      <c r="A1519" t="s">
        <v>43</v>
      </c>
      <c r="B1519">
        <v>46073.63071759259</v>
      </c>
      <c r="C1519">
        <v>89704</v>
      </c>
      <c r="D1519" t="s">
        <v>373</v>
      </c>
      <c r="E1519">
        <v>4511653</v>
      </c>
      <c r="F1519">
        <v>2104881</v>
      </c>
      <c r="G1519" t="s">
        <v>600</v>
      </c>
      <c r="H1519" t="s">
        <v>1581</v>
      </c>
      <c r="I1519">
        <v>5</v>
      </c>
      <c r="J1519" t="b">
        <v>1</v>
      </c>
      <c r="K1519">
        <v>1</v>
      </c>
      <c r="L1519">
        <v>2106201</v>
      </c>
      <c r="M1519" t="s">
        <v>602</v>
      </c>
      <c r="N1519">
        <v>5</v>
      </c>
      <c r="O1519">
        <v>5</v>
      </c>
      <c r="P1519"/>
      <c r="Q1519">
        <v>134905</v>
      </c>
      <c r="R1519">
        <v>1</v>
      </c>
      <c r="S1519" t="s">
        <v>40</v>
      </c>
      <c r="T1519">
        <v>261</v>
      </c>
      <c r="U1519">
        <v>147664</v>
      </c>
      <c r="V1519">
        <v>24</v>
      </c>
      <c r="W1519" t="s">
        <v>40</v>
      </c>
      <c r="X1519">
        <v>261</v>
      </c>
      <c r="Y1519" t="s">
        <v>377</v>
      </c>
      <c r="Z1519" t="s">
        <v>378</v>
      </c>
      <c r="AA1519" t="s">
        <v>379</v>
      </c>
      <c r="AB1519" t="s">
        <v>559</v>
      </c>
      <c r="AC1519" t="s">
        <v>41</v>
      </c>
      <c r="AD1519" t="s">
        <v>41</v>
      </c>
      <c r="AE1519" t="s">
        <v>41</v>
      </c>
      <c r="AF1519" t="s">
        <v>41</v>
      </c>
      <c r="AK1519"/>
    </row>
    <row r="1520" spans="1:38" x14ac:dyDescent="0.25">
      <c r="A1520" t="s">
        <v>38</v>
      </c>
      <c r="B1520">
        <v>46073.721296296295</v>
      </c>
      <c r="C1520">
        <v>91397</v>
      </c>
      <c r="D1520" t="s">
        <v>373</v>
      </c>
      <c r="E1520">
        <v>4508980</v>
      </c>
      <c r="F1520">
        <v>2304758</v>
      </c>
      <c r="G1520" t="s">
        <v>402</v>
      </c>
      <c r="H1520" t="s">
        <v>1584</v>
      </c>
      <c r="I1520">
        <v>14</v>
      </c>
      <c r="J1520" t="b">
        <v>1</v>
      </c>
      <c r="K1520">
        <v>1.75</v>
      </c>
      <c r="L1520">
        <v>2304759</v>
      </c>
      <c r="M1520" t="s">
        <v>404</v>
      </c>
      <c r="N1520">
        <v>8</v>
      </c>
      <c r="O1520">
        <v>8</v>
      </c>
      <c r="P1520"/>
      <c r="Q1520">
        <v>155687</v>
      </c>
      <c r="R1520">
        <v>1</v>
      </c>
      <c r="S1520" t="s">
        <v>40</v>
      </c>
      <c r="T1520">
        <v>261</v>
      </c>
      <c r="U1520">
        <v>147664</v>
      </c>
      <c r="V1520">
        <v>48</v>
      </c>
      <c r="W1520" t="s">
        <v>40</v>
      </c>
      <c r="X1520">
        <v>261</v>
      </c>
      <c r="Y1520" t="s">
        <v>377</v>
      </c>
      <c r="Z1520" t="s">
        <v>378</v>
      </c>
      <c r="AA1520" t="s">
        <v>384</v>
      </c>
      <c r="AB1520" t="s">
        <v>384</v>
      </c>
      <c r="AC1520" t="s">
        <v>41</v>
      </c>
      <c r="AD1520" t="s">
        <v>41</v>
      </c>
      <c r="AE1520" t="s">
        <v>41</v>
      </c>
      <c r="AF1520" t="s">
        <v>41</v>
      </c>
      <c r="AI1520">
        <v>155687</v>
      </c>
      <c r="AJ1520">
        <v>1</v>
      </c>
      <c r="AK1520" t="s">
        <v>40</v>
      </c>
      <c r="AL1520">
        <v>261</v>
      </c>
    </row>
    <row r="1521" spans="1:38" x14ac:dyDescent="0.25">
      <c r="A1521" t="s">
        <v>37</v>
      </c>
      <c r="B1521">
        <v>46074.084097222221</v>
      </c>
      <c r="C1521">
        <v>90281</v>
      </c>
      <c r="D1521" t="s">
        <v>1025</v>
      </c>
      <c r="E1521">
        <v>4510804</v>
      </c>
      <c r="F1521">
        <v>2311070</v>
      </c>
      <c r="G1521" t="s">
        <v>1605</v>
      </c>
      <c r="H1521" t="s">
        <v>1554</v>
      </c>
      <c r="I1521">
        <v>3</v>
      </c>
      <c r="J1521" t="b">
        <v>1</v>
      </c>
      <c r="K1521">
        <v>1.7241379310344827E-2</v>
      </c>
      <c r="L1521">
        <v>2311071</v>
      </c>
      <c r="M1521" t="s">
        <v>1606</v>
      </c>
      <c r="N1521">
        <v>174</v>
      </c>
      <c r="O1521">
        <v>193</v>
      </c>
      <c r="P1521"/>
      <c r="Q1521">
        <v>134976</v>
      </c>
      <c r="R1521">
        <v>1</v>
      </c>
      <c r="S1521" t="s">
        <v>40</v>
      </c>
      <c r="T1521">
        <v>261</v>
      </c>
      <c r="W1521"/>
      <c r="Y1521" t="s">
        <v>377</v>
      </c>
      <c r="Z1521" t="s">
        <v>378</v>
      </c>
      <c r="AA1521" t="s">
        <v>379</v>
      </c>
      <c r="AB1521" t="s">
        <v>1146</v>
      </c>
      <c r="AC1521" t="s">
        <v>41</v>
      </c>
      <c r="AD1521" t="s">
        <v>41</v>
      </c>
      <c r="AE1521" t="s">
        <v>41</v>
      </c>
      <c r="AF1521" t="s">
        <v>41</v>
      </c>
      <c r="AK1521"/>
    </row>
    <row r="1522" spans="1:38" x14ac:dyDescent="0.25">
      <c r="A1522" t="s">
        <v>39</v>
      </c>
      <c r="B1522">
        <v>46074.361030092594</v>
      </c>
      <c r="C1522">
        <v>91362</v>
      </c>
      <c r="D1522" t="s">
        <v>373</v>
      </c>
      <c r="E1522">
        <v>4512093</v>
      </c>
      <c r="F1522">
        <v>113677</v>
      </c>
      <c r="G1522" t="s">
        <v>687</v>
      </c>
      <c r="H1522" t="s">
        <v>1563</v>
      </c>
      <c r="I1522">
        <v>14</v>
      </c>
      <c r="J1522" t="b">
        <v>1</v>
      </c>
      <c r="K1522">
        <v>1.75</v>
      </c>
      <c r="L1522">
        <v>113679</v>
      </c>
      <c r="M1522" t="s">
        <v>689</v>
      </c>
      <c r="N1522">
        <v>8</v>
      </c>
      <c r="O1522">
        <v>8</v>
      </c>
      <c r="P1522"/>
      <c r="Q1522">
        <v>2301936</v>
      </c>
      <c r="R1522">
        <v>1</v>
      </c>
      <c r="S1522" t="s">
        <v>40</v>
      </c>
      <c r="T1522">
        <v>261</v>
      </c>
      <c r="U1522">
        <v>147664</v>
      </c>
      <c r="V1522">
        <v>48</v>
      </c>
      <c r="W1522" t="s">
        <v>40</v>
      </c>
      <c r="X1522">
        <v>261</v>
      </c>
      <c r="Y1522" t="s">
        <v>377</v>
      </c>
      <c r="Z1522" t="s">
        <v>378</v>
      </c>
      <c r="AA1522" t="s">
        <v>384</v>
      </c>
      <c r="AB1522" t="s">
        <v>384</v>
      </c>
      <c r="AC1522" t="s">
        <v>41</v>
      </c>
      <c r="AD1522" t="s">
        <v>41</v>
      </c>
      <c r="AE1522" t="s">
        <v>41</v>
      </c>
      <c r="AF1522" t="s">
        <v>41</v>
      </c>
      <c r="AI1522">
        <v>2301936</v>
      </c>
      <c r="AJ1522">
        <v>1</v>
      </c>
      <c r="AK1522" t="s">
        <v>40</v>
      </c>
      <c r="AL1522">
        <v>261</v>
      </c>
    </row>
    <row r="1523" spans="1:38" x14ac:dyDescent="0.25">
      <c r="A1523" t="s">
        <v>37</v>
      </c>
      <c r="B1523">
        <v>46074.437083333331</v>
      </c>
      <c r="C1523">
        <v>92691</v>
      </c>
      <c r="D1523" t="s">
        <v>373</v>
      </c>
      <c r="E1523">
        <v>4508611</v>
      </c>
      <c r="F1523">
        <v>160744</v>
      </c>
      <c r="G1523" t="s">
        <v>1607</v>
      </c>
      <c r="H1523" t="s">
        <v>1554</v>
      </c>
      <c r="I1523">
        <v>5</v>
      </c>
      <c r="J1523" t="b">
        <v>1</v>
      </c>
      <c r="K1523">
        <v>1.1627906976744186E-2</v>
      </c>
      <c r="L1523">
        <v>160746</v>
      </c>
      <c r="M1523" t="s">
        <v>1608</v>
      </c>
      <c r="N1523">
        <v>430</v>
      </c>
      <c r="O1523">
        <v>430</v>
      </c>
      <c r="P1523"/>
      <c r="Q1523">
        <v>134976</v>
      </c>
      <c r="R1523">
        <v>1</v>
      </c>
      <c r="S1523" t="s">
        <v>40</v>
      </c>
      <c r="T1523">
        <v>261</v>
      </c>
      <c r="V1523">
        <v>0</v>
      </c>
      <c r="W1523"/>
      <c r="Y1523" t="s">
        <v>377</v>
      </c>
      <c r="Z1523" t="s">
        <v>378</v>
      </c>
      <c r="AA1523" t="s">
        <v>379</v>
      </c>
      <c r="AB1523" t="s">
        <v>496</v>
      </c>
      <c r="AC1523" t="s">
        <v>379</v>
      </c>
      <c r="AD1523" t="s">
        <v>1609</v>
      </c>
      <c r="AE1523" t="s">
        <v>41</v>
      </c>
      <c r="AF1523" t="s">
        <v>41</v>
      </c>
      <c r="AI1523">
        <v>134976</v>
      </c>
      <c r="AJ1523">
        <v>1</v>
      </c>
      <c r="AK1523" t="s">
        <v>40</v>
      </c>
      <c r="AL1523">
        <v>261</v>
      </c>
    </row>
    <row r="1524" spans="1:38" x14ac:dyDescent="0.25">
      <c r="A1524" t="s">
        <v>42</v>
      </c>
      <c r="B1524">
        <v>46074.444108796299</v>
      </c>
      <c r="C1524">
        <v>92115</v>
      </c>
      <c r="D1524" t="s">
        <v>373</v>
      </c>
      <c r="E1524">
        <v>4508606</v>
      </c>
      <c r="F1524">
        <v>154139</v>
      </c>
      <c r="G1524" t="s">
        <v>1610</v>
      </c>
      <c r="H1524" t="s">
        <v>1464</v>
      </c>
      <c r="I1524">
        <v>37.5</v>
      </c>
      <c r="J1524" t="b">
        <v>1</v>
      </c>
      <c r="K1524">
        <v>0.34090909090909088</v>
      </c>
      <c r="L1524">
        <v>154140</v>
      </c>
      <c r="M1524" t="s">
        <v>1611</v>
      </c>
      <c r="N1524">
        <v>110</v>
      </c>
      <c r="O1524">
        <v>107</v>
      </c>
      <c r="P1524"/>
      <c r="Q1524">
        <v>0</v>
      </c>
      <c r="R1524">
        <v>0</v>
      </c>
      <c r="S1524" t="s">
        <v>40</v>
      </c>
      <c r="T1524">
        <v>261</v>
      </c>
      <c r="W1524"/>
      <c r="Y1524" t="s">
        <v>679</v>
      </c>
      <c r="Z1524" t="s">
        <v>378</v>
      </c>
      <c r="AA1524" t="s">
        <v>379</v>
      </c>
      <c r="AB1524" t="s">
        <v>573</v>
      </c>
      <c r="AC1524" t="s">
        <v>41</v>
      </c>
      <c r="AD1524" t="s">
        <v>41</v>
      </c>
      <c r="AE1524" t="s">
        <v>41</v>
      </c>
      <c r="AF1524" t="s">
        <v>41</v>
      </c>
      <c r="AK1524"/>
    </row>
    <row r="1525" spans="1:38" x14ac:dyDescent="0.25">
      <c r="A1525" t="s">
        <v>43</v>
      </c>
      <c r="B1525">
        <v>46074.566145833334</v>
      </c>
      <c r="C1525">
        <v>89705</v>
      </c>
      <c r="D1525" t="s">
        <v>373</v>
      </c>
      <c r="E1525">
        <v>4511659</v>
      </c>
      <c r="F1525">
        <v>2104880</v>
      </c>
      <c r="G1525" t="s">
        <v>577</v>
      </c>
      <c r="H1525" t="s">
        <v>1573</v>
      </c>
      <c r="I1525">
        <v>5</v>
      </c>
      <c r="J1525" t="b">
        <v>1</v>
      </c>
      <c r="K1525">
        <v>1.25</v>
      </c>
      <c r="L1525">
        <v>2106200</v>
      </c>
      <c r="M1525" t="s">
        <v>579</v>
      </c>
      <c r="N1525">
        <v>4</v>
      </c>
      <c r="O1525">
        <v>4</v>
      </c>
      <c r="P1525"/>
      <c r="Q1525">
        <v>134906</v>
      </c>
      <c r="R1525">
        <v>1</v>
      </c>
      <c r="S1525" t="s">
        <v>40</v>
      </c>
      <c r="T1525">
        <v>261</v>
      </c>
      <c r="U1525">
        <v>147664</v>
      </c>
      <c r="V1525">
        <v>24</v>
      </c>
      <c r="W1525" t="s">
        <v>40</v>
      </c>
      <c r="X1525">
        <v>261</v>
      </c>
      <c r="Y1525" t="s">
        <v>377</v>
      </c>
      <c r="Z1525" t="s">
        <v>378</v>
      </c>
      <c r="AA1525" t="s">
        <v>379</v>
      </c>
      <c r="AB1525" t="s">
        <v>384</v>
      </c>
      <c r="AC1525" t="s">
        <v>41</v>
      </c>
      <c r="AD1525" t="s">
        <v>41</v>
      </c>
      <c r="AE1525" t="s">
        <v>41</v>
      </c>
      <c r="AF1525" t="s">
        <v>41</v>
      </c>
      <c r="AK1525"/>
    </row>
    <row r="1526" spans="1:38" x14ac:dyDescent="0.25">
      <c r="A1526" t="s">
        <v>43</v>
      </c>
      <c r="B1526">
        <v>46074.566747685189</v>
      </c>
      <c r="C1526">
        <v>89705</v>
      </c>
      <c r="D1526" t="s">
        <v>373</v>
      </c>
      <c r="E1526">
        <v>4511660</v>
      </c>
      <c r="F1526">
        <v>2104880</v>
      </c>
      <c r="G1526" t="s">
        <v>577</v>
      </c>
      <c r="H1526" t="s">
        <v>1573</v>
      </c>
      <c r="I1526">
        <v>5</v>
      </c>
      <c r="J1526" t="b">
        <v>1</v>
      </c>
      <c r="K1526">
        <v>1</v>
      </c>
      <c r="L1526">
        <v>2106200</v>
      </c>
      <c r="M1526" t="s">
        <v>579</v>
      </c>
      <c r="N1526">
        <v>5</v>
      </c>
      <c r="O1526">
        <v>5</v>
      </c>
      <c r="P1526"/>
      <c r="Q1526">
        <v>134906</v>
      </c>
      <c r="R1526">
        <v>1</v>
      </c>
      <c r="S1526" t="s">
        <v>40</v>
      </c>
      <c r="T1526">
        <v>261</v>
      </c>
      <c r="U1526">
        <v>147664</v>
      </c>
      <c r="V1526">
        <v>24</v>
      </c>
      <c r="W1526" t="s">
        <v>40</v>
      </c>
      <c r="X1526">
        <v>261</v>
      </c>
      <c r="Y1526" t="s">
        <v>377</v>
      </c>
      <c r="Z1526" t="s">
        <v>378</v>
      </c>
      <c r="AA1526" t="s">
        <v>379</v>
      </c>
      <c r="AB1526" t="s">
        <v>559</v>
      </c>
      <c r="AC1526" t="s">
        <v>41</v>
      </c>
      <c r="AD1526" t="s">
        <v>41</v>
      </c>
      <c r="AE1526" t="s">
        <v>41</v>
      </c>
      <c r="AF1526" t="s">
        <v>41</v>
      </c>
      <c r="AK1526"/>
    </row>
    <row r="1527" spans="1:38" x14ac:dyDescent="0.25">
      <c r="A1527" t="s">
        <v>38</v>
      </c>
      <c r="B1527">
        <v>46074.773819444446</v>
      </c>
      <c r="C1527">
        <v>91364</v>
      </c>
      <c r="D1527" t="s">
        <v>590</v>
      </c>
      <c r="E1527">
        <v>4511401</v>
      </c>
      <c r="F1527">
        <v>156316</v>
      </c>
      <c r="G1527" t="s">
        <v>899</v>
      </c>
      <c r="H1527" t="s">
        <v>1578</v>
      </c>
      <c r="I1527">
        <v>14</v>
      </c>
      <c r="J1527" t="b">
        <v>1</v>
      </c>
      <c r="K1527">
        <v>3.5</v>
      </c>
      <c r="L1527">
        <v>156315</v>
      </c>
      <c r="M1527" t="s">
        <v>901</v>
      </c>
      <c r="N1527">
        <v>4</v>
      </c>
      <c r="O1527">
        <v>4</v>
      </c>
      <c r="P1527"/>
      <c r="Q1527">
        <v>134906</v>
      </c>
      <c r="R1527">
        <v>1</v>
      </c>
      <c r="S1527" t="s">
        <v>40</v>
      </c>
      <c r="T1527">
        <v>261</v>
      </c>
      <c r="U1527">
        <v>147664</v>
      </c>
      <c r="V1527">
        <v>24</v>
      </c>
      <c r="W1527" t="s">
        <v>40</v>
      </c>
      <c r="X1527">
        <v>261</v>
      </c>
      <c r="Y1527" t="s">
        <v>377</v>
      </c>
      <c r="Z1527" t="s">
        <v>378</v>
      </c>
      <c r="AA1527" t="s">
        <v>379</v>
      </c>
      <c r="AB1527" t="s">
        <v>384</v>
      </c>
      <c r="AC1527" t="s">
        <v>41</v>
      </c>
      <c r="AD1527" t="s">
        <v>41</v>
      </c>
      <c r="AE1527" t="s">
        <v>41</v>
      </c>
      <c r="AF1527" t="s">
        <v>41</v>
      </c>
      <c r="AK1527"/>
    </row>
    <row r="1528" spans="1:38" x14ac:dyDescent="0.25">
      <c r="A1528" t="s">
        <v>38</v>
      </c>
      <c r="B1528">
        <v>46074.789583333331</v>
      </c>
      <c r="C1528">
        <v>91364</v>
      </c>
      <c r="D1528" t="s">
        <v>590</v>
      </c>
      <c r="E1528">
        <v>4511402</v>
      </c>
      <c r="F1528">
        <v>156316</v>
      </c>
      <c r="G1528" t="s">
        <v>899</v>
      </c>
      <c r="H1528" t="s">
        <v>1578</v>
      </c>
      <c r="I1528">
        <v>14</v>
      </c>
      <c r="J1528" t="b">
        <v>1</v>
      </c>
      <c r="K1528">
        <v>3.5</v>
      </c>
      <c r="L1528">
        <v>156315</v>
      </c>
      <c r="M1528" t="s">
        <v>901</v>
      </c>
      <c r="N1528">
        <v>4</v>
      </c>
      <c r="O1528">
        <v>2</v>
      </c>
      <c r="P1528"/>
      <c r="Q1528">
        <v>134906</v>
      </c>
      <c r="R1528">
        <v>1</v>
      </c>
      <c r="S1528" t="s">
        <v>40</v>
      </c>
      <c r="T1528">
        <v>261</v>
      </c>
      <c r="U1528">
        <v>147664</v>
      </c>
      <c r="V1528">
        <v>24</v>
      </c>
      <c r="W1528" t="s">
        <v>40</v>
      </c>
      <c r="X1528">
        <v>261</v>
      </c>
      <c r="Y1528" t="s">
        <v>377</v>
      </c>
      <c r="Z1528" t="s">
        <v>378</v>
      </c>
      <c r="AA1528" t="s">
        <v>379</v>
      </c>
      <c r="AB1528" t="s">
        <v>384</v>
      </c>
      <c r="AC1528" t="s">
        <v>41</v>
      </c>
      <c r="AD1528" t="s">
        <v>41</v>
      </c>
      <c r="AE1528" t="s">
        <v>41</v>
      </c>
      <c r="AF1528" t="s">
        <v>41</v>
      </c>
      <c r="AK1528"/>
    </row>
    <row r="1529" spans="1:38" x14ac:dyDescent="0.25">
      <c r="A1529" t="s">
        <v>37</v>
      </c>
      <c r="B1529">
        <v>46075.124456018515</v>
      </c>
      <c r="C1529">
        <v>92692</v>
      </c>
      <c r="D1529" t="s">
        <v>590</v>
      </c>
      <c r="E1529">
        <v>4508611</v>
      </c>
      <c r="F1529">
        <v>160744</v>
      </c>
      <c r="G1529" t="s">
        <v>1607</v>
      </c>
      <c r="H1529" t="s">
        <v>1554</v>
      </c>
      <c r="I1529">
        <v>5</v>
      </c>
      <c r="J1529" t="b">
        <v>1</v>
      </c>
      <c r="K1529">
        <v>1.201923076923077E-2</v>
      </c>
      <c r="L1529">
        <v>160746</v>
      </c>
      <c r="M1529" t="s">
        <v>1608</v>
      </c>
      <c r="N1529">
        <v>416</v>
      </c>
      <c r="O1529">
        <v>372</v>
      </c>
      <c r="P1529"/>
      <c r="Q1529">
        <v>134976</v>
      </c>
      <c r="R1529">
        <v>2</v>
      </c>
      <c r="S1529" t="s">
        <v>40</v>
      </c>
      <c r="T1529">
        <v>261</v>
      </c>
      <c r="W1529"/>
      <c r="Y1529" t="s">
        <v>377</v>
      </c>
      <c r="Z1529" t="s">
        <v>378</v>
      </c>
      <c r="AA1529" t="s">
        <v>379</v>
      </c>
      <c r="AB1529" t="s">
        <v>801</v>
      </c>
      <c r="AC1529" t="s">
        <v>379</v>
      </c>
      <c r="AD1529" t="s">
        <v>1048</v>
      </c>
      <c r="AE1529" t="s">
        <v>41</v>
      </c>
      <c r="AF1529" t="s">
        <v>41</v>
      </c>
      <c r="AK1529"/>
    </row>
    <row r="1530" spans="1:38" x14ac:dyDescent="0.25">
      <c r="A1530" t="s">
        <v>39</v>
      </c>
      <c r="B1530">
        <v>46075.224976851852</v>
      </c>
      <c r="C1530">
        <v>89706</v>
      </c>
      <c r="D1530" t="s">
        <v>590</v>
      </c>
      <c r="E1530">
        <v>4511781</v>
      </c>
      <c r="F1530">
        <v>2104880</v>
      </c>
      <c r="G1530" t="s">
        <v>577</v>
      </c>
      <c r="H1530" t="s">
        <v>1581</v>
      </c>
      <c r="I1530">
        <v>10</v>
      </c>
      <c r="J1530" t="b">
        <v>1</v>
      </c>
      <c r="K1530">
        <v>2.5</v>
      </c>
      <c r="L1530">
        <v>2106200</v>
      </c>
      <c r="M1530" t="s">
        <v>579</v>
      </c>
      <c r="N1530">
        <v>4</v>
      </c>
      <c r="O1530">
        <v>4</v>
      </c>
      <c r="P1530"/>
      <c r="Q1530">
        <v>134906</v>
      </c>
      <c r="R1530">
        <v>1</v>
      </c>
      <c r="S1530" t="s">
        <v>40</v>
      </c>
      <c r="T1530">
        <v>261</v>
      </c>
      <c r="U1530">
        <v>147664</v>
      </c>
      <c r="V1530">
        <v>24</v>
      </c>
      <c r="W1530" t="s">
        <v>40</v>
      </c>
      <c r="X1530">
        <v>261</v>
      </c>
      <c r="Y1530" t="s">
        <v>377</v>
      </c>
      <c r="Z1530" t="s">
        <v>378</v>
      </c>
      <c r="AA1530" t="s">
        <v>379</v>
      </c>
      <c r="AB1530" t="s">
        <v>384</v>
      </c>
      <c r="AC1530" t="s">
        <v>41</v>
      </c>
      <c r="AD1530" t="s">
        <v>41</v>
      </c>
      <c r="AE1530" t="s">
        <v>41</v>
      </c>
      <c r="AF1530" t="s">
        <v>41</v>
      </c>
      <c r="AK1530"/>
    </row>
    <row r="1531" spans="1:38" x14ac:dyDescent="0.25">
      <c r="A1531" t="s">
        <v>39</v>
      </c>
      <c r="B1531">
        <v>46075.225787037038</v>
      </c>
      <c r="C1531">
        <v>89706</v>
      </c>
      <c r="D1531" t="s">
        <v>590</v>
      </c>
      <c r="E1531">
        <v>4511782</v>
      </c>
      <c r="F1531">
        <v>2104880</v>
      </c>
      <c r="G1531" t="s">
        <v>577</v>
      </c>
      <c r="H1531" t="s">
        <v>1581</v>
      </c>
      <c r="I1531">
        <v>10</v>
      </c>
      <c r="J1531" t="b">
        <v>1</v>
      </c>
      <c r="K1531">
        <v>2</v>
      </c>
      <c r="L1531">
        <v>2106200</v>
      </c>
      <c r="M1531" t="s">
        <v>579</v>
      </c>
      <c r="N1531">
        <v>5</v>
      </c>
      <c r="O1531">
        <v>5</v>
      </c>
      <c r="P1531"/>
      <c r="Q1531">
        <v>134905</v>
      </c>
      <c r="R1531">
        <v>1</v>
      </c>
      <c r="S1531" t="s">
        <v>40</v>
      </c>
      <c r="T1531">
        <v>261</v>
      </c>
      <c r="U1531">
        <v>147664</v>
      </c>
      <c r="V1531">
        <v>24</v>
      </c>
      <c r="W1531" t="s">
        <v>40</v>
      </c>
      <c r="X1531">
        <v>261</v>
      </c>
      <c r="Y1531" t="s">
        <v>377</v>
      </c>
      <c r="Z1531" t="s">
        <v>378</v>
      </c>
      <c r="AA1531" t="s">
        <v>379</v>
      </c>
      <c r="AB1531" t="s">
        <v>559</v>
      </c>
      <c r="AC1531" t="s">
        <v>41</v>
      </c>
      <c r="AD1531" t="s">
        <v>41</v>
      </c>
      <c r="AE1531" t="s">
        <v>41</v>
      </c>
      <c r="AF1531" t="s">
        <v>41</v>
      </c>
      <c r="AK1531"/>
    </row>
    <row r="1532" spans="1:38" x14ac:dyDescent="0.25">
      <c r="A1532" t="s">
        <v>45</v>
      </c>
      <c r="B1532">
        <v>46075.590462962966</v>
      </c>
      <c r="C1532">
        <v>92700</v>
      </c>
      <c r="D1532" t="s">
        <v>373</v>
      </c>
      <c r="E1532">
        <v>4507363</v>
      </c>
      <c r="F1532">
        <v>2310135</v>
      </c>
      <c r="G1532" t="s">
        <v>1052</v>
      </c>
      <c r="H1532" t="s">
        <v>1612</v>
      </c>
      <c r="I1532">
        <v>64.3</v>
      </c>
      <c r="J1532" t="b">
        <v>1</v>
      </c>
      <c r="K1532">
        <v>0.15759803921568627</v>
      </c>
      <c r="L1532">
        <v>2310136</v>
      </c>
      <c r="M1532" t="s">
        <v>1053</v>
      </c>
      <c r="N1532">
        <v>408</v>
      </c>
      <c r="O1532">
        <v>400</v>
      </c>
      <c r="P1532"/>
      <c r="Q1532">
        <v>134974</v>
      </c>
      <c r="R1532">
        <v>1</v>
      </c>
      <c r="S1532" t="s">
        <v>40</v>
      </c>
      <c r="T1532">
        <v>261</v>
      </c>
      <c r="W1532"/>
      <c r="Y1532" t="s">
        <v>377</v>
      </c>
      <c r="Z1532" t="s">
        <v>378</v>
      </c>
      <c r="AA1532" t="s">
        <v>379</v>
      </c>
      <c r="AB1532" t="s">
        <v>1296</v>
      </c>
      <c r="AC1532" t="s">
        <v>41</v>
      </c>
      <c r="AD1532" t="s">
        <v>41</v>
      </c>
      <c r="AE1532" t="s">
        <v>41</v>
      </c>
      <c r="AF1532" t="s">
        <v>41</v>
      </c>
      <c r="AK1532"/>
    </row>
    <row r="1533" spans="1:38" x14ac:dyDescent="0.25">
      <c r="A1533" t="s">
        <v>38</v>
      </c>
      <c r="B1533">
        <v>46075.611956018518</v>
      </c>
      <c r="C1533">
        <v>90282</v>
      </c>
      <c r="D1533" t="s">
        <v>373</v>
      </c>
      <c r="E1533">
        <v>4508722</v>
      </c>
      <c r="F1533">
        <v>2104716</v>
      </c>
      <c r="G1533" t="s">
        <v>1496</v>
      </c>
      <c r="H1533" t="s">
        <v>1582</v>
      </c>
      <c r="I1533">
        <v>3</v>
      </c>
      <c r="J1533" t="b">
        <v>1</v>
      </c>
      <c r="K1533">
        <v>9.9337748344370865E-3</v>
      </c>
      <c r="L1533">
        <v>2106042</v>
      </c>
      <c r="M1533" t="s">
        <v>1497</v>
      </c>
      <c r="N1533">
        <v>302</v>
      </c>
      <c r="O1533">
        <v>305</v>
      </c>
      <c r="P1533"/>
      <c r="Q1533">
        <v>134976</v>
      </c>
      <c r="R1533">
        <v>1</v>
      </c>
      <c r="S1533" t="s">
        <v>40</v>
      </c>
      <c r="T1533">
        <v>261</v>
      </c>
      <c r="W1533"/>
      <c r="Y1533" t="s">
        <v>377</v>
      </c>
      <c r="Z1533" t="s">
        <v>378</v>
      </c>
      <c r="AA1533" t="s">
        <v>379</v>
      </c>
      <c r="AB1533" t="s">
        <v>1613</v>
      </c>
      <c r="AC1533" t="s">
        <v>41</v>
      </c>
      <c r="AD1533" t="s">
        <v>41</v>
      </c>
      <c r="AE1533" t="s">
        <v>41</v>
      </c>
      <c r="AF1533" t="s">
        <v>41</v>
      </c>
      <c r="AK1533"/>
    </row>
    <row r="1534" spans="1:38" x14ac:dyDescent="0.25">
      <c r="A1534" t="s">
        <v>39</v>
      </c>
      <c r="B1534">
        <v>46075.959050925929</v>
      </c>
      <c r="C1534">
        <v>92693</v>
      </c>
      <c r="D1534" t="s">
        <v>1025</v>
      </c>
      <c r="E1534">
        <v>4510374</v>
      </c>
      <c r="F1534">
        <v>2308587</v>
      </c>
      <c r="G1534" t="s">
        <v>1614</v>
      </c>
      <c r="H1534" t="s">
        <v>1554</v>
      </c>
      <c r="I1534">
        <v>5</v>
      </c>
      <c r="J1534" t="b">
        <v>1</v>
      </c>
      <c r="K1534">
        <v>1.1990407673860911E-2</v>
      </c>
      <c r="L1534">
        <v>2305685</v>
      </c>
      <c r="M1534" t="s">
        <v>1615</v>
      </c>
      <c r="N1534">
        <v>417</v>
      </c>
      <c r="O1534">
        <v>414</v>
      </c>
      <c r="P1534"/>
      <c r="Q1534">
        <v>134976</v>
      </c>
      <c r="R1534">
        <v>1</v>
      </c>
      <c r="S1534" t="s">
        <v>40</v>
      </c>
      <c r="T1534">
        <v>261</v>
      </c>
      <c r="W1534"/>
      <c r="Y1534" t="s">
        <v>377</v>
      </c>
      <c r="Z1534" t="s">
        <v>378</v>
      </c>
      <c r="AA1534" t="s">
        <v>379</v>
      </c>
      <c r="AB1534" t="s">
        <v>1616</v>
      </c>
      <c r="AC1534" t="s">
        <v>41</v>
      </c>
      <c r="AD1534" t="s">
        <v>41</v>
      </c>
      <c r="AE1534" t="s">
        <v>41</v>
      </c>
      <c r="AF1534" t="s">
        <v>41</v>
      </c>
      <c r="AK1534"/>
    </row>
    <row r="1535" spans="1:38" x14ac:dyDescent="0.25">
      <c r="A1535" t="s">
        <v>43</v>
      </c>
      <c r="B1535">
        <v>46076.303599537037</v>
      </c>
      <c r="C1535">
        <v>92117</v>
      </c>
      <c r="D1535" t="s">
        <v>1617</v>
      </c>
      <c r="E1535">
        <v>4498032</v>
      </c>
      <c r="F1535">
        <v>2104699</v>
      </c>
      <c r="G1535" t="s">
        <v>1618</v>
      </c>
      <c r="H1535" t="s">
        <v>1339</v>
      </c>
      <c r="I1535">
        <v>33</v>
      </c>
      <c r="J1535" t="b">
        <v>1</v>
      </c>
      <c r="K1535">
        <v>0.6</v>
      </c>
      <c r="L1535">
        <v>2106027</v>
      </c>
      <c r="M1535" t="s">
        <v>1619</v>
      </c>
      <c r="N1535">
        <v>55</v>
      </c>
      <c r="O1535">
        <v>137</v>
      </c>
      <c r="P1535"/>
      <c r="Q1535">
        <v>0</v>
      </c>
      <c r="R1535">
        <v>0</v>
      </c>
      <c r="S1535" t="s">
        <v>40</v>
      </c>
      <c r="T1535">
        <v>261</v>
      </c>
      <c r="W1535"/>
      <c r="Y1535" t="s">
        <v>551</v>
      </c>
      <c r="Z1535" t="s">
        <v>378</v>
      </c>
      <c r="AA1535" t="s">
        <v>379</v>
      </c>
      <c r="AB1535" t="s">
        <v>1620</v>
      </c>
      <c r="AC1535" t="s">
        <v>41</v>
      </c>
      <c r="AD1535" t="s">
        <v>41</v>
      </c>
      <c r="AE1535" t="s">
        <v>41</v>
      </c>
      <c r="AF1535" t="s">
        <v>41</v>
      </c>
      <c r="AK1535"/>
    </row>
    <row r="1536" spans="1:38" x14ac:dyDescent="0.25">
      <c r="A1536" t="s">
        <v>42</v>
      </c>
      <c r="B1536">
        <v>46076.305162037039</v>
      </c>
      <c r="C1536">
        <v>92116</v>
      </c>
      <c r="D1536" t="s">
        <v>1617</v>
      </c>
      <c r="E1536">
        <v>4498032</v>
      </c>
      <c r="F1536">
        <v>2104699</v>
      </c>
      <c r="G1536" t="s">
        <v>1618</v>
      </c>
      <c r="H1536" t="s">
        <v>1339</v>
      </c>
      <c r="I1536">
        <v>33</v>
      </c>
      <c r="J1536" t="b">
        <v>1</v>
      </c>
      <c r="K1536">
        <v>0.375</v>
      </c>
      <c r="L1536">
        <v>2106027</v>
      </c>
      <c r="M1536" t="s">
        <v>1619</v>
      </c>
      <c r="N1536">
        <v>88</v>
      </c>
      <c r="O1536">
        <v>88</v>
      </c>
      <c r="P1536"/>
      <c r="Q1536">
        <v>0</v>
      </c>
      <c r="R1536">
        <v>0</v>
      </c>
      <c r="S1536" t="s">
        <v>40</v>
      </c>
      <c r="T1536">
        <v>261</v>
      </c>
      <c r="W1536"/>
      <c r="Y1536" t="s">
        <v>377</v>
      </c>
      <c r="Z1536" t="s">
        <v>378</v>
      </c>
      <c r="AA1536" t="s">
        <v>379</v>
      </c>
      <c r="AB1536" t="s">
        <v>680</v>
      </c>
      <c r="AC1536" t="s">
        <v>41</v>
      </c>
      <c r="AD1536" t="s">
        <v>41</v>
      </c>
      <c r="AE1536" t="s">
        <v>41</v>
      </c>
      <c r="AF1536" t="s">
        <v>41</v>
      </c>
      <c r="AK1536"/>
    </row>
    <row r="1537" spans="1:38" x14ac:dyDescent="0.25">
      <c r="A1537" t="s">
        <v>48</v>
      </c>
      <c r="B1537">
        <v>46076.379537037035</v>
      </c>
      <c r="C1537">
        <v>89707</v>
      </c>
      <c r="D1537" t="s">
        <v>1617</v>
      </c>
      <c r="E1537">
        <v>4511786</v>
      </c>
      <c r="F1537">
        <v>2104879</v>
      </c>
      <c r="G1537" t="s">
        <v>556</v>
      </c>
      <c r="H1537" t="s">
        <v>1621</v>
      </c>
      <c r="I1537">
        <v>10</v>
      </c>
      <c r="J1537" t="b">
        <v>1</v>
      </c>
      <c r="K1537">
        <v>2</v>
      </c>
      <c r="L1537">
        <v>2106199</v>
      </c>
      <c r="M1537" t="s">
        <v>558</v>
      </c>
      <c r="N1537">
        <v>5</v>
      </c>
      <c r="O1537">
        <v>9</v>
      </c>
      <c r="P1537"/>
      <c r="Q1537">
        <v>134907</v>
      </c>
      <c r="R1537">
        <v>1</v>
      </c>
      <c r="S1537" t="s">
        <v>40</v>
      </c>
      <c r="T1537">
        <v>261</v>
      </c>
      <c r="U1537">
        <v>147664</v>
      </c>
      <c r="V1537">
        <v>24</v>
      </c>
      <c r="W1537" t="s">
        <v>40</v>
      </c>
      <c r="X1537">
        <v>261</v>
      </c>
      <c r="Y1537" t="s">
        <v>377</v>
      </c>
      <c r="Z1537" t="s">
        <v>378</v>
      </c>
      <c r="AA1537" t="s">
        <v>379</v>
      </c>
      <c r="AB1537" t="s">
        <v>559</v>
      </c>
      <c r="AC1537" t="s">
        <v>41</v>
      </c>
      <c r="AD1537" t="s">
        <v>41</v>
      </c>
      <c r="AE1537" t="s">
        <v>41</v>
      </c>
      <c r="AF1537" t="s">
        <v>41</v>
      </c>
      <c r="AK1537"/>
    </row>
    <row r="1538" spans="1:38" x14ac:dyDescent="0.25">
      <c r="A1538" t="s">
        <v>48</v>
      </c>
      <c r="B1538">
        <v>46076.381979166668</v>
      </c>
      <c r="C1538">
        <v>89707</v>
      </c>
      <c r="D1538" t="s">
        <v>1617</v>
      </c>
      <c r="E1538">
        <v>4511785</v>
      </c>
      <c r="F1538">
        <v>2104879</v>
      </c>
      <c r="G1538" t="s">
        <v>556</v>
      </c>
      <c r="H1538" t="s">
        <v>1621</v>
      </c>
      <c r="I1538">
        <v>44</v>
      </c>
      <c r="J1538" t="b">
        <v>1</v>
      </c>
      <c r="K1538">
        <v>11</v>
      </c>
      <c r="L1538">
        <v>2106199</v>
      </c>
      <c r="M1538" t="s">
        <v>558</v>
      </c>
      <c r="N1538">
        <v>4</v>
      </c>
      <c r="O1538">
        <v>4</v>
      </c>
      <c r="P1538"/>
      <c r="Q1538">
        <v>134907</v>
      </c>
      <c r="R1538">
        <v>1</v>
      </c>
      <c r="S1538" t="s">
        <v>40</v>
      </c>
      <c r="T1538">
        <v>261</v>
      </c>
      <c r="U1538">
        <v>147664</v>
      </c>
      <c r="V1538">
        <v>24</v>
      </c>
      <c r="W1538" t="s">
        <v>40</v>
      </c>
      <c r="X1538">
        <v>261</v>
      </c>
      <c r="Y1538" t="s">
        <v>377</v>
      </c>
      <c r="Z1538" t="s">
        <v>378</v>
      </c>
      <c r="AA1538" t="s">
        <v>379</v>
      </c>
      <c r="AB1538" t="s">
        <v>384</v>
      </c>
      <c r="AC1538" t="s">
        <v>41</v>
      </c>
      <c r="AD1538" t="s">
        <v>41</v>
      </c>
      <c r="AE1538" t="s">
        <v>41</v>
      </c>
      <c r="AF1538" t="s">
        <v>41</v>
      </c>
      <c r="AK1538"/>
    </row>
    <row r="1539" spans="1:38" x14ac:dyDescent="0.25">
      <c r="A1539" t="s">
        <v>44</v>
      </c>
      <c r="B1539">
        <v>46076.456967592596</v>
      </c>
      <c r="C1539">
        <v>91398</v>
      </c>
      <c r="D1539" t="s">
        <v>1617</v>
      </c>
      <c r="E1539">
        <v>4509600</v>
      </c>
      <c r="F1539">
        <v>2304758</v>
      </c>
      <c r="G1539" t="s">
        <v>402</v>
      </c>
      <c r="H1539" t="s">
        <v>1621</v>
      </c>
      <c r="I1539">
        <v>14</v>
      </c>
      <c r="J1539" t="b">
        <v>1</v>
      </c>
      <c r="K1539">
        <v>1.75</v>
      </c>
      <c r="L1539">
        <v>2304759</v>
      </c>
      <c r="M1539" t="s">
        <v>404</v>
      </c>
      <c r="N1539">
        <v>8</v>
      </c>
      <c r="O1539">
        <v>8</v>
      </c>
      <c r="P1539"/>
      <c r="Q1539">
        <v>134905</v>
      </c>
      <c r="R1539">
        <v>1</v>
      </c>
      <c r="S1539" t="s">
        <v>40</v>
      </c>
      <c r="T1539">
        <v>261</v>
      </c>
      <c r="U1539">
        <v>147664</v>
      </c>
      <c r="V1539">
        <v>48</v>
      </c>
      <c r="W1539" t="s">
        <v>40</v>
      </c>
      <c r="X1539">
        <v>261</v>
      </c>
      <c r="Y1539" t="s">
        <v>377</v>
      </c>
      <c r="Z1539" t="s">
        <v>378</v>
      </c>
      <c r="AA1539" t="s">
        <v>384</v>
      </c>
      <c r="AB1539" t="s">
        <v>384</v>
      </c>
      <c r="AC1539" t="s">
        <v>41</v>
      </c>
      <c r="AD1539" t="s">
        <v>41</v>
      </c>
      <c r="AE1539" t="s">
        <v>41</v>
      </c>
      <c r="AF1539" t="s">
        <v>41</v>
      </c>
      <c r="AI1539">
        <v>134905</v>
      </c>
      <c r="AJ1539">
        <v>1</v>
      </c>
      <c r="AK1539" t="s">
        <v>40</v>
      </c>
      <c r="AL1539">
        <v>261</v>
      </c>
    </row>
    <row r="1540" spans="1:38" x14ac:dyDescent="0.25">
      <c r="A1540" t="s">
        <v>38</v>
      </c>
      <c r="B1540">
        <v>46076.480671296296</v>
      </c>
      <c r="C1540">
        <v>91363</v>
      </c>
      <c r="D1540" t="s">
        <v>1617</v>
      </c>
      <c r="E1540">
        <v>4512095</v>
      </c>
      <c r="F1540">
        <v>160991</v>
      </c>
      <c r="G1540" t="s">
        <v>1507</v>
      </c>
      <c r="H1540" t="s">
        <v>1568</v>
      </c>
      <c r="I1540">
        <v>14</v>
      </c>
      <c r="J1540" t="b">
        <v>1</v>
      </c>
      <c r="K1540">
        <v>1.75</v>
      </c>
      <c r="L1540">
        <v>160988</v>
      </c>
      <c r="M1540" t="s">
        <v>1508</v>
      </c>
      <c r="N1540">
        <v>8</v>
      </c>
      <c r="O1540">
        <v>8</v>
      </c>
      <c r="P1540"/>
      <c r="Q1540">
        <v>134905</v>
      </c>
      <c r="R1540">
        <v>1</v>
      </c>
      <c r="S1540" t="s">
        <v>40</v>
      </c>
      <c r="T1540">
        <v>261</v>
      </c>
      <c r="U1540">
        <v>147664</v>
      </c>
      <c r="V1540">
        <v>48</v>
      </c>
      <c r="W1540" t="s">
        <v>40</v>
      </c>
      <c r="X1540">
        <v>261</v>
      </c>
      <c r="Y1540" t="s">
        <v>377</v>
      </c>
      <c r="Z1540" t="s">
        <v>378</v>
      </c>
      <c r="AA1540" t="s">
        <v>384</v>
      </c>
      <c r="AB1540" t="s">
        <v>384</v>
      </c>
      <c r="AC1540" t="s">
        <v>41</v>
      </c>
      <c r="AD1540" t="s">
        <v>41</v>
      </c>
      <c r="AE1540" t="s">
        <v>41</v>
      </c>
      <c r="AF1540" t="s">
        <v>41</v>
      </c>
      <c r="AI1540">
        <v>134905</v>
      </c>
      <c r="AJ1540">
        <v>1</v>
      </c>
      <c r="AK1540" t="s">
        <v>40</v>
      </c>
      <c r="AL1540">
        <v>261</v>
      </c>
    </row>
    <row r="1541" spans="1:38" x14ac:dyDescent="0.25">
      <c r="A1541" t="s">
        <v>42</v>
      </c>
      <c r="B1541">
        <v>46076.931168981479</v>
      </c>
      <c r="C1541">
        <v>89708</v>
      </c>
      <c r="D1541" t="s">
        <v>563</v>
      </c>
      <c r="E1541">
        <v>4511787</v>
      </c>
      <c r="F1541">
        <v>2104879</v>
      </c>
      <c r="G1541" t="s">
        <v>556</v>
      </c>
      <c r="H1541" t="s">
        <v>1622</v>
      </c>
      <c r="I1541">
        <v>4.5</v>
      </c>
      <c r="J1541" t="b">
        <v>1</v>
      </c>
      <c r="K1541">
        <v>1.125</v>
      </c>
      <c r="L1541">
        <v>2106199</v>
      </c>
      <c r="M1541" t="s">
        <v>558</v>
      </c>
      <c r="N1541">
        <v>4</v>
      </c>
      <c r="O1541">
        <v>4</v>
      </c>
      <c r="P1541"/>
      <c r="Q1541">
        <v>134971</v>
      </c>
      <c r="R1541">
        <v>1</v>
      </c>
      <c r="S1541" t="s">
        <v>40</v>
      </c>
      <c r="T1541">
        <v>261</v>
      </c>
      <c r="U1541">
        <v>147664</v>
      </c>
      <c r="V1541">
        <v>24</v>
      </c>
      <c r="W1541" t="s">
        <v>40</v>
      </c>
      <c r="X1541">
        <v>261</v>
      </c>
      <c r="Y1541" t="s">
        <v>377</v>
      </c>
      <c r="Z1541" t="s">
        <v>378</v>
      </c>
      <c r="AA1541" t="s">
        <v>379</v>
      </c>
      <c r="AB1541" t="s">
        <v>384</v>
      </c>
      <c r="AC1541" t="s">
        <v>41</v>
      </c>
      <c r="AD1541" t="s">
        <v>41</v>
      </c>
      <c r="AE1541" t="s">
        <v>41</v>
      </c>
      <c r="AF1541" t="s">
        <v>41</v>
      </c>
      <c r="AK1541"/>
    </row>
    <row r="1542" spans="1:38" x14ac:dyDescent="0.25">
      <c r="A1542" t="s">
        <v>42</v>
      </c>
      <c r="B1542">
        <v>46076.931932870371</v>
      </c>
      <c r="C1542">
        <v>89708</v>
      </c>
      <c r="D1542" t="s">
        <v>563</v>
      </c>
      <c r="E1542">
        <v>4511788</v>
      </c>
      <c r="F1542">
        <v>2104879</v>
      </c>
      <c r="G1542" t="s">
        <v>556</v>
      </c>
      <c r="H1542" t="s">
        <v>1622</v>
      </c>
      <c r="I1542">
        <v>5.5</v>
      </c>
      <c r="J1542" t="b">
        <v>1</v>
      </c>
      <c r="K1542">
        <v>1.1000000000000001</v>
      </c>
      <c r="L1542">
        <v>2106199</v>
      </c>
      <c r="M1542" t="s">
        <v>558</v>
      </c>
      <c r="N1542">
        <v>5</v>
      </c>
      <c r="O1542">
        <v>5</v>
      </c>
      <c r="P1542"/>
      <c r="Q1542">
        <v>134971</v>
      </c>
      <c r="R1542">
        <v>1</v>
      </c>
      <c r="S1542" t="s">
        <v>40</v>
      </c>
      <c r="T1542">
        <v>261</v>
      </c>
      <c r="U1542">
        <v>147664</v>
      </c>
      <c r="V1542">
        <v>24</v>
      </c>
      <c r="W1542" t="s">
        <v>40</v>
      </c>
      <c r="X1542">
        <v>261</v>
      </c>
      <c r="Y1542" t="s">
        <v>377</v>
      </c>
      <c r="Z1542" t="s">
        <v>378</v>
      </c>
      <c r="AA1542" t="s">
        <v>379</v>
      </c>
      <c r="AB1542" t="s">
        <v>559</v>
      </c>
      <c r="AC1542" t="s">
        <v>41</v>
      </c>
      <c r="AD1542" t="s">
        <v>41</v>
      </c>
      <c r="AE1542" t="s">
        <v>41</v>
      </c>
      <c r="AF1542" t="s">
        <v>41</v>
      </c>
      <c r="AK1542"/>
    </row>
    <row r="1543" spans="1:38" x14ac:dyDescent="0.25">
      <c r="A1543" t="s">
        <v>47</v>
      </c>
      <c r="B1543">
        <v>46076.988287037035</v>
      </c>
      <c r="C1543">
        <v>92702</v>
      </c>
      <c r="D1543" t="s">
        <v>563</v>
      </c>
      <c r="E1543">
        <v>4507364</v>
      </c>
      <c r="F1543">
        <v>2310135</v>
      </c>
      <c r="G1543" t="s">
        <v>1052</v>
      </c>
      <c r="H1543" t="s">
        <v>1623</v>
      </c>
      <c r="I1543">
        <v>64.3</v>
      </c>
      <c r="J1543" t="b">
        <v>1</v>
      </c>
      <c r="K1543">
        <v>0.1583743842364532</v>
      </c>
      <c r="L1543">
        <v>2310136</v>
      </c>
      <c r="M1543" t="s">
        <v>1053</v>
      </c>
      <c r="N1543">
        <v>406</v>
      </c>
      <c r="O1543">
        <v>406</v>
      </c>
      <c r="P1543"/>
      <c r="Q1543">
        <v>134974</v>
      </c>
      <c r="R1543">
        <v>1</v>
      </c>
      <c r="S1543" t="s">
        <v>40</v>
      </c>
      <c r="T1543">
        <v>261</v>
      </c>
      <c r="W1543"/>
      <c r="Y1543" t="s">
        <v>377</v>
      </c>
      <c r="Z1543" t="s">
        <v>378</v>
      </c>
      <c r="AA1543" t="s">
        <v>379</v>
      </c>
      <c r="AB1543" t="s">
        <v>805</v>
      </c>
      <c r="AC1543" t="s">
        <v>41</v>
      </c>
      <c r="AD1543" t="s">
        <v>41</v>
      </c>
      <c r="AE1543" t="s">
        <v>41</v>
      </c>
      <c r="AF1543" t="s">
        <v>41</v>
      </c>
      <c r="AK1543"/>
    </row>
    <row r="1544" spans="1:38" x14ac:dyDescent="0.25">
      <c r="A1544" t="s">
        <v>39</v>
      </c>
      <c r="B1544">
        <v>46077.024687500001</v>
      </c>
      <c r="C1544">
        <v>91365</v>
      </c>
      <c r="D1544" t="s">
        <v>563</v>
      </c>
      <c r="E1544">
        <v>4511403</v>
      </c>
      <c r="F1544">
        <v>156316</v>
      </c>
      <c r="G1544" t="s">
        <v>899</v>
      </c>
      <c r="H1544" t="s">
        <v>1568</v>
      </c>
      <c r="I1544">
        <v>7</v>
      </c>
      <c r="J1544" t="b">
        <v>1</v>
      </c>
      <c r="K1544">
        <v>1.75</v>
      </c>
      <c r="L1544">
        <v>156315</v>
      </c>
      <c r="M1544" t="s">
        <v>901</v>
      </c>
      <c r="N1544">
        <v>4</v>
      </c>
      <c r="O1544">
        <v>4</v>
      </c>
      <c r="P1544"/>
      <c r="Q1544">
        <v>134905</v>
      </c>
      <c r="R1544">
        <v>1</v>
      </c>
      <c r="S1544" t="s">
        <v>40</v>
      </c>
      <c r="T1544">
        <v>261</v>
      </c>
      <c r="U1544">
        <v>147664</v>
      </c>
      <c r="V1544">
        <v>24</v>
      </c>
      <c r="W1544" t="s">
        <v>40</v>
      </c>
      <c r="X1544">
        <v>261</v>
      </c>
      <c r="Y1544" t="s">
        <v>377</v>
      </c>
      <c r="Z1544" t="s">
        <v>378</v>
      </c>
      <c r="AA1544" t="s">
        <v>379</v>
      </c>
      <c r="AB1544" t="s">
        <v>384</v>
      </c>
      <c r="AC1544" t="s">
        <v>41</v>
      </c>
      <c r="AD1544" t="s">
        <v>41</v>
      </c>
      <c r="AE1544" t="s">
        <v>41</v>
      </c>
      <c r="AF1544" t="s">
        <v>41</v>
      </c>
      <c r="AK1544"/>
    </row>
    <row r="1545" spans="1:38" x14ac:dyDescent="0.25">
      <c r="A1545" t="s">
        <v>39</v>
      </c>
      <c r="B1545">
        <v>46077.025393518517</v>
      </c>
      <c r="C1545">
        <v>91365</v>
      </c>
      <c r="D1545" t="s">
        <v>563</v>
      </c>
      <c r="E1545">
        <v>4511404</v>
      </c>
      <c r="F1545">
        <v>156316</v>
      </c>
      <c r="G1545" t="s">
        <v>899</v>
      </c>
      <c r="H1545" t="s">
        <v>1568</v>
      </c>
      <c r="I1545">
        <v>7</v>
      </c>
      <c r="J1545" t="b">
        <v>1</v>
      </c>
      <c r="K1545">
        <v>1.75</v>
      </c>
      <c r="L1545">
        <v>156315</v>
      </c>
      <c r="M1545" t="s">
        <v>901</v>
      </c>
      <c r="N1545">
        <v>4</v>
      </c>
      <c r="O1545">
        <v>4</v>
      </c>
      <c r="P1545"/>
      <c r="Q1545">
        <v>134906</v>
      </c>
      <c r="R1545">
        <v>1</v>
      </c>
      <c r="S1545" t="s">
        <v>40</v>
      </c>
      <c r="T1545">
        <v>261</v>
      </c>
      <c r="U1545">
        <v>147664</v>
      </c>
      <c r="V1545">
        <v>24</v>
      </c>
      <c r="W1545" t="s">
        <v>40</v>
      </c>
      <c r="X1545">
        <v>261</v>
      </c>
      <c r="Y1545" t="s">
        <v>377</v>
      </c>
      <c r="Z1545" t="s">
        <v>378</v>
      </c>
      <c r="AA1545" t="s">
        <v>379</v>
      </c>
      <c r="AB1545" t="s">
        <v>384</v>
      </c>
      <c r="AC1545" t="s">
        <v>41</v>
      </c>
      <c r="AD1545" t="s">
        <v>41</v>
      </c>
      <c r="AE1545" t="s">
        <v>41</v>
      </c>
      <c r="AF1545" t="s">
        <v>41</v>
      </c>
      <c r="AK1545"/>
    </row>
    <row r="1546" spans="1:38" x14ac:dyDescent="0.25">
      <c r="A1546" t="s">
        <v>43</v>
      </c>
      <c r="B1546">
        <v>46077.138726851852</v>
      </c>
      <c r="C1546">
        <v>92694</v>
      </c>
      <c r="D1546" t="s">
        <v>563</v>
      </c>
      <c r="E1546">
        <v>4510375</v>
      </c>
      <c r="F1546">
        <v>2308587</v>
      </c>
      <c r="G1546" t="s">
        <v>1614</v>
      </c>
      <c r="H1546" t="s">
        <v>1579</v>
      </c>
      <c r="I1546">
        <v>5</v>
      </c>
      <c r="J1546" t="b">
        <v>1</v>
      </c>
      <c r="K1546">
        <v>1.8518518518518517E-2</v>
      </c>
      <c r="L1546">
        <v>2305685</v>
      </c>
      <c r="M1546" t="s">
        <v>1615</v>
      </c>
      <c r="N1546">
        <v>270</v>
      </c>
      <c r="O1546">
        <v>270</v>
      </c>
      <c r="P1546"/>
      <c r="Q1546">
        <v>134976</v>
      </c>
      <c r="R1546">
        <v>1</v>
      </c>
      <c r="S1546" t="s">
        <v>40</v>
      </c>
      <c r="T1546">
        <v>261</v>
      </c>
      <c r="W1546"/>
      <c r="Y1546" t="s">
        <v>377</v>
      </c>
      <c r="Z1546" t="s">
        <v>378</v>
      </c>
      <c r="AA1546" t="s">
        <v>379</v>
      </c>
      <c r="AB1546" t="s">
        <v>1624</v>
      </c>
      <c r="AC1546" t="s">
        <v>41</v>
      </c>
      <c r="AD1546" t="s">
        <v>41</v>
      </c>
      <c r="AE1546" t="s">
        <v>41</v>
      </c>
      <c r="AF1546" t="s">
        <v>41</v>
      </c>
      <c r="AK1546"/>
    </row>
    <row r="1547" spans="1:38" x14ac:dyDescent="0.25">
      <c r="A1547" t="s">
        <v>45</v>
      </c>
      <c r="B1547">
        <v>46077.381550925929</v>
      </c>
      <c r="C1547">
        <v>90283</v>
      </c>
      <c r="D1547" t="s">
        <v>1617</v>
      </c>
      <c r="E1547">
        <v>4509780</v>
      </c>
      <c r="F1547">
        <v>2104716</v>
      </c>
      <c r="G1547" t="s">
        <v>1496</v>
      </c>
      <c r="H1547" t="s">
        <v>1564</v>
      </c>
      <c r="I1547">
        <v>3</v>
      </c>
      <c r="J1547" t="b">
        <v>1</v>
      </c>
      <c r="K1547">
        <v>9.3749999999999997E-3</v>
      </c>
      <c r="L1547">
        <v>2106042</v>
      </c>
      <c r="M1547" t="s">
        <v>1497</v>
      </c>
      <c r="N1547">
        <v>320</v>
      </c>
      <c r="O1547">
        <v>306</v>
      </c>
      <c r="P1547"/>
      <c r="Q1547">
        <v>134976</v>
      </c>
      <c r="R1547">
        <v>1</v>
      </c>
      <c r="S1547" t="s">
        <v>40</v>
      </c>
      <c r="T1547">
        <v>261</v>
      </c>
      <c r="W1547"/>
      <c r="Y1547" t="s">
        <v>377</v>
      </c>
      <c r="Z1547" t="s">
        <v>378</v>
      </c>
      <c r="AA1547" t="s">
        <v>379</v>
      </c>
      <c r="AB1547" t="s">
        <v>1625</v>
      </c>
      <c r="AC1547" t="s">
        <v>41</v>
      </c>
      <c r="AD1547" t="s">
        <v>41</v>
      </c>
      <c r="AE1547" t="s">
        <v>41</v>
      </c>
      <c r="AF1547" t="s">
        <v>41</v>
      </c>
      <c r="AK1547"/>
    </row>
    <row r="1548" spans="1:38" x14ac:dyDescent="0.25">
      <c r="A1548" t="s">
        <v>39</v>
      </c>
      <c r="B1548">
        <v>46077.649918981479</v>
      </c>
      <c r="C1548">
        <v>89711</v>
      </c>
      <c r="D1548" t="s">
        <v>1617</v>
      </c>
      <c r="E1548">
        <v>4513132</v>
      </c>
      <c r="F1548">
        <v>2104879</v>
      </c>
      <c r="G1548" t="s">
        <v>556</v>
      </c>
      <c r="H1548" t="s">
        <v>1576</v>
      </c>
      <c r="I1548">
        <v>5</v>
      </c>
      <c r="J1548" t="b">
        <v>1</v>
      </c>
      <c r="K1548">
        <v>1</v>
      </c>
      <c r="L1548">
        <v>2106199</v>
      </c>
      <c r="M1548" t="s">
        <v>558</v>
      </c>
      <c r="N1548">
        <v>5</v>
      </c>
      <c r="O1548">
        <v>5</v>
      </c>
      <c r="P1548"/>
      <c r="Q1548">
        <v>134907</v>
      </c>
      <c r="R1548">
        <v>1</v>
      </c>
      <c r="S1548" t="s">
        <v>40</v>
      </c>
      <c r="T1548">
        <v>261</v>
      </c>
      <c r="U1548">
        <v>147664</v>
      </c>
      <c r="V1548">
        <v>24</v>
      </c>
      <c r="W1548" t="s">
        <v>40</v>
      </c>
      <c r="X1548">
        <v>261</v>
      </c>
      <c r="Y1548" t="s">
        <v>377</v>
      </c>
      <c r="Z1548" t="s">
        <v>378</v>
      </c>
      <c r="AA1548" t="s">
        <v>379</v>
      </c>
      <c r="AB1548" t="s">
        <v>559</v>
      </c>
      <c r="AC1548" t="s">
        <v>41</v>
      </c>
      <c r="AD1548" t="s">
        <v>41</v>
      </c>
      <c r="AE1548" t="s">
        <v>41</v>
      </c>
      <c r="AF1548" t="s">
        <v>41</v>
      </c>
      <c r="AK1548"/>
    </row>
    <row r="1549" spans="1:38" x14ac:dyDescent="0.25">
      <c r="A1549" t="s">
        <v>39</v>
      </c>
      <c r="B1549">
        <v>46077.651377314818</v>
      </c>
      <c r="C1549">
        <v>89711</v>
      </c>
      <c r="D1549" t="s">
        <v>1617</v>
      </c>
      <c r="E1549">
        <v>4513131</v>
      </c>
      <c r="F1549">
        <v>2104879</v>
      </c>
      <c r="G1549" t="s">
        <v>556</v>
      </c>
      <c r="H1549" t="s">
        <v>1576</v>
      </c>
      <c r="I1549">
        <v>5</v>
      </c>
      <c r="J1549" t="b">
        <v>1</v>
      </c>
      <c r="K1549">
        <v>1.25</v>
      </c>
      <c r="L1549">
        <v>2106199</v>
      </c>
      <c r="M1549" t="s">
        <v>558</v>
      </c>
      <c r="N1549">
        <v>4</v>
      </c>
      <c r="O1549">
        <v>4</v>
      </c>
      <c r="P1549"/>
      <c r="Q1549">
        <v>134971</v>
      </c>
      <c r="R1549">
        <v>1</v>
      </c>
      <c r="S1549" t="s">
        <v>40</v>
      </c>
      <c r="T1549">
        <v>261</v>
      </c>
      <c r="U1549">
        <v>147664</v>
      </c>
      <c r="V1549">
        <v>24</v>
      </c>
      <c r="W1549" t="s">
        <v>40</v>
      </c>
      <c r="X1549">
        <v>261</v>
      </c>
      <c r="Y1549" t="s">
        <v>377</v>
      </c>
      <c r="Z1549" t="s">
        <v>378</v>
      </c>
      <c r="AA1549" t="s">
        <v>379</v>
      </c>
      <c r="AB1549" t="s">
        <v>384</v>
      </c>
      <c r="AC1549" t="s">
        <v>41</v>
      </c>
      <c r="AD1549" t="s">
        <v>41</v>
      </c>
      <c r="AE1549" t="s">
        <v>41</v>
      </c>
      <c r="AF1549" t="s">
        <v>41</v>
      </c>
      <c r="AK1549"/>
    </row>
    <row r="1550" spans="1:38" x14ac:dyDescent="0.25">
      <c r="A1550" t="s">
        <v>47</v>
      </c>
      <c r="B1550">
        <v>46077.850416666668</v>
      </c>
      <c r="C1550">
        <v>92699</v>
      </c>
      <c r="D1550" t="s">
        <v>843</v>
      </c>
      <c r="E1550">
        <v>4511143</v>
      </c>
      <c r="F1550">
        <v>2105497</v>
      </c>
      <c r="G1550" t="s">
        <v>1626</v>
      </c>
      <c r="H1550" t="s">
        <v>1554</v>
      </c>
      <c r="I1550">
        <v>3</v>
      </c>
      <c r="J1550" t="b">
        <v>1</v>
      </c>
      <c r="K1550">
        <v>1.4354066985645933E-2</v>
      </c>
      <c r="L1550">
        <v>2106753</v>
      </c>
      <c r="M1550" t="s">
        <v>1627</v>
      </c>
      <c r="N1550">
        <v>209</v>
      </c>
      <c r="O1550">
        <v>209</v>
      </c>
      <c r="P1550" t="s">
        <v>1628</v>
      </c>
      <c r="Q1550">
        <v>0</v>
      </c>
      <c r="R1550">
        <v>0</v>
      </c>
      <c r="S1550" t="s">
        <v>40</v>
      </c>
      <c r="T1550">
        <v>261</v>
      </c>
      <c r="W1550"/>
      <c r="Y1550" t="s">
        <v>377</v>
      </c>
      <c r="Z1550" t="s">
        <v>378</v>
      </c>
      <c r="AA1550" t="s">
        <v>379</v>
      </c>
      <c r="AB1550" t="s">
        <v>895</v>
      </c>
      <c r="AC1550" t="s">
        <v>41</v>
      </c>
      <c r="AD1550" t="s">
        <v>41</v>
      </c>
      <c r="AE1550" t="s">
        <v>41</v>
      </c>
      <c r="AF1550" t="s">
        <v>41</v>
      </c>
      <c r="AK1550"/>
    </row>
    <row r="1551" spans="1:38" x14ac:dyDescent="0.25">
      <c r="A1551" t="s">
        <v>43</v>
      </c>
      <c r="B1551">
        <v>46077.922696759262</v>
      </c>
      <c r="C1551">
        <v>91367</v>
      </c>
      <c r="D1551" t="s">
        <v>843</v>
      </c>
      <c r="E1551">
        <v>4511408</v>
      </c>
      <c r="F1551">
        <v>156292</v>
      </c>
      <c r="G1551" t="s">
        <v>46</v>
      </c>
      <c r="H1551" t="s">
        <v>1578</v>
      </c>
      <c r="I1551">
        <v>7</v>
      </c>
      <c r="J1551" t="b">
        <v>1</v>
      </c>
      <c r="K1551">
        <v>1.75</v>
      </c>
      <c r="L1551">
        <v>156291</v>
      </c>
      <c r="M1551" t="s">
        <v>433</v>
      </c>
      <c r="N1551">
        <v>4</v>
      </c>
      <c r="O1551">
        <v>8</v>
      </c>
      <c r="P1551"/>
      <c r="Q1551">
        <v>134906</v>
      </c>
      <c r="R1551">
        <v>1</v>
      </c>
      <c r="S1551" t="s">
        <v>40</v>
      </c>
      <c r="T1551">
        <v>261</v>
      </c>
      <c r="U1551">
        <v>147664</v>
      </c>
      <c r="V1551">
        <v>24</v>
      </c>
      <c r="W1551" t="s">
        <v>40</v>
      </c>
      <c r="X1551">
        <v>261</v>
      </c>
      <c r="Y1551" t="s">
        <v>377</v>
      </c>
      <c r="Z1551" t="s">
        <v>378</v>
      </c>
      <c r="AA1551" t="s">
        <v>379</v>
      </c>
      <c r="AB1551" t="s">
        <v>384</v>
      </c>
      <c r="AC1551" t="s">
        <v>41</v>
      </c>
      <c r="AD1551" t="s">
        <v>41</v>
      </c>
      <c r="AE1551" t="s">
        <v>41</v>
      </c>
      <c r="AF1551" t="s">
        <v>41</v>
      </c>
      <c r="AK1551"/>
    </row>
    <row r="1552" spans="1:38" x14ac:dyDescent="0.25">
      <c r="A1552" t="s">
        <v>43</v>
      </c>
      <c r="B1552">
        <v>46077.923587962963</v>
      </c>
      <c r="C1552">
        <v>91367</v>
      </c>
      <c r="D1552" t="s">
        <v>843</v>
      </c>
      <c r="E1552">
        <v>4511407</v>
      </c>
      <c r="F1552">
        <v>156292</v>
      </c>
      <c r="G1552" t="s">
        <v>46</v>
      </c>
      <c r="H1552" t="s">
        <v>1578</v>
      </c>
      <c r="I1552">
        <v>7</v>
      </c>
      <c r="J1552" t="b">
        <v>1</v>
      </c>
      <c r="K1552">
        <v>1.75</v>
      </c>
      <c r="L1552">
        <v>156291</v>
      </c>
      <c r="M1552" t="s">
        <v>433</v>
      </c>
      <c r="N1552">
        <v>4</v>
      </c>
      <c r="O1552">
        <v>4</v>
      </c>
      <c r="P1552"/>
      <c r="Q1552">
        <v>134906</v>
      </c>
      <c r="R1552">
        <v>1</v>
      </c>
      <c r="S1552" t="s">
        <v>40</v>
      </c>
      <c r="T1552">
        <v>261</v>
      </c>
      <c r="U1552">
        <v>147664</v>
      </c>
      <c r="V1552">
        <v>24</v>
      </c>
      <c r="W1552" t="s">
        <v>40</v>
      </c>
      <c r="X1552">
        <v>261</v>
      </c>
      <c r="Y1552" t="s">
        <v>377</v>
      </c>
      <c r="Z1552" t="s">
        <v>378</v>
      </c>
      <c r="AA1552" t="s">
        <v>379</v>
      </c>
      <c r="AB1552" t="s">
        <v>384</v>
      </c>
      <c r="AC1552" t="s">
        <v>41</v>
      </c>
      <c r="AD1552" t="s">
        <v>41</v>
      </c>
      <c r="AE1552" t="s">
        <v>41</v>
      </c>
      <c r="AF1552" t="s">
        <v>41</v>
      </c>
      <c r="AK1552"/>
    </row>
    <row r="1553" spans="1:38" x14ac:dyDescent="0.25">
      <c r="A1553" t="s">
        <v>37</v>
      </c>
      <c r="B1553">
        <v>46078.18341435185</v>
      </c>
      <c r="C1553">
        <v>92703</v>
      </c>
      <c r="D1553" t="s">
        <v>843</v>
      </c>
      <c r="E1553">
        <v>4507365</v>
      </c>
      <c r="F1553">
        <v>2310135</v>
      </c>
      <c r="G1553" t="s">
        <v>1052</v>
      </c>
      <c r="H1553" t="s">
        <v>1629</v>
      </c>
      <c r="I1553">
        <v>64.3</v>
      </c>
      <c r="J1553" t="b">
        <v>1</v>
      </c>
      <c r="K1553">
        <v>0.16034912718204489</v>
      </c>
      <c r="L1553">
        <v>2310136</v>
      </c>
      <c r="M1553" t="s">
        <v>1053</v>
      </c>
      <c r="N1553">
        <v>401</v>
      </c>
      <c r="O1553">
        <v>401</v>
      </c>
      <c r="P1553"/>
      <c r="Q1553">
        <v>134974</v>
      </c>
      <c r="R1553">
        <v>1</v>
      </c>
      <c r="S1553" t="s">
        <v>40</v>
      </c>
      <c r="T1553">
        <v>261</v>
      </c>
      <c r="W1553"/>
      <c r="Y1553" t="s">
        <v>377</v>
      </c>
      <c r="Z1553" t="s">
        <v>378</v>
      </c>
      <c r="AA1553" t="s">
        <v>379</v>
      </c>
      <c r="AB1553" t="s">
        <v>1630</v>
      </c>
      <c r="AC1553" t="s">
        <v>41</v>
      </c>
      <c r="AD1553" t="s">
        <v>41</v>
      </c>
      <c r="AE1553" t="s">
        <v>41</v>
      </c>
      <c r="AF1553" t="s">
        <v>41</v>
      </c>
      <c r="AK1553"/>
    </row>
    <row r="1554" spans="1:38" x14ac:dyDescent="0.25">
      <c r="A1554" t="s">
        <v>42</v>
      </c>
      <c r="B1554">
        <v>46078.197430555556</v>
      </c>
      <c r="C1554">
        <v>90285</v>
      </c>
      <c r="D1554" t="s">
        <v>843</v>
      </c>
      <c r="E1554">
        <v>4489421</v>
      </c>
      <c r="F1554">
        <v>2104737</v>
      </c>
      <c r="G1554" t="s">
        <v>1631</v>
      </c>
      <c r="H1554" t="s">
        <v>1554</v>
      </c>
      <c r="I1554">
        <v>5</v>
      </c>
      <c r="J1554" t="b">
        <v>1</v>
      </c>
      <c r="K1554">
        <v>7.3529411764705885E-2</v>
      </c>
      <c r="L1554">
        <v>2106060</v>
      </c>
      <c r="M1554" t="s">
        <v>1632</v>
      </c>
      <c r="N1554">
        <v>68</v>
      </c>
      <c r="O1554">
        <v>68</v>
      </c>
      <c r="P1554"/>
      <c r="Q1554">
        <v>134976</v>
      </c>
      <c r="R1554">
        <v>1</v>
      </c>
      <c r="S1554" t="s">
        <v>40</v>
      </c>
      <c r="T1554">
        <v>261</v>
      </c>
      <c r="W1554"/>
      <c r="Y1554" t="s">
        <v>377</v>
      </c>
      <c r="Z1554" t="s">
        <v>378</v>
      </c>
      <c r="AA1554" t="s">
        <v>379</v>
      </c>
      <c r="AB1554" t="s">
        <v>1502</v>
      </c>
      <c r="AC1554" t="s">
        <v>41</v>
      </c>
      <c r="AD1554" t="s">
        <v>41</v>
      </c>
      <c r="AE1554" t="s">
        <v>41</v>
      </c>
      <c r="AF1554" t="s">
        <v>41</v>
      </c>
      <c r="AK1554"/>
    </row>
    <row r="1555" spans="1:38" x14ac:dyDescent="0.25">
      <c r="A1555" t="s">
        <v>42</v>
      </c>
      <c r="B1555">
        <v>46078.215046296296</v>
      </c>
      <c r="C1555">
        <v>90284</v>
      </c>
      <c r="D1555" t="s">
        <v>843</v>
      </c>
      <c r="E1555">
        <v>4489433</v>
      </c>
      <c r="F1555">
        <v>2104649</v>
      </c>
      <c r="G1555" t="s">
        <v>1633</v>
      </c>
      <c r="H1555" t="s">
        <v>1554</v>
      </c>
      <c r="I1555">
        <v>5</v>
      </c>
      <c r="J1555" t="b">
        <v>1</v>
      </c>
      <c r="K1555">
        <v>3.1847133757961783E-2</v>
      </c>
      <c r="L1555">
        <v>2105986</v>
      </c>
      <c r="M1555" t="s">
        <v>1634</v>
      </c>
      <c r="N1555">
        <v>157</v>
      </c>
      <c r="O1555">
        <v>157</v>
      </c>
      <c r="P1555"/>
      <c r="Q1555">
        <v>134976</v>
      </c>
      <c r="R1555">
        <v>1</v>
      </c>
      <c r="S1555" t="s">
        <v>40</v>
      </c>
      <c r="T1555">
        <v>261</v>
      </c>
      <c r="W1555"/>
      <c r="Y1555" t="s">
        <v>377</v>
      </c>
      <c r="Z1555" t="s">
        <v>378</v>
      </c>
      <c r="AA1555" t="s">
        <v>379</v>
      </c>
      <c r="AB1555" t="s">
        <v>1121</v>
      </c>
      <c r="AC1555" t="s">
        <v>41</v>
      </c>
      <c r="AD1555" t="s">
        <v>41</v>
      </c>
      <c r="AE1555" t="s">
        <v>41</v>
      </c>
      <c r="AF1555" t="s">
        <v>41</v>
      </c>
      <c r="AK1555"/>
    </row>
    <row r="1556" spans="1:38" x14ac:dyDescent="0.25">
      <c r="A1556" t="s">
        <v>42</v>
      </c>
      <c r="B1556">
        <v>46078.611932870372</v>
      </c>
      <c r="C1556">
        <v>92708</v>
      </c>
      <c r="D1556" t="s">
        <v>373</v>
      </c>
      <c r="E1556">
        <v>4508571</v>
      </c>
      <c r="F1556">
        <v>2300533</v>
      </c>
      <c r="G1556" t="s">
        <v>1221</v>
      </c>
      <c r="H1556" t="s">
        <v>1554</v>
      </c>
      <c r="I1556">
        <v>2.5</v>
      </c>
      <c r="J1556" t="b">
        <v>1</v>
      </c>
      <c r="K1556">
        <v>1.3440860215053764E-2</v>
      </c>
      <c r="L1556">
        <v>2300534</v>
      </c>
      <c r="M1556" t="s">
        <v>1222</v>
      </c>
      <c r="N1556">
        <v>186</v>
      </c>
      <c r="O1556">
        <v>171</v>
      </c>
      <c r="P1556"/>
      <c r="Q1556">
        <v>134974</v>
      </c>
      <c r="R1556">
        <v>1</v>
      </c>
      <c r="S1556" t="s">
        <v>40</v>
      </c>
      <c r="T1556">
        <v>261</v>
      </c>
      <c r="W1556"/>
      <c r="Y1556" t="s">
        <v>377</v>
      </c>
      <c r="Z1556" t="s">
        <v>378</v>
      </c>
      <c r="AA1556" t="s">
        <v>379</v>
      </c>
      <c r="AB1556" t="s">
        <v>892</v>
      </c>
      <c r="AC1556" t="s">
        <v>41</v>
      </c>
      <c r="AD1556" t="s">
        <v>41</v>
      </c>
      <c r="AE1556" t="s">
        <v>41</v>
      </c>
      <c r="AF1556" t="s">
        <v>41</v>
      </c>
      <c r="AK1556"/>
    </row>
    <row r="1557" spans="1:38" x14ac:dyDescent="0.25">
      <c r="A1557" t="s">
        <v>39</v>
      </c>
      <c r="B1557">
        <v>46078.636574074073</v>
      </c>
      <c r="C1557">
        <v>92707</v>
      </c>
      <c r="D1557" t="s">
        <v>373</v>
      </c>
      <c r="E1557">
        <v>4512998</v>
      </c>
      <c r="F1557">
        <v>2105771</v>
      </c>
      <c r="G1557" t="s">
        <v>1635</v>
      </c>
      <c r="H1557" t="s">
        <v>1554</v>
      </c>
      <c r="I1557">
        <v>3</v>
      </c>
      <c r="J1557" t="b">
        <v>1</v>
      </c>
      <c r="K1557">
        <v>1.4285714285714285E-2</v>
      </c>
      <c r="L1557">
        <v>2107023</v>
      </c>
      <c r="M1557" t="s">
        <v>1636</v>
      </c>
      <c r="N1557">
        <v>210</v>
      </c>
      <c r="O1557">
        <v>220</v>
      </c>
      <c r="P1557"/>
      <c r="Q1557">
        <v>134976</v>
      </c>
      <c r="R1557">
        <v>1</v>
      </c>
      <c r="S1557" t="s">
        <v>40</v>
      </c>
      <c r="T1557">
        <v>261</v>
      </c>
      <c r="W1557"/>
      <c r="Y1557" t="s">
        <v>377</v>
      </c>
      <c r="Z1557" t="s">
        <v>378</v>
      </c>
      <c r="AA1557" t="s">
        <v>379</v>
      </c>
      <c r="AB1557" t="s">
        <v>636</v>
      </c>
      <c r="AC1557" t="s">
        <v>41</v>
      </c>
      <c r="AD1557" t="s">
        <v>41</v>
      </c>
      <c r="AE1557" t="s">
        <v>41</v>
      </c>
      <c r="AF1557" t="s">
        <v>41</v>
      </c>
      <c r="AK1557"/>
    </row>
    <row r="1558" spans="1:38" x14ac:dyDescent="0.25">
      <c r="A1558" t="s">
        <v>38</v>
      </c>
      <c r="B1558">
        <v>46078.652546296296</v>
      </c>
      <c r="C1558">
        <v>91401</v>
      </c>
      <c r="D1558" t="s">
        <v>373</v>
      </c>
      <c r="E1558">
        <v>4512095</v>
      </c>
      <c r="F1558">
        <v>160991</v>
      </c>
      <c r="G1558" t="s">
        <v>1507</v>
      </c>
      <c r="H1558" t="s">
        <v>1568</v>
      </c>
      <c r="I1558">
        <v>14</v>
      </c>
      <c r="J1558" t="b">
        <v>1</v>
      </c>
      <c r="K1558">
        <v>1.75</v>
      </c>
      <c r="L1558">
        <v>160988</v>
      </c>
      <c r="M1558" t="s">
        <v>1508</v>
      </c>
      <c r="N1558">
        <v>8</v>
      </c>
      <c r="O1558">
        <v>7</v>
      </c>
      <c r="P1558"/>
      <c r="Q1558">
        <v>134905</v>
      </c>
      <c r="R1558">
        <v>1</v>
      </c>
      <c r="S1558" t="s">
        <v>40</v>
      </c>
      <c r="T1558">
        <v>261</v>
      </c>
      <c r="U1558">
        <v>147664</v>
      </c>
      <c r="V1558">
        <v>48</v>
      </c>
      <c r="W1558" t="s">
        <v>40</v>
      </c>
      <c r="X1558">
        <v>261</v>
      </c>
      <c r="Y1558" t="s">
        <v>377</v>
      </c>
      <c r="Z1558" t="s">
        <v>378</v>
      </c>
      <c r="AA1558" t="s">
        <v>384</v>
      </c>
      <c r="AB1558" t="s">
        <v>384</v>
      </c>
      <c r="AC1558" t="s">
        <v>41</v>
      </c>
      <c r="AD1558" t="s">
        <v>41</v>
      </c>
      <c r="AE1558" t="s">
        <v>41</v>
      </c>
      <c r="AF1558" t="s">
        <v>41</v>
      </c>
      <c r="AI1558">
        <v>155687</v>
      </c>
      <c r="AJ1558">
        <v>1</v>
      </c>
      <c r="AK1558" t="s">
        <v>40</v>
      </c>
      <c r="AL1558">
        <v>261</v>
      </c>
    </row>
    <row r="1559" spans="1:38" x14ac:dyDescent="0.25">
      <c r="A1559" t="s">
        <v>37</v>
      </c>
      <c r="B1559">
        <v>46078.799143518518</v>
      </c>
      <c r="C1559">
        <v>89712</v>
      </c>
      <c r="D1559" t="s">
        <v>866</v>
      </c>
      <c r="E1559">
        <v>4507625</v>
      </c>
      <c r="F1559">
        <v>156695</v>
      </c>
      <c r="G1559" t="s">
        <v>1336</v>
      </c>
      <c r="H1559" t="s">
        <v>1563</v>
      </c>
      <c r="I1559">
        <v>10</v>
      </c>
      <c r="J1559" t="b">
        <v>1</v>
      </c>
      <c r="K1559">
        <v>1.25</v>
      </c>
      <c r="L1559">
        <v>156696</v>
      </c>
      <c r="M1559" t="s">
        <v>1337</v>
      </c>
      <c r="N1559">
        <v>8</v>
      </c>
      <c r="O1559">
        <v>8</v>
      </c>
      <c r="P1559"/>
      <c r="Q1559">
        <v>134906</v>
      </c>
      <c r="R1559">
        <v>1</v>
      </c>
      <c r="S1559" t="s">
        <v>40</v>
      </c>
      <c r="T1559">
        <v>261</v>
      </c>
      <c r="U1559">
        <v>147664</v>
      </c>
      <c r="V1559">
        <v>48</v>
      </c>
      <c r="W1559" t="s">
        <v>40</v>
      </c>
      <c r="X1559">
        <v>261</v>
      </c>
      <c r="Y1559" t="s">
        <v>377</v>
      </c>
      <c r="Z1559" t="s">
        <v>378</v>
      </c>
      <c r="AA1559" t="s">
        <v>379</v>
      </c>
      <c r="AB1559" t="s">
        <v>384</v>
      </c>
      <c r="AC1559" t="s">
        <v>379</v>
      </c>
      <c r="AD1559" t="s">
        <v>384</v>
      </c>
      <c r="AE1559" t="s">
        <v>41</v>
      </c>
      <c r="AF1559" t="s">
        <v>41</v>
      </c>
      <c r="AI1559">
        <v>134906</v>
      </c>
      <c r="AJ1559">
        <v>1</v>
      </c>
      <c r="AK1559" t="s">
        <v>40</v>
      </c>
      <c r="AL1559">
        <v>261</v>
      </c>
    </row>
    <row r="1560" spans="1:38" x14ac:dyDescent="0.25">
      <c r="A1560" t="s">
        <v>39</v>
      </c>
      <c r="B1560">
        <v>46079.020173611112</v>
      </c>
      <c r="C1560">
        <v>92749</v>
      </c>
      <c r="D1560" t="s">
        <v>866</v>
      </c>
      <c r="E1560">
        <v>4511932</v>
      </c>
      <c r="F1560">
        <v>2311126</v>
      </c>
      <c r="G1560" t="s">
        <v>1637</v>
      </c>
      <c r="H1560" t="s">
        <v>1554</v>
      </c>
      <c r="I1560">
        <v>2.5</v>
      </c>
      <c r="J1560" t="b">
        <v>1</v>
      </c>
      <c r="K1560">
        <v>1.3888888888888888E-2</v>
      </c>
      <c r="L1560">
        <v>2311127</v>
      </c>
      <c r="M1560" t="s">
        <v>1638</v>
      </c>
      <c r="N1560">
        <v>180</v>
      </c>
      <c r="O1560">
        <v>171</v>
      </c>
      <c r="P1560"/>
      <c r="Q1560">
        <v>134974</v>
      </c>
      <c r="R1560">
        <v>1</v>
      </c>
      <c r="S1560" t="s">
        <v>40</v>
      </c>
      <c r="T1560">
        <v>261</v>
      </c>
      <c r="W1560"/>
      <c r="Y1560" t="s">
        <v>377</v>
      </c>
      <c r="Z1560" t="s">
        <v>378</v>
      </c>
      <c r="AA1560" t="s">
        <v>379</v>
      </c>
      <c r="AB1560" t="s">
        <v>839</v>
      </c>
      <c r="AC1560" t="s">
        <v>41</v>
      </c>
      <c r="AD1560" t="s">
        <v>41</v>
      </c>
      <c r="AE1560" t="s">
        <v>41</v>
      </c>
      <c r="AF1560" t="s">
        <v>41</v>
      </c>
      <c r="AK1560"/>
    </row>
    <row r="1561" spans="1:38" x14ac:dyDescent="0.25">
      <c r="A1561" t="s">
        <v>43</v>
      </c>
      <c r="B1561">
        <v>46079.120925925927</v>
      </c>
      <c r="C1561">
        <v>91369</v>
      </c>
      <c r="D1561" t="s">
        <v>866</v>
      </c>
      <c r="E1561">
        <v>4511410</v>
      </c>
      <c r="F1561">
        <v>156292</v>
      </c>
      <c r="G1561" t="s">
        <v>46</v>
      </c>
      <c r="H1561" t="s">
        <v>1568</v>
      </c>
      <c r="I1561">
        <v>7</v>
      </c>
      <c r="J1561" t="b">
        <v>1</v>
      </c>
      <c r="K1561">
        <v>1.75</v>
      </c>
      <c r="L1561">
        <v>156291</v>
      </c>
      <c r="M1561" t="s">
        <v>433</v>
      </c>
      <c r="N1561">
        <v>4</v>
      </c>
      <c r="O1561">
        <v>8</v>
      </c>
      <c r="P1561"/>
      <c r="Q1561">
        <v>134905</v>
      </c>
      <c r="R1561">
        <v>1</v>
      </c>
      <c r="S1561" t="s">
        <v>40</v>
      </c>
      <c r="T1561">
        <v>261</v>
      </c>
      <c r="U1561">
        <v>147664</v>
      </c>
      <c r="V1561">
        <v>24</v>
      </c>
      <c r="W1561" t="s">
        <v>40</v>
      </c>
      <c r="X1561">
        <v>261</v>
      </c>
      <c r="Y1561" t="s">
        <v>377</v>
      </c>
      <c r="Z1561" t="s">
        <v>378</v>
      </c>
      <c r="AA1561" t="s">
        <v>379</v>
      </c>
      <c r="AB1561" t="s">
        <v>384</v>
      </c>
      <c r="AC1561" t="s">
        <v>41</v>
      </c>
      <c r="AD1561" t="s">
        <v>41</v>
      </c>
      <c r="AE1561" t="s">
        <v>41</v>
      </c>
      <c r="AF1561" t="s">
        <v>41</v>
      </c>
      <c r="AK1561"/>
    </row>
    <row r="1562" spans="1:38" x14ac:dyDescent="0.25">
      <c r="A1562" t="s">
        <v>43</v>
      </c>
      <c r="B1562">
        <v>46079.122002314813</v>
      </c>
      <c r="C1562">
        <v>91369</v>
      </c>
      <c r="D1562" t="s">
        <v>866</v>
      </c>
      <c r="E1562">
        <v>4511409</v>
      </c>
      <c r="F1562">
        <v>156292</v>
      </c>
      <c r="G1562" t="s">
        <v>46</v>
      </c>
      <c r="H1562" t="s">
        <v>1568</v>
      </c>
      <c r="I1562">
        <v>7</v>
      </c>
      <c r="J1562" t="b">
        <v>1</v>
      </c>
      <c r="K1562">
        <v>1.75</v>
      </c>
      <c r="L1562">
        <v>156291</v>
      </c>
      <c r="M1562" t="s">
        <v>433</v>
      </c>
      <c r="N1562">
        <v>4</v>
      </c>
      <c r="O1562">
        <v>4</v>
      </c>
      <c r="P1562"/>
      <c r="Q1562">
        <v>134905</v>
      </c>
      <c r="R1562">
        <v>1</v>
      </c>
      <c r="S1562" t="s">
        <v>40</v>
      </c>
      <c r="T1562">
        <v>261</v>
      </c>
      <c r="U1562">
        <v>147664</v>
      </c>
      <c r="V1562">
        <v>24</v>
      </c>
      <c r="W1562" t="s">
        <v>40</v>
      </c>
      <c r="X1562">
        <v>261</v>
      </c>
      <c r="Y1562" t="s">
        <v>377</v>
      </c>
      <c r="Z1562" t="s">
        <v>378</v>
      </c>
      <c r="AA1562" t="s">
        <v>379</v>
      </c>
      <c r="AB1562" t="s">
        <v>384</v>
      </c>
      <c r="AC1562" t="s">
        <v>41</v>
      </c>
      <c r="AD1562" t="s">
        <v>41</v>
      </c>
      <c r="AE1562" t="s">
        <v>41</v>
      </c>
      <c r="AF1562" t="s">
        <v>41</v>
      </c>
      <c r="AK1562"/>
    </row>
    <row r="1563" spans="1:38" x14ac:dyDescent="0.25">
      <c r="A1563" t="s">
        <v>48</v>
      </c>
      <c r="B1563">
        <v>46079.520150462966</v>
      </c>
      <c r="C1563">
        <v>92704</v>
      </c>
      <c r="D1563" t="s">
        <v>373</v>
      </c>
      <c r="E1563">
        <v>4507366</v>
      </c>
      <c r="F1563">
        <v>2310135</v>
      </c>
      <c r="G1563" t="s">
        <v>1052</v>
      </c>
      <c r="H1563" t="s">
        <v>1639</v>
      </c>
      <c r="I1563">
        <v>64.3</v>
      </c>
      <c r="J1563" t="b">
        <v>1</v>
      </c>
      <c r="K1563">
        <v>0.15058548009367681</v>
      </c>
      <c r="L1563">
        <v>2310136</v>
      </c>
      <c r="M1563" t="s">
        <v>1053</v>
      </c>
      <c r="N1563">
        <v>427</v>
      </c>
      <c r="O1563">
        <v>402</v>
      </c>
      <c r="P1563"/>
      <c r="Q1563">
        <v>134974</v>
      </c>
      <c r="R1563">
        <v>1</v>
      </c>
      <c r="S1563" t="s">
        <v>40</v>
      </c>
      <c r="T1563">
        <v>261</v>
      </c>
      <c r="W1563"/>
      <c r="Y1563" t="s">
        <v>377</v>
      </c>
      <c r="Z1563" t="s">
        <v>378</v>
      </c>
      <c r="AA1563" t="s">
        <v>379</v>
      </c>
      <c r="AB1563" t="s">
        <v>1640</v>
      </c>
      <c r="AC1563" t="s">
        <v>41</v>
      </c>
      <c r="AD1563" t="s">
        <v>41</v>
      </c>
      <c r="AE1563" t="s">
        <v>41</v>
      </c>
      <c r="AF1563" t="s">
        <v>41</v>
      </c>
      <c r="AK1563"/>
    </row>
    <row r="1564" spans="1:38" x14ac:dyDescent="0.25">
      <c r="A1564" t="s">
        <v>38</v>
      </c>
      <c r="B1564">
        <v>46079.581180555557</v>
      </c>
      <c r="C1564">
        <v>91400</v>
      </c>
      <c r="D1564" t="s">
        <v>373</v>
      </c>
      <c r="E1564">
        <v>4509601</v>
      </c>
      <c r="F1564">
        <v>2304758</v>
      </c>
      <c r="G1564" t="s">
        <v>402</v>
      </c>
      <c r="H1564" t="s">
        <v>1622</v>
      </c>
      <c r="I1564">
        <v>14</v>
      </c>
      <c r="J1564" t="b">
        <v>1</v>
      </c>
      <c r="K1564">
        <v>1.75</v>
      </c>
      <c r="L1564">
        <v>2304759</v>
      </c>
      <c r="M1564" t="s">
        <v>404</v>
      </c>
      <c r="N1564">
        <v>8</v>
      </c>
      <c r="O1564">
        <v>8</v>
      </c>
      <c r="P1564"/>
      <c r="Q1564">
        <v>155687</v>
      </c>
      <c r="R1564">
        <v>1</v>
      </c>
      <c r="S1564" t="s">
        <v>40</v>
      </c>
      <c r="T1564">
        <v>261</v>
      </c>
      <c r="U1564">
        <v>147664</v>
      </c>
      <c r="V1564">
        <v>48</v>
      </c>
      <c r="W1564" t="s">
        <v>40</v>
      </c>
      <c r="X1564">
        <v>261</v>
      </c>
      <c r="Y1564" t="s">
        <v>377</v>
      </c>
      <c r="Z1564" t="s">
        <v>378</v>
      </c>
      <c r="AA1564" t="s">
        <v>384</v>
      </c>
      <c r="AB1564" t="s">
        <v>384</v>
      </c>
      <c r="AC1564" t="s">
        <v>41</v>
      </c>
      <c r="AD1564" t="s">
        <v>41</v>
      </c>
      <c r="AE1564" t="s">
        <v>41</v>
      </c>
      <c r="AF1564" t="s">
        <v>41</v>
      </c>
      <c r="AI1564">
        <v>155687</v>
      </c>
      <c r="AJ1564">
        <v>1</v>
      </c>
      <c r="AK1564" t="s">
        <v>40</v>
      </c>
      <c r="AL1564">
        <v>261</v>
      </c>
    </row>
    <row r="1565" spans="1:38" x14ac:dyDescent="0.25">
      <c r="A1565" t="s">
        <v>39</v>
      </c>
      <c r="B1565">
        <v>46079.63559027778</v>
      </c>
      <c r="C1565">
        <v>89713</v>
      </c>
      <c r="D1565" t="s">
        <v>373</v>
      </c>
      <c r="E1565">
        <v>4511044</v>
      </c>
      <c r="F1565">
        <v>156695</v>
      </c>
      <c r="G1565" t="s">
        <v>1336</v>
      </c>
      <c r="H1565" t="s">
        <v>1578</v>
      </c>
      <c r="I1565">
        <v>10</v>
      </c>
      <c r="J1565" t="b">
        <v>1</v>
      </c>
      <c r="K1565">
        <v>1.25</v>
      </c>
      <c r="L1565">
        <v>156696</v>
      </c>
      <c r="M1565" t="s">
        <v>1337</v>
      </c>
      <c r="N1565">
        <v>8</v>
      </c>
      <c r="O1565">
        <v>8</v>
      </c>
      <c r="P1565"/>
      <c r="Q1565">
        <v>134905</v>
      </c>
      <c r="R1565">
        <v>1</v>
      </c>
      <c r="S1565" t="s">
        <v>40</v>
      </c>
      <c r="T1565">
        <v>261</v>
      </c>
      <c r="U1565">
        <v>147664</v>
      </c>
      <c r="V1565">
        <v>48</v>
      </c>
      <c r="W1565" t="s">
        <v>40</v>
      </c>
      <c r="X1565">
        <v>261</v>
      </c>
      <c r="Y1565" t="s">
        <v>377</v>
      </c>
      <c r="Z1565" t="s">
        <v>378</v>
      </c>
      <c r="AA1565" t="s">
        <v>384</v>
      </c>
      <c r="AB1565" t="s">
        <v>384</v>
      </c>
      <c r="AC1565" t="s">
        <v>41</v>
      </c>
      <c r="AD1565" t="s">
        <v>41</v>
      </c>
      <c r="AE1565" t="s">
        <v>41</v>
      </c>
      <c r="AF1565" t="s">
        <v>41</v>
      </c>
      <c r="AI1565">
        <v>134905</v>
      </c>
      <c r="AJ1565">
        <v>1</v>
      </c>
      <c r="AK1565" t="s">
        <v>40</v>
      </c>
      <c r="AL1565">
        <v>261</v>
      </c>
    </row>
    <row r="1566" spans="1:38" x14ac:dyDescent="0.25">
      <c r="A1566" t="s">
        <v>47</v>
      </c>
      <c r="B1566">
        <v>46079.737835648149</v>
      </c>
      <c r="C1566">
        <v>90286</v>
      </c>
      <c r="D1566" t="s">
        <v>373</v>
      </c>
      <c r="E1566">
        <v>4511233</v>
      </c>
      <c r="F1566">
        <v>2104715</v>
      </c>
      <c r="G1566" t="s">
        <v>1512</v>
      </c>
      <c r="H1566" t="s">
        <v>1563</v>
      </c>
      <c r="I1566">
        <v>3</v>
      </c>
      <c r="J1566" t="b">
        <v>1</v>
      </c>
      <c r="K1566">
        <v>9.4043887147335428E-3</v>
      </c>
      <c r="L1566">
        <v>2106041</v>
      </c>
      <c r="M1566" t="s">
        <v>1513</v>
      </c>
      <c r="N1566">
        <v>319</v>
      </c>
      <c r="O1566">
        <v>302</v>
      </c>
      <c r="P1566"/>
      <c r="Q1566">
        <v>134976</v>
      </c>
      <c r="R1566">
        <v>1</v>
      </c>
      <c r="S1566" t="s">
        <v>40</v>
      </c>
      <c r="T1566">
        <v>261</v>
      </c>
      <c r="W1566"/>
      <c r="Y1566" t="s">
        <v>377</v>
      </c>
      <c r="Z1566" t="s">
        <v>378</v>
      </c>
      <c r="AA1566" t="s">
        <v>379</v>
      </c>
      <c r="AB1566" t="s">
        <v>419</v>
      </c>
      <c r="AC1566" t="s">
        <v>41</v>
      </c>
      <c r="AD1566" t="s">
        <v>41</v>
      </c>
      <c r="AE1566" t="s">
        <v>41</v>
      </c>
      <c r="AF1566" t="s">
        <v>41</v>
      </c>
      <c r="AK1566"/>
    </row>
    <row r="1567" spans="1:38" x14ac:dyDescent="0.25">
      <c r="A1567" t="s">
        <v>45</v>
      </c>
      <c r="B1567">
        <v>46080.122581018521</v>
      </c>
      <c r="C1567">
        <v>92705</v>
      </c>
      <c r="D1567" t="s">
        <v>1025</v>
      </c>
      <c r="E1567">
        <v>4507367</v>
      </c>
      <c r="F1567">
        <v>2310135</v>
      </c>
      <c r="G1567" t="s">
        <v>1052</v>
      </c>
      <c r="H1567" t="s">
        <v>1641</v>
      </c>
      <c r="I1567">
        <v>64.3</v>
      </c>
      <c r="J1567" t="b">
        <v>1</v>
      </c>
      <c r="K1567">
        <v>0.15569007263922519</v>
      </c>
      <c r="L1567">
        <v>2310136</v>
      </c>
      <c r="M1567" t="s">
        <v>1053</v>
      </c>
      <c r="N1567">
        <v>413</v>
      </c>
      <c r="O1567">
        <v>398</v>
      </c>
      <c r="P1567"/>
      <c r="Q1567">
        <v>134974</v>
      </c>
      <c r="R1567">
        <v>1</v>
      </c>
      <c r="S1567" t="s">
        <v>40</v>
      </c>
      <c r="T1567">
        <v>261</v>
      </c>
      <c r="W1567"/>
      <c r="Y1567" t="s">
        <v>377</v>
      </c>
      <c r="Z1567" t="s">
        <v>378</v>
      </c>
      <c r="AA1567" t="s">
        <v>379</v>
      </c>
      <c r="AB1567" t="s">
        <v>1061</v>
      </c>
      <c r="AC1567" t="s">
        <v>41</v>
      </c>
      <c r="AD1567" t="s">
        <v>41</v>
      </c>
      <c r="AE1567" t="s">
        <v>41</v>
      </c>
      <c r="AF1567" t="s">
        <v>41</v>
      </c>
      <c r="AK1567"/>
    </row>
    <row r="1568" spans="1:38" x14ac:dyDescent="0.25">
      <c r="A1568" t="s">
        <v>37</v>
      </c>
      <c r="B1568">
        <v>46080.215925925928</v>
      </c>
      <c r="C1568">
        <v>92750</v>
      </c>
      <c r="D1568" t="s">
        <v>1025</v>
      </c>
      <c r="E1568">
        <v>4510375</v>
      </c>
      <c r="F1568">
        <v>2308587</v>
      </c>
      <c r="G1568" t="s">
        <v>1614</v>
      </c>
      <c r="H1568" t="s">
        <v>1579</v>
      </c>
      <c r="I1568">
        <v>5</v>
      </c>
      <c r="J1568" t="b">
        <v>1</v>
      </c>
      <c r="K1568">
        <v>3.3557046979865772E-2</v>
      </c>
      <c r="L1568">
        <v>2305685</v>
      </c>
      <c r="M1568" t="s">
        <v>1615</v>
      </c>
      <c r="N1568">
        <v>149</v>
      </c>
      <c r="O1568">
        <v>131</v>
      </c>
      <c r="P1568"/>
      <c r="Q1568">
        <v>134976</v>
      </c>
      <c r="R1568">
        <v>1</v>
      </c>
      <c r="S1568" t="s">
        <v>40</v>
      </c>
      <c r="T1568">
        <v>261</v>
      </c>
      <c r="W1568"/>
      <c r="Y1568" t="s">
        <v>377</v>
      </c>
      <c r="Z1568" t="s">
        <v>378</v>
      </c>
      <c r="AA1568" t="s">
        <v>379</v>
      </c>
      <c r="AB1568" t="s">
        <v>1406</v>
      </c>
      <c r="AC1568" t="s">
        <v>41</v>
      </c>
      <c r="AD1568" t="s">
        <v>41</v>
      </c>
      <c r="AE1568" t="s">
        <v>41</v>
      </c>
      <c r="AF1568" t="s">
        <v>41</v>
      </c>
      <c r="AK1568"/>
    </row>
    <row r="1569" spans="1:38" x14ac:dyDescent="0.25">
      <c r="A1569" t="s">
        <v>37</v>
      </c>
      <c r="B1569">
        <v>46080.930439814816</v>
      </c>
      <c r="C1569">
        <v>89714</v>
      </c>
      <c r="D1569" t="s">
        <v>843</v>
      </c>
      <c r="E1569">
        <v>4495240</v>
      </c>
      <c r="F1569">
        <v>107142</v>
      </c>
      <c r="G1569" t="s">
        <v>741</v>
      </c>
      <c r="H1569" t="s">
        <v>1554</v>
      </c>
      <c r="I1569">
        <v>10</v>
      </c>
      <c r="J1569" t="b">
        <v>1</v>
      </c>
      <c r="K1569">
        <v>1.25</v>
      </c>
      <c r="L1569">
        <v>107143</v>
      </c>
      <c r="M1569" t="s">
        <v>743</v>
      </c>
      <c r="N1569">
        <v>8</v>
      </c>
      <c r="O1569">
        <v>8</v>
      </c>
      <c r="P1569"/>
      <c r="Q1569">
        <v>134905</v>
      </c>
      <c r="R1569">
        <v>1</v>
      </c>
      <c r="S1569" t="s">
        <v>40</v>
      </c>
      <c r="T1569">
        <v>261</v>
      </c>
      <c r="U1569">
        <v>147664</v>
      </c>
      <c r="V1569">
        <v>24</v>
      </c>
      <c r="W1569" t="s">
        <v>40</v>
      </c>
      <c r="X1569">
        <v>261</v>
      </c>
      <c r="Y1569" t="s">
        <v>377</v>
      </c>
      <c r="Z1569" t="s">
        <v>378</v>
      </c>
      <c r="AA1569" t="s">
        <v>384</v>
      </c>
      <c r="AB1569" t="s">
        <v>384</v>
      </c>
      <c r="AC1569" t="s">
        <v>41</v>
      </c>
      <c r="AD1569" t="s">
        <v>41</v>
      </c>
      <c r="AE1569" t="s">
        <v>41</v>
      </c>
      <c r="AF1569" t="s">
        <v>41</v>
      </c>
      <c r="AK1569"/>
    </row>
    <row r="1570" spans="1:38" x14ac:dyDescent="0.25">
      <c r="A1570" t="s">
        <v>43</v>
      </c>
      <c r="B1570">
        <v>46080.948796296296</v>
      </c>
      <c r="C1570">
        <v>91371</v>
      </c>
      <c r="D1570" t="s">
        <v>843</v>
      </c>
      <c r="E1570">
        <v>4512221</v>
      </c>
      <c r="F1570">
        <v>113677</v>
      </c>
      <c r="G1570" t="s">
        <v>687</v>
      </c>
      <c r="H1570" t="s">
        <v>1578</v>
      </c>
      <c r="I1570">
        <v>14</v>
      </c>
      <c r="J1570" t="b">
        <v>1</v>
      </c>
      <c r="K1570">
        <v>1.75</v>
      </c>
      <c r="L1570">
        <v>113679</v>
      </c>
      <c r="M1570" t="s">
        <v>689</v>
      </c>
      <c r="N1570">
        <v>8</v>
      </c>
      <c r="O1570">
        <v>8</v>
      </c>
      <c r="P1570"/>
      <c r="Q1570">
        <v>134905</v>
      </c>
      <c r="R1570">
        <v>1</v>
      </c>
      <c r="S1570" t="s">
        <v>40</v>
      </c>
      <c r="T1570">
        <v>261</v>
      </c>
      <c r="U1570">
        <v>147664</v>
      </c>
      <c r="V1570">
        <v>48</v>
      </c>
      <c r="W1570" t="s">
        <v>40</v>
      </c>
      <c r="X1570">
        <v>261</v>
      </c>
      <c r="Y1570" t="s">
        <v>377</v>
      </c>
      <c r="Z1570" t="s">
        <v>378</v>
      </c>
      <c r="AA1570" t="s">
        <v>384</v>
      </c>
      <c r="AB1570" t="s">
        <v>384</v>
      </c>
      <c r="AC1570" t="s">
        <v>41</v>
      </c>
      <c r="AD1570" t="s">
        <v>41</v>
      </c>
      <c r="AE1570" t="s">
        <v>41</v>
      </c>
      <c r="AF1570" t="s">
        <v>41</v>
      </c>
      <c r="AI1570">
        <v>134905</v>
      </c>
      <c r="AJ1570">
        <v>1</v>
      </c>
      <c r="AK1570" t="s">
        <v>40</v>
      </c>
      <c r="AL1570">
        <v>261</v>
      </c>
    </row>
    <row r="1571" spans="1:38" x14ac:dyDescent="0.25">
      <c r="A1571" t="s">
        <v>44</v>
      </c>
      <c r="B1571">
        <v>46081.139780092592</v>
      </c>
      <c r="C1571">
        <v>92706</v>
      </c>
      <c r="D1571" t="s">
        <v>843</v>
      </c>
      <c r="E1571">
        <v>4507368</v>
      </c>
      <c r="F1571">
        <v>2310135</v>
      </c>
      <c r="G1571" t="s">
        <v>1052</v>
      </c>
      <c r="H1571" t="s">
        <v>1642</v>
      </c>
      <c r="I1571">
        <v>64.3</v>
      </c>
      <c r="J1571" t="b">
        <v>1</v>
      </c>
      <c r="K1571">
        <v>0.16075</v>
      </c>
      <c r="L1571">
        <v>2310136</v>
      </c>
      <c r="M1571" t="s">
        <v>1053</v>
      </c>
      <c r="N1571">
        <v>400</v>
      </c>
      <c r="O1571">
        <v>400</v>
      </c>
      <c r="P1571"/>
      <c r="Q1571">
        <v>134974</v>
      </c>
      <c r="R1571">
        <v>1</v>
      </c>
      <c r="S1571" t="s">
        <v>40</v>
      </c>
      <c r="T1571">
        <v>261</v>
      </c>
      <c r="W1571"/>
      <c r="Y1571" t="s">
        <v>377</v>
      </c>
      <c r="Z1571" t="s">
        <v>378</v>
      </c>
      <c r="AA1571" t="s">
        <v>379</v>
      </c>
      <c r="AB1571" t="s">
        <v>1079</v>
      </c>
      <c r="AC1571" t="s">
        <v>41</v>
      </c>
      <c r="AD1571" t="s">
        <v>41</v>
      </c>
      <c r="AE1571" t="s">
        <v>41</v>
      </c>
      <c r="AF1571" t="s">
        <v>41</v>
      </c>
      <c r="AK1571"/>
    </row>
    <row r="1572" spans="1:38" x14ac:dyDescent="0.25">
      <c r="A1572" t="s">
        <v>39</v>
      </c>
      <c r="B1572">
        <v>46081.179247685184</v>
      </c>
      <c r="C1572">
        <v>92751</v>
      </c>
      <c r="D1572" t="s">
        <v>843</v>
      </c>
      <c r="E1572">
        <v>4510376</v>
      </c>
      <c r="F1572">
        <v>2308587</v>
      </c>
      <c r="G1572" t="s">
        <v>1614</v>
      </c>
      <c r="H1572" t="s">
        <v>1582</v>
      </c>
      <c r="I1572">
        <v>5</v>
      </c>
      <c r="J1572" t="b">
        <v>1</v>
      </c>
      <c r="K1572">
        <v>1.1904761904761904E-2</v>
      </c>
      <c r="L1572">
        <v>2305685</v>
      </c>
      <c r="M1572" t="s">
        <v>1615</v>
      </c>
      <c r="N1572">
        <v>420</v>
      </c>
      <c r="O1572">
        <v>420</v>
      </c>
      <c r="P1572"/>
      <c r="Q1572">
        <v>134976</v>
      </c>
      <c r="R1572">
        <v>2</v>
      </c>
      <c r="S1572" t="s">
        <v>40</v>
      </c>
      <c r="T1572">
        <v>261</v>
      </c>
      <c r="W1572"/>
      <c r="Y1572" t="s">
        <v>377</v>
      </c>
      <c r="Z1572" t="s">
        <v>378</v>
      </c>
      <c r="AA1572" t="s">
        <v>379</v>
      </c>
      <c r="AB1572" t="s">
        <v>957</v>
      </c>
      <c r="AC1572" t="s">
        <v>379</v>
      </c>
      <c r="AD1572" t="s">
        <v>595</v>
      </c>
      <c r="AE1572" t="s">
        <v>41</v>
      </c>
      <c r="AF1572" t="s">
        <v>41</v>
      </c>
      <c r="AK1572"/>
    </row>
    <row r="1573" spans="1:38" x14ac:dyDescent="0.25">
      <c r="A1573" t="s">
        <v>47</v>
      </c>
      <c r="B1573">
        <v>46081.213993055557</v>
      </c>
      <c r="C1573">
        <v>90287</v>
      </c>
      <c r="D1573" t="s">
        <v>843</v>
      </c>
      <c r="E1573">
        <v>4511234</v>
      </c>
      <c r="F1573">
        <v>2104715</v>
      </c>
      <c r="G1573" t="s">
        <v>1512</v>
      </c>
      <c r="H1573" t="s">
        <v>1578</v>
      </c>
      <c r="I1573">
        <v>3</v>
      </c>
      <c r="J1573" t="b">
        <v>1</v>
      </c>
      <c r="K1573">
        <v>9.8039215686274508E-3</v>
      </c>
      <c r="L1573">
        <v>2106041</v>
      </c>
      <c r="M1573" t="s">
        <v>1513</v>
      </c>
      <c r="N1573">
        <v>306</v>
      </c>
      <c r="O1573">
        <v>306</v>
      </c>
      <c r="P1573"/>
      <c r="Q1573">
        <v>134976</v>
      </c>
      <c r="R1573">
        <v>1</v>
      </c>
      <c r="S1573" t="s">
        <v>40</v>
      </c>
      <c r="T1573">
        <v>261</v>
      </c>
      <c r="W1573"/>
      <c r="Y1573" t="s">
        <v>377</v>
      </c>
      <c r="Z1573" t="s">
        <v>378</v>
      </c>
      <c r="AA1573" t="s">
        <v>379</v>
      </c>
      <c r="AB1573" t="s">
        <v>869</v>
      </c>
      <c r="AC1573" t="s">
        <v>41</v>
      </c>
      <c r="AD1573" t="s">
        <v>41</v>
      </c>
      <c r="AE1573" t="s">
        <v>41</v>
      </c>
      <c r="AF1573" t="s">
        <v>41</v>
      </c>
      <c r="AK1573"/>
    </row>
    <row r="1574" spans="1:38" x14ac:dyDescent="0.25">
      <c r="A1574" t="s">
        <v>38</v>
      </c>
      <c r="B1574">
        <v>46081.558796296296</v>
      </c>
      <c r="C1574">
        <v>91372</v>
      </c>
      <c r="D1574" t="s">
        <v>1530</v>
      </c>
      <c r="E1574">
        <v>4494188</v>
      </c>
      <c r="F1574">
        <v>160850</v>
      </c>
      <c r="G1574" t="s">
        <v>1643</v>
      </c>
      <c r="H1574" t="s">
        <v>1644</v>
      </c>
      <c r="I1574">
        <v>14</v>
      </c>
      <c r="J1574" t="b">
        <v>0</v>
      </c>
      <c r="K1574">
        <v>1.75</v>
      </c>
      <c r="L1574">
        <v>160851</v>
      </c>
      <c r="M1574" t="s">
        <v>1645</v>
      </c>
      <c r="N1574">
        <v>8</v>
      </c>
      <c r="O1574">
        <v>8</v>
      </c>
      <c r="P1574"/>
      <c r="Q1574">
        <v>134906</v>
      </c>
      <c r="R1574">
        <v>1</v>
      </c>
      <c r="S1574" t="s">
        <v>40</v>
      </c>
      <c r="T1574">
        <v>261</v>
      </c>
      <c r="U1574">
        <v>147664</v>
      </c>
      <c r="V1574">
        <v>48</v>
      </c>
      <c r="W1574" t="s">
        <v>40</v>
      </c>
      <c r="X1574">
        <v>261</v>
      </c>
      <c r="Y1574" t="s">
        <v>377</v>
      </c>
      <c r="Z1574" t="s">
        <v>378</v>
      </c>
      <c r="AA1574" t="s">
        <v>384</v>
      </c>
      <c r="AB1574" t="s">
        <v>384</v>
      </c>
      <c r="AC1574" t="s">
        <v>41</v>
      </c>
      <c r="AD1574" t="s">
        <v>41</v>
      </c>
      <c r="AE1574" t="s">
        <v>41</v>
      </c>
      <c r="AF1574" t="s">
        <v>41</v>
      </c>
      <c r="AI1574">
        <v>134906</v>
      </c>
      <c r="AJ1574">
        <v>1</v>
      </c>
      <c r="AK1574" t="s">
        <v>40</v>
      </c>
      <c r="AL1574">
        <v>261</v>
      </c>
    </row>
    <row r="1575" spans="1:38" x14ac:dyDescent="0.25">
      <c r="A1575" t="s">
        <v>38</v>
      </c>
      <c r="B1575">
        <v>46081.5621875</v>
      </c>
      <c r="C1575">
        <v>91372</v>
      </c>
      <c r="D1575" t="s">
        <v>1530</v>
      </c>
      <c r="E1575">
        <v>4494188</v>
      </c>
      <c r="F1575">
        <v>160850</v>
      </c>
      <c r="G1575" t="s">
        <v>1643</v>
      </c>
      <c r="H1575" t="s">
        <v>1554</v>
      </c>
      <c r="I1575">
        <v>14</v>
      </c>
      <c r="J1575" t="b">
        <v>1</v>
      </c>
      <c r="K1575">
        <v>1.75</v>
      </c>
      <c r="L1575">
        <v>160851</v>
      </c>
      <c r="M1575" t="s">
        <v>1645</v>
      </c>
      <c r="N1575">
        <v>8</v>
      </c>
      <c r="O1575">
        <v>8</v>
      </c>
      <c r="P1575"/>
      <c r="Q1575">
        <v>134906</v>
      </c>
      <c r="R1575">
        <v>1</v>
      </c>
      <c r="S1575" t="s">
        <v>40</v>
      </c>
      <c r="T1575">
        <v>261</v>
      </c>
      <c r="U1575">
        <v>147664</v>
      </c>
      <c r="V1575">
        <v>48</v>
      </c>
      <c r="W1575" t="s">
        <v>40</v>
      </c>
      <c r="X1575">
        <v>261</v>
      </c>
      <c r="Y1575" t="s">
        <v>377</v>
      </c>
      <c r="Z1575" t="s">
        <v>378</v>
      </c>
      <c r="AA1575" t="s">
        <v>384</v>
      </c>
      <c r="AB1575" t="s">
        <v>384</v>
      </c>
      <c r="AC1575" t="s">
        <v>41</v>
      </c>
      <c r="AD1575" t="s">
        <v>41</v>
      </c>
      <c r="AE1575" t="s">
        <v>41</v>
      </c>
      <c r="AF1575" t="s">
        <v>41</v>
      </c>
      <c r="AI1575">
        <v>134906</v>
      </c>
      <c r="AJ1575">
        <v>1</v>
      </c>
      <c r="AK1575" t="s">
        <v>40</v>
      </c>
      <c r="AL1575">
        <v>261</v>
      </c>
    </row>
    <row r="1576" spans="1:38" x14ac:dyDescent="0.25">
      <c r="A1576" t="s">
        <v>43</v>
      </c>
      <c r="B1576">
        <v>46081.619189814817</v>
      </c>
      <c r="C1576">
        <v>92752</v>
      </c>
      <c r="D1576" t="s">
        <v>1530</v>
      </c>
      <c r="E1576">
        <v>4510377</v>
      </c>
      <c r="F1576">
        <v>2308587</v>
      </c>
      <c r="G1576" t="s">
        <v>1614</v>
      </c>
      <c r="H1576" t="s">
        <v>1564</v>
      </c>
      <c r="I1576">
        <v>5</v>
      </c>
      <c r="J1576" t="b">
        <v>1</v>
      </c>
      <c r="K1576">
        <v>1.8382352941176471E-2</v>
      </c>
      <c r="L1576">
        <v>2305685</v>
      </c>
      <c r="M1576" t="s">
        <v>1615</v>
      </c>
      <c r="N1576">
        <v>272</v>
      </c>
      <c r="O1576">
        <v>272</v>
      </c>
      <c r="P1576"/>
      <c r="Q1576">
        <v>134976</v>
      </c>
      <c r="R1576">
        <v>1</v>
      </c>
      <c r="S1576" t="s">
        <v>40</v>
      </c>
      <c r="T1576">
        <v>261</v>
      </c>
      <c r="W1576"/>
      <c r="Y1576" t="s">
        <v>377</v>
      </c>
      <c r="Z1576" t="s">
        <v>378</v>
      </c>
      <c r="AA1576" t="s">
        <v>379</v>
      </c>
      <c r="AB1576" t="s">
        <v>1646</v>
      </c>
      <c r="AC1576" t="s">
        <v>41</v>
      </c>
      <c r="AD1576" t="s">
        <v>41</v>
      </c>
      <c r="AE1576" t="s">
        <v>41</v>
      </c>
      <c r="AF1576" t="s">
        <v>41</v>
      </c>
      <c r="AK1576"/>
    </row>
    <row r="1577" spans="1:38" x14ac:dyDescent="0.25">
      <c r="A1577" t="s">
        <v>37</v>
      </c>
      <c r="B1577">
        <v>46081.680590277778</v>
      </c>
      <c r="C1577">
        <v>89715</v>
      </c>
      <c r="D1577" t="s">
        <v>1530</v>
      </c>
      <c r="E1577">
        <v>4507635</v>
      </c>
      <c r="F1577">
        <v>107142</v>
      </c>
      <c r="G1577" t="s">
        <v>741</v>
      </c>
      <c r="H1577" t="s">
        <v>1579</v>
      </c>
      <c r="I1577">
        <v>10</v>
      </c>
      <c r="J1577" t="b">
        <v>1</v>
      </c>
      <c r="K1577">
        <v>1.25</v>
      </c>
      <c r="L1577">
        <v>107143</v>
      </c>
      <c r="M1577" t="s">
        <v>743</v>
      </c>
      <c r="N1577">
        <v>8</v>
      </c>
      <c r="O1577">
        <v>8</v>
      </c>
      <c r="P1577"/>
      <c r="Q1577">
        <v>134906</v>
      </c>
      <c r="R1577">
        <v>1</v>
      </c>
      <c r="S1577" t="s">
        <v>40</v>
      </c>
      <c r="T1577">
        <v>261</v>
      </c>
      <c r="U1577">
        <v>147664</v>
      </c>
      <c r="V1577">
        <v>48</v>
      </c>
      <c r="W1577" t="s">
        <v>40</v>
      </c>
      <c r="X1577">
        <v>261</v>
      </c>
      <c r="Y1577" t="s">
        <v>377</v>
      </c>
      <c r="Z1577" t="s">
        <v>378</v>
      </c>
      <c r="AA1577" t="s">
        <v>384</v>
      </c>
      <c r="AB1577" t="s">
        <v>384</v>
      </c>
      <c r="AC1577" t="s">
        <v>41</v>
      </c>
      <c r="AD1577" t="s">
        <v>41</v>
      </c>
      <c r="AE1577" t="s">
        <v>41</v>
      </c>
      <c r="AF1577" t="s">
        <v>41</v>
      </c>
      <c r="AI1577">
        <v>134906</v>
      </c>
      <c r="AJ1577">
        <v>1</v>
      </c>
      <c r="AK1577" t="s">
        <v>40</v>
      </c>
      <c r="AL1577">
        <v>261</v>
      </c>
    </row>
    <row r="1578" spans="1:38" x14ac:dyDescent="0.25">
      <c r="A1578" t="s">
        <v>44</v>
      </c>
      <c r="B1578">
        <v>46082.099085648151</v>
      </c>
      <c r="C1578">
        <v>93438</v>
      </c>
      <c r="D1578" t="s">
        <v>682</v>
      </c>
      <c r="E1578">
        <v>4512096</v>
      </c>
      <c r="F1578">
        <v>160991</v>
      </c>
      <c r="G1578" t="s">
        <v>1507</v>
      </c>
      <c r="H1578" t="s">
        <v>1573</v>
      </c>
      <c r="I1578">
        <v>7</v>
      </c>
      <c r="J1578" t="b">
        <v>1</v>
      </c>
      <c r="K1578">
        <v>0.875</v>
      </c>
      <c r="L1578">
        <v>160988</v>
      </c>
      <c r="M1578" t="s">
        <v>1508</v>
      </c>
      <c r="N1578">
        <v>8</v>
      </c>
      <c r="O1578">
        <v>8</v>
      </c>
      <c r="P1578"/>
      <c r="Q1578">
        <v>134905</v>
      </c>
      <c r="R1578">
        <v>1</v>
      </c>
      <c r="S1578" t="s">
        <v>40</v>
      </c>
      <c r="T1578">
        <v>261</v>
      </c>
      <c r="U1578">
        <v>147664</v>
      </c>
      <c r="V1578">
        <v>48</v>
      </c>
      <c r="W1578" t="s">
        <v>40</v>
      </c>
      <c r="X1578">
        <v>261</v>
      </c>
      <c r="Y1578" t="s">
        <v>377</v>
      </c>
      <c r="Z1578" t="s">
        <v>378</v>
      </c>
      <c r="AA1578" t="s">
        <v>379</v>
      </c>
      <c r="AB1578" t="s">
        <v>384</v>
      </c>
      <c r="AC1578" t="s">
        <v>379</v>
      </c>
      <c r="AD1578" t="s">
        <v>384</v>
      </c>
      <c r="AE1578" t="s">
        <v>41</v>
      </c>
      <c r="AF1578" t="s">
        <v>41</v>
      </c>
      <c r="AI1578">
        <v>134905</v>
      </c>
      <c r="AJ1578">
        <v>1</v>
      </c>
      <c r="AK1578" t="s">
        <v>40</v>
      </c>
      <c r="AL1578">
        <v>261</v>
      </c>
    </row>
    <row r="1579" spans="1:38" x14ac:dyDescent="0.25">
      <c r="A1579" t="s">
        <v>42</v>
      </c>
      <c r="B1579">
        <v>46082.189247685186</v>
      </c>
      <c r="C1579">
        <v>92710</v>
      </c>
      <c r="D1579" t="s">
        <v>682</v>
      </c>
      <c r="E1579">
        <v>4507369</v>
      </c>
      <c r="F1579">
        <v>2310135</v>
      </c>
      <c r="G1579" t="s">
        <v>1052</v>
      </c>
      <c r="H1579" t="s">
        <v>1647</v>
      </c>
      <c r="I1579">
        <v>64.3</v>
      </c>
      <c r="J1579" t="b">
        <v>1</v>
      </c>
      <c r="K1579">
        <v>0.15798525798525798</v>
      </c>
      <c r="L1579">
        <v>2310136</v>
      </c>
      <c r="M1579" t="s">
        <v>1053</v>
      </c>
      <c r="N1579">
        <v>407</v>
      </c>
      <c r="O1579">
        <v>407</v>
      </c>
      <c r="P1579"/>
      <c r="Q1579">
        <v>134908</v>
      </c>
      <c r="R1579">
        <v>1</v>
      </c>
      <c r="S1579" t="s">
        <v>40</v>
      </c>
      <c r="T1579">
        <v>261</v>
      </c>
      <c r="U1579">
        <v>147664</v>
      </c>
      <c r="V1579">
        <v>24</v>
      </c>
      <c r="W1579" t="s">
        <v>40</v>
      </c>
      <c r="X1579">
        <v>261</v>
      </c>
      <c r="Y1579" t="s">
        <v>377</v>
      </c>
      <c r="Z1579" t="s">
        <v>378</v>
      </c>
      <c r="AA1579" t="s">
        <v>379</v>
      </c>
      <c r="AB1579" t="s">
        <v>1157</v>
      </c>
      <c r="AC1579" t="s">
        <v>41</v>
      </c>
      <c r="AD1579" t="s">
        <v>41</v>
      </c>
      <c r="AE1579" t="s">
        <v>41</v>
      </c>
      <c r="AF1579" t="s">
        <v>41</v>
      </c>
      <c r="AK1579"/>
    </row>
    <row r="1580" spans="1:38" x14ac:dyDescent="0.25">
      <c r="A1580" t="s">
        <v>37</v>
      </c>
      <c r="B1580">
        <v>46082.5312962963</v>
      </c>
      <c r="C1580">
        <v>91374</v>
      </c>
      <c r="D1580" t="s">
        <v>393</v>
      </c>
      <c r="E1580">
        <v>4512229</v>
      </c>
      <c r="F1580">
        <v>160850</v>
      </c>
      <c r="G1580" t="s">
        <v>1643</v>
      </c>
      <c r="H1580" t="s">
        <v>1579</v>
      </c>
      <c r="I1580">
        <v>14</v>
      </c>
      <c r="J1580" t="b">
        <v>1</v>
      </c>
      <c r="K1580">
        <v>1.75</v>
      </c>
      <c r="L1580">
        <v>160851</v>
      </c>
      <c r="M1580" t="s">
        <v>1645</v>
      </c>
      <c r="N1580">
        <v>8</v>
      </c>
      <c r="O1580">
        <v>8</v>
      </c>
      <c r="P1580"/>
      <c r="Q1580">
        <v>134906</v>
      </c>
      <c r="R1580">
        <v>1</v>
      </c>
      <c r="S1580" t="s">
        <v>40</v>
      </c>
      <c r="T1580">
        <v>261</v>
      </c>
      <c r="U1580">
        <v>147664</v>
      </c>
      <c r="V1580">
        <v>48</v>
      </c>
      <c r="W1580" t="s">
        <v>40</v>
      </c>
      <c r="X1580">
        <v>261</v>
      </c>
      <c r="Y1580" t="s">
        <v>377</v>
      </c>
      <c r="Z1580" t="s">
        <v>378</v>
      </c>
      <c r="AA1580" t="s">
        <v>384</v>
      </c>
      <c r="AB1580" t="s">
        <v>384</v>
      </c>
      <c r="AC1580" t="s">
        <v>41</v>
      </c>
      <c r="AD1580" t="s">
        <v>41</v>
      </c>
      <c r="AE1580" t="s">
        <v>41</v>
      </c>
      <c r="AF1580" t="s">
        <v>41</v>
      </c>
      <c r="AI1580">
        <v>134906</v>
      </c>
      <c r="AJ1580">
        <v>1</v>
      </c>
      <c r="AK1580" t="s">
        <v>40</v>
      </c>
      <c r="AL1580">
        <v>261</v>
      </c>
    </row>
    <row r="1581" spans="1:38" x14ac:dyDescent="0.25">
      <c r="A1581" t="s">
        <v>42</v>
      </c>
      <c r="B1581">
        <v>46082.812245370369</v>
      </c>
      <c r="C1581">
        <v>89717</v>
      </c>
      <c r="D1581" t="s">
        <v>563</v>
      </c>
      <c r="E1581">
        <v>4513016</v>
      </c>
      <c r="F1581">
        <v>2104880</v>
      </c>
      <c r="G1581" t="s">
        <v>577</v>
      </c>
      <c r="H1581" t="s">
        <v>1584</v>
      </c>
      <c r="I1581">
        <v>4.5</v>
      </c>
      <c r="J1581" t="b">
        <v>1</v>
      </c>
      <c r="K1581">
        <v>1.125</v>
      </c>
      <c r="L1581">
        <v>2106200</v>
      </c>
      <c r="M1581" t="s">
        <v>579</v>
      </c>
      <c r="N1581">
        <v>4</v>
      </c>
      <c r="O1581">
        <v>4</v>
      </c>
      <c r="P1581"/>
      <c r="Q1581">
        <v>134905</v>
      </c>
      <c r="R1581">
        <v>1</v>
      </c>
      <c r="S1581" t="s">
        <v>40</v>
      </c>
      <c r="T1581">
        <v>261</v>
      </c>
      <c r="U1581">
        <v>147664</v>
      </c>
      <c r="V1581">
        <v>24</v>
      </c>
      <c r="W1581" t="s">
        <v>40</v>
      </c>
      <c r="X1581">
        <v>261</v>
      </c>
      <c r="Y1581" t="s">
        <v>377</v>
      </c>
      <c r="Z1581" t="s">
        <v>378</v>
      </c>
      <c r="AA1581" t="s">
        <v>379</v>
      </c>
      <c r="AB1581" t="s">
        <v>384</v>
      </c>
      <c r="AC1581" t="s">
        <v>41</v>
      </c>
      <c r="AD1581" t="s">
        <v>41</v>
      </c>
      <c r="AE1581" t="s">
        <v>41</v>
      </c>
      <c r="AF1581" t="s">
        <v>41</v>
      </c>
      <c r="AK1581"/>
    </row>
    <row r="1582" spans="1:38" x14ac:dyDescent="0.25">
      <c r="A1582" t="s">
        <v>42</v>
      </c>
      <c r="B1582">
        <v>46082.813078703701</v>
      </c>
      <c r="C1582">
        <v>89717</v>
      </c>
      <c r="D1582" t="s">
        <v>563</v>
      </c>
      <c r="E1582">
        <v>4513017</v>
      </c>
      <c r="F1582">
        <v>2104880</v>
      </c>
      <c r="G1582" t="s">
        <v>577</v>
      </c>
      <c r="H1582" t="s">
        <v>1584</v>
      </c>
      <c r="I1582">
        <v>5.5</v>
      </c>
      <c r="J1582" t="b">
        <v>1</v>
      </c>
      <c r="K1582">
        <v>1.1000000000000001</v>
      </c>
      <c r="L1582">
        <v>2106200</v>
      </c>
      <c r="M1582" t="s">
        <v>579</v>
      </c>
      <c r="N1582">
        <v>5</v>
      </c>
      <c r="O1582">
        <v>5</v>
      </c>
      <c r="P1582"/>
      <c r="Q1582">
        <v>134905</v>
      </c>
      <c r="R1582">
        <v>1</v>
      </c>
      <c r="S1582" t="s">
        <v>40</v>
      </c>
      <c r="T1582">
        <v>261</v>
      </c>
      <c r="U1582">
        <v>147664</v>
      </c>
      <c r="V1582">
        <v>24</v>
      </c>
      <c r="W1582" t="s">
        <v>40</v>
      </c>
      <c r="X1582">
        <v>261</v>
      </c>
      <c r="Y1582" t="s">
        <v>377</v>
      </c>
      <c r="Z1582" t="s">
        <v>378</v>
      </c>
      <c r="AA1582" t="s">
        <v>379</v>
      </c>
      <c r="AB1582" t="s">
        <v>559</v>
      </c>
      <c r="AC1582" t="s">
        <v>41</v>
      </c>
      <c r="AD1582" t="s">
        <v>41</v>
      </c>
      <c r="AE1582" t="s">
        <v>41</v>
      </c>
      <c r="AF1582" t="s">
        <v>41</v>
      </c>
      <c r="AK1582"/>
    </row>
    <row r="1583" spans="1:38" x14ac:dyDescent="0.25">
      <c r="A1583" t="s">
        <v>47</v>
      </c>
      <c r="B1583">
        <v>46083.056620370371</v>
      </c>
      <c r="C1583">
        <v>90289</v>
      </c>
      <c r="D1583" t="s">
        <v>563</v>
      </c>
      <c r="E1583">
        <v>4512607</v>
      </c>
      <c r="F1583">
        <v>2104655</v>
      </c>
      <c r="G1583" t="s">
        <v>1487</v>
      </c>
      <c r="H1583" t="s">
        <v>1584</v>
      </c>
      <c r="I1583">
        <v>4</v>
      </c>
      <c r="J1583" t="b">
        <v>1</v>
      </c>
      <c r="K1583">
        <v>1.3333333333333334E-2</v>
      </c>
      <c r="L1583">
        <v>2105992</v>
      </c>
      <c r="M1583" t="s">
        <v>1488</v>
      </c>
      <c r="N1583">
        <v>300</v>
      </c>
      <c r="O1583">
        <v>300</v>
      </c>
      <c r="P1583"/>
      <c r="Q1583">
        <v>134976</v>
      </c>
      <c r="R1583">
        <v>1</v>
      </c>
      <c r="S1583" t="s">
        <v>40</v>
      </c>
      <c r="T1583">
        <v>261</v>
      </c>
      <c r="W1583"/>
      <c r="Y1583" t="s">
        <v>377</v>
      </c>
      <c r="Z1583" t="s">
        <v>378</v>
      </c>
      <c r="AA1583" t="s">
        <v>379</v>
      </c>
      <c r="AB1583" t="s">
        <v>1522</v>
      </c>
      <c r="AC1583" t="s">
        <v>41</v>
      </c>
      <c r="AD1583" t="s">
        <v>41</v>
      </c>
      <c r="AE1583" t="s">
        <v>41</v>
      </c>
      <c r="AF1583" t="s">
        <v>41</v>
      </c>
      <c r="AK1583"/>
    </row>
    <row r="1584" spans="1:38" x14ac:dyDescent="0.25">
      <c r="A1584" t="s">
        <v>38</v>
      </c>
      <c r="B1584">
        <v>46083.448831018519</v>
      </c>
      <c r="C1584">
        <v>93434</v>
      </c>
      <c r="D1584" t="s">
        <v>457</v>
      </c>
      <c r="E1584">
        <v>4509602</v>
      </c>
      <c r="F1584">
        <v>2304758</v>
      </c>
      <c r="G1584" t="s">
        <v>402</v>
      </c>
      <c r="H1584" t="s">
        <v>1576</v>
      </c>
      <c r="I1584">
        <v>14</v>
      </c>
      <c r="J1584" t="b">
        <v>1</v>
      </c>
      <c r="K1584">
        <v>1.75</v>
      </c>
      <c r="L1584">
        <v>2304759</v>
      </c>
      <c r="M1584" t="s">
        <v>404</v>
      </c>
      <c r="N1584">
        <v>8</v>
      </c>
      <c r="O1584">
        <v>8</v>
      </c>
      <c r="P1584"/>
      <c r="Q1584">
        <v>155687</v>
      </c>
      <c r="R1584">
        <v>2</v>
      </c>
      <c r="S1584" t="s">
        <v>40</v>
      </c>
      <c r="T1584">
        <v>261</v>
      </c>
      <c r="U1584">
        <v>147664</v>
      </c>
      <c r="V1584">
        <v>48</v>
      </c>
      <c r="W1584" t="s">
        <v>40</v>
      </c>
      <c r="X1584">
        <v>261</v>
      </c>
      <c r="Y1584" t="s">
        <v>377</v>
      </c>
      <c r="Z1584" t="s">
        <v>378</v>
      </c>
      <c r="AA1584" t="s">
        <v>379</v>
      </c>
      <c r="AB1584" t="s">
        <v>400</v>
      </c>
      <c r="AC1584" t="s">
        <v>41</v>
      </c>
      <c r="AD1584" t="s">
        <v>41</v>
      </c>
      <c r="AE1584" t="s">
        <v>41</v>
      </c>
      <c r="AF1584" t="s">
        <v>41</v>
      </c>
      <c r="AK1584"/>
    </row>
    <row r="1585" spans="1:38" x14ac:dyDescent="0.25">
      <c r="A1585" t="s">
        <v>38</v>
      </c>
      <c r="B1585">
        <v>46083.57849537037</v>
      </c>
      <c r="C1585">
        <v>93444</v>
      </c>
      <c r="D1585" t="s">
        <v>373</v>
      </c>
      <c r="E1585">
        <v>4513412</v>
      </c>
      <c r="F1585">
        <v>160991</v>
      </c>
      <c r="G1585" t="s">
        <v>1507</v>
      </c>
      <c r="H1585" t="s">
        <v>1581</v>
      </c>
      <c r="I1585">
        <v>14</v>
      </c>
      <c r="J1585" t="b">
        <v>1</v>
      </c>
      <c r="K1585">
        <v>1.75</v>
      </c>
      <c r="L1585">
        <v>160988</v>
      </c>
      <c r="M1585" t="s">
        <v>1508</v>
      </c>
      <c r="N1585">
        <v>8</v>
      </c>
      <c r="O1585">
        <v>8</v>
      </c>
      <c r="P1585"/>
      <c r="Q1585">
        <v>155687</v>
      </c>
      <c r="R1585">
        <v>1</v>
      </c>
      <c r="S1585" t="s">
        <v>40</v>
      </c>
      <c r="T1585">
        <v>261</v>
      </c>
      <c r="U1585">
        <v>147664</v>
      </c>
      <c r="V1585">
        <v>48</v>
      </c>
      <c r="W1585" t="s">
        <v>40</v>
      </c>
      <c r="X1585">
        <v>261</v>
      </c>
      <c r="Y1585" t="s">
        <v>377</v>
      </c>
      <c r="Z1585" t="s">
        <v>378</v>
      </c>
      <c r="AA1585" t="s">
        <v>384</v>
      </c>
      <c r="AB1585" t="s">
        <v>384</v>
      </c>
      <c r="AC1585" t="s">
        <v>41</v>
      </c>
      <c r="AD1585" t="s">
        <v>41</v>
      </c>
      <c r="AE1585" t="s">
        <v>41</v>
      </c>
      <c r="AF1585" t="s">
        <v>41</v>
      </c>
      <c r="AI1585">
        <v>155687</v>
      </c>
      <c r="AJ1585">
        <v>1</v>
      </c>
      <c r="AK1585" t="s">
        <v>40</v>
      </c>
      <c r="AL1585">
        <v>261</v>
      </c>
    </row>
    <row r="1586" spans="1:38" x14ac:dyDescent="0.25">
      <c r="A1586" t="s">
        <v>45</v>
      </c>
      <c r="B1586">
        <v>46083.603761574072</v>
      </c>
      <c r="C1586">
        <v>92711</v>
      </c>
      <c r="D1586" t="s">
        <v>373</v>
      </c>
      <c r="E1586">
        <v>4509154</v>
      </c>
      <c r="F1586">
        <v>2310135</v>
      </c>
      <c r="G1586" t="s">
        <v>1052</v>
      </c>
      <c r="H1586" t="s">
        <v>1648</v>
      </c>
      <c r="I1586">
        <v>64.3</v>
      </c>
      <c r="J1586" t="b">
        <v>1</v>
      </c>
      <c r="K1586">
        <v>0.15682926829268293</v>
      </c>
      <c r="L1586">
        <v>2310136</v>
      </c>
      <c r="M1586" t="s">
        <v>1053</v>
      </c>
      <c r="N1586">
        <v>410</v>
      </c>
      <c r="O1586">
        <v>407</v>
      </c>
      <c r="P1586"/>
      <c r="Q1586">
        <v>134974</v>
      </c>
      <c r="R1586">
        <v>1</v>
      </c>
      <c r="S1586" t="s">
        <v>40</v>
      </c>
      <c r="T1586">
        <v>261</v>
      </c>
      <c r="W1586"/>
      <c r="Y1586" t="s">
        <v>377</v>
      </c>
      <c r="Z1586" t="s">
        <v>378</v>
      </c>
      <c r="AA1586" t="s">
        <v>379</v>
      </c>
      <c r="AB1586" t="s">
        <v>1273</v>
      </c>
      <c r="AC1586" t="s">
        <v>41</v>
      </c>
      <c r="AD1586" t="s">
        <v>41</v>
      </c>
      <c r="AE1586" t="s">
        <v>41</v>
      </c>
      <c r="AF1586" t="s">
        <v>41</v>
      </c>
      <c r="AK1586"/>
    </row>
    <row r="1587" spans="1:38" x14ac:dyDescent="0.25">
      <c r="A1587" t="s">
        <v>43</v>
      </c>
      <c r="B1587">
        <v>46084.029895833337</v>
      </c>
      <c r="C1587">
        <v>92753</v>
      </c>
      <c r="D1587" t="s">
        <v>1025</v>
      </c>
      <c r="E1587">
        <v>4508471</v>
      </c>
      <c r="F1587">
        <v>2104931</v>
      </c>
      <c r="G1587" t="s">
        <v>1649</v>
      </c>
      <c r="H1587" t="s">
        <v>1554</v>
      </c>
      <c r="I1587">
        <v>7.5</v>
      </c>
      <c r="J1587" t="b">
        <v>1</v>
      </c>
      <c r="K1587">
        <v>1.7899761336515514E-2</v>
      </c>
      <c r="L1587">
        <v>2106288</v>
      </c>
      <c r="M1587" t="s">
        <v>1650</v>
      </c>
      <c r="N1587">
        <v>419</v>
      </c>
      <c r="O1587">
        <v>419</v>
      </c>
      <c r="P1587"/>
      <c r="Q1587">
        <v>0</v>
      </c>
      <c r="R1587">
        <v>0</v>
      </c>
      <c r="S1587" t="s">
        <v>40</v>
      </c>
      <c r="T1587">
        <v>261</v>
      </c>
      <c r="W1587"/>
      <c r="Y1587" t="s">
        <v>377</v>
      </c>
      <c r="Z1587" t="s">
        <v>378</v>
      </c>
      <c r="AA1587" t="s">
        <v>379</v>
      </c>
      <c r="AB1587" t="s">
        <v>1433</v>
      </c>
      <c r="AC1587" t="s">
        <v>41</v>
      </c>
      <c r="AD1587" t="s">
        <v>41</v>
      </c>
      <c r="AE1587" t="s">
        <v>41</v>
      </c>
      <c r="AF1587" t="s">
        <v>41</v>
      </c>
      <c r="AK1587"/>
    </row>
    <row r="1588" spans="1:38" x14ac:dyDescent="0.25">
      <c r="A1588" t="s">
        <v>39</v>
      </c>
      <c r="B1588">
        <v>46084.18891203704</v>
      </c>
      <c r="C1588">
        <v>92712</v>
      </c>
      <c r="D1588" t="s">
        <v>1025</v>
      </c>
      <c r="E1588">
        <v>4509157</v>
      </c>
      <c r="F1588">
        <v>2310135</v>
      </c>
      <c r="G1588" t="s">
        <v>1052</v>
      </c>
      <c r="H1588" t="s">
        <v>1651</v>
      </c>
      <c r="I1588">
        <v>64.3</v>
      </c>
      <c r="J1588" t="b">
        <v>1</v>
      </c>
      <c r="K1588">
        <v>0.15309523809523809</v>
      </c>
      <c r="L1588">
        <v>2310136</v>
      </c>
      <c r="M1588" t="s">
        <v>1053</v>
      </c>
      <c r="N1588">
        <v>420</v>
      </c>
      <c r="O1588">
        <v>408</v>
      </c>
      <c r="P1588"/>
      <c r="Q1588">
        <v>134974</v>
      </c>
      <c r="R1588">
        <v>1</v>
      </c>
      <c r="S1588" t="s">
        <v>40</v>
      </c>
      <c r="T1588">
        <v>261</v>
      </c>
      <c r="W1588"/>
      <c r="Y1588" t="s">
        <v>377</v>
      </c>
      <c r="Z1588" t="s">
        <v>378</v>
      </c>
      <c r="AA1588" t="s">
        <v>379</v>
      </c>
      <c r="AB1588" t="s">
        <v>1242</v>
      </c>
      <c r="AC1588" t="s">
        <v>41</v>
      </c>
      <c r="AD1588" t="s">
        <v>41</v>
      </c>
      <c r="AE1588" t="s">
        <v>41</v>
      </c>
      <c r="AF1588" t="s">
        <v>41</v>
      </c>
      <c r="AK1588"/>
    </row>
    <row r="1589" spans="1:38" x14ac:dyDescent="0.25">
      <c r="A1589" t="s">
        <v>47</v>
      </c>
      <c r="B1589">
        <v>46084.215231481481</v>
      </c>
      <c r="C1589">
        <v>90290</v>
      </c>
      <c r="D1589" t="s">
        <v>1025</v>
      </c>
      <c r="E1589">
        <v>4512608</v>
      </c>
      <c r="F1589">
        <v>2104655</v>
      </c>
      <c r="G1589" t="s">
        <v>1487</v>
      </c>
      <c r="H1589" t="s">
        <v>1621</v>
      </c>
      <c r="I1589">
        <v>4</v>
      </c>
      <c r="J1589" t="b">
        <v>1</v>
      </c>
      <c r="K1589">
        <v>1.3071895424836602E-2</v>
      </c>
      <c r="L1589">
        <v>2105992</v>
      </c>
      <c r="M1589" t="s">
        <v>1488</v>
      </c>
      <c r="N1589">
        <v>306</v>
      </c>
      <c r="O1589">
        <v>306</v>
      </c>
      <c r="P1589"/>
      <c r="Q1589">
        <v>134976</v>
      </c>
      <c r="R1589">
        <v>1</v>
      </c>
      <c r="S1589" t="s">
        <v>40</v>
      </c>
      <c r="T1589">
        <v>261</v>
      </c>
      <c r="W1589"/>
      <c r="Y1589" t="s">
        <v>377</v>
      </c>
      <c r="Z1589" t="s">
        <v>378</v>
      </c>
      <c r="AA1589" t="s">
        <v>379</v>
      </c>
      <c r="AB1589" t="s">
        <v>869</v>
      </c>
      <c r="AC1589" t="s">
        <v>41</v>
      </c>
      <c r="AD1589" t="s">
        <v>41</v>
      </c>
      <c r="AE1589" t="s">
        <v>41</v>
      </c>
      <c r="AF1589" t="s">
        <v>41</v>
      </c>
      <c r="AK1589"/>
    </row>
    <row r="1590" spans="1:38" x14ac:dyDescent="0.25">
      <c r="A1590" t="s">
        <v>38</v>
      </c>
      <c r="B1590">
        <v>46084.43236111111</v>
      </c>
      <c r="C1590">
        <v>91375</v>
      </c>
      <c r="D1590" t="s">
        <v>373</v>
      </c>
      <c r="E1590">
        <v>4513475</v>
      </c>
      <c r="F1590">
        <v>155446</v>
      </c>
      <c r="G1590" t="s">
        <v>785</v>
      </c>
      <c r="H1590" t="s">
        <v>1554</v>
      </c>
      <c r="I1590">
        <v>7</v>
      </c>
      <c r="J1590" t="b">
        <v>1</v>
      </c>
      <c r="K1590">
        <v>2.3333333333333335</v>
      </c>
      <c r="L1590">
        <v>155444</v>
      </c>
      <c r="M1590" t="s">
        <v>786</v>
      </c>
      <c r="N1590">
        <v>3</v>
      </c>
      <c r="O1590">
        <v>3</v>
      </c>
      <c r="P1590"/>
      <c r="Q1590">
        <v>155687</v>
      </c>
      <c r="R1590">
        <v>1</v>
      </c>
      <c r="S1590" t="s">
        <v>40</v>
      </c>
      <c r="T1590">
        <v>261</v>
      </c>
      <c r="U1590">
        <v>147664</v>
      </c>
      <c r="V1590">
        <v>24</v>
      </c>
      <c r="W1590" t="s">
        <v>40</v>
      </c>
      <c r="X1590">
        <v>261</v>
      </c>
      <c r="Y1590" t="s">
        <v>377</v>
      </c>
      <c r="Z1590" t="s">
        <v>378</v>
      </c>
      <c r="AA1590" t="s">
        <v>379</v>
      </c>
      <c r="AB1590" t="s">
        <v>622</v>
      </c>
      <c r="AC1590" t="s">
        <v>41</v>
      </c>
      <c r="AD1590" t="s">
        <v>41</v>
      </c>
      <c r="AE1590" t="s">
        <v>41</v>
      </c>
      <c r="AF1590" t="s">
        <v>41</v>
      </c>
      <c r="AK1590"/>
    </row>
    <row r="1591" spans="1:38" x14ac:dyDescent="0.25">
      <c r="A1591" t="s">
        <v>38</v>
      </c>
      <c r="B1591">
        <v>46084.433032407411</v>
      </c>
      <c r="C1591">
        <v>91375</v>
      </c>
      <c r="D1591" t="s">
        <v>373</v>
      </c>
      <c r="E1591">
        <v>4513476</v>
      </c>
      <c r="F1591">
        <v>155446</v>
      </c>
      <c r="G1591" t="s">
        <v>785</v>
      </c>
      <c r="H1591" t="s">
        <v>1554</v>
      </c>
      <c r="I1591">
        <v>7</v>
      </c>
      <c r="J1591" t="b">
        <v>1</v>
      </c>
      <c r="K1591">
        <v>2.3333333333333335</v>
      </c>
      <c r="L1591">
        <v>155444</v>
      </c>
      <c r="M1591" t="s">
        <v>786</v>
      </c>
      <c r="N1591">
        <v>3</v>
      </c>
      <c r="O1591">
        <v>3</v>
      </c>
      <c r="P1591"/>
      <c r="Q1591">
        <v>155687</v>
      </c>
      <c r="R1591">
        <v>1</v>
      </c>
      <c r="S1591" t="s">
        <v>40</v>
      </c>
      <c r="T1591">
        <v>261</v>
      </c>
      <c r="U1591">
        <v>147664</v>
      </c>
      <c r="V1591">
        <v>24</v>
      </c>
      <c r="W1591" t="s">
        <v>40</v>
      </c>
      <c r="X1591">
        <v>261</v>
      </c>
      <c r="Y1591" t="s">
        <v>377</v>
      </c>
      <c r="Z1591" t="s">
        <v>378</v>
      </c>
      <c r="AA1591" t="s">
        <v>379</v>
      </c>
      <c r="AB1591" t="s">
        <v>622</v>
      </c>
      <c r="AC1591" t="s">
        <v>41</v>
      </c>
      <c r="AD1591" t="s">
        <v>41</v>
      </c>
      <c r="AE1591" t="s">
        <v>41</v>
      </c>
      <c r="AF1591" t="s">
        <v>41</v>
      </c>
      <c r="AK1591"/>
    </row>
    <row r="1592" spans="1:38" x14ac:dyDescent="0.25">
      <c r="A1592" t="s">
        <v>37</v>
      </c>
      <c r="B1592">
        <v>46084.454641203702</v>
      </c>
      <c r="C1592">
        <v>89718</v>
      </c>
      <c r="D1592" t="s">
        <v>373</v>
      </c>
      <c r="E1592">
        <v>4513018</v>
      </c>
      <c r="F1592">
        <v>2104880</v>
      </c>
      <c r="G1592" t="s">
        <v>577</v>
      </c>
      <c r="H1592" t="s">
        <v>1621</v>
      </c>
      <c r="I1592">
        <v>5</v>
      </c>
      <c r="J1592" t="b">
        <v>1</v>
      </c>
      <c r="K1592">
        <v>1.25</v>
      </c>
      <c r="L1592">
        <v>2106200</v>
      </c>
      <c r="M1592" t="s">
        <v>579</v>
      </c>
      <c r="N1592">
        <v>4</v>
      </c>
      <c r="O1592">
        <v>4</v>
      </c>
      <c r="P1592"/>
      <c r="Q1592">
        <v>134906</v>
      </c>
      <c r="R1592">
        <v>1</v>
      </c>
      <c r="S1592" t="s">
        <v>40</v>
      </c>
      <c r="T1592">
        <v>261</v>
      </c>
      <c r="U1592">
        <v>147664</v>
      </c>
      <c r="V1592">
        <v>24</v>
      </c>
      <c r="W1592" t="s">
        <v>40</v>
      </c>
      <c r="X1592">
        <v>261</v>
      </c>
      <c r="Y1592" t="s">
        <v>377</v>
      </c>
      <c r="Z1592" t="s">
        <v>378</v>
      </c>
      <c r="AA1592" t="s">
        <v>379</v>
      </c>
      <c r="AB1592" t="s">
        <v>384</v>
      </c>
      <c r="AC1592" t="s">
        <v>41</v>
      </c>
      <c r="AD1592" t="s">
        <v>41</v>
      </c>
      <c r="AE1592" t="s">
        <v>41</v>
      </c>
      <c r="AF1592" t="s">
        <v>41</v>
      </c>
      <c r="AK1592"/>
    </row>
    <row r="1593" spans="1:38" x14ac:dyDescent="0.25">
      <c r="A1593" t="s">
        <v>37</v>
      </c>
      <c r="B1593">
        <v>46084.455231481479</v>
      </c>
      <c r="C1593">
        <v>89718</v>
      </c>
      <c r="D1593" t="s">
        <v>373</v>
      </c>
      <c r="E1593">
        <v>4513019</v>
      </c>
      <c r="F1593">
        <v>2104880</v>
      </c>
      <c r="G1593" t="s">
        <v>577</v>
      </c>
      <c r="H1593" t="s">
        <v>1621</v>
      </c>
      <c r="I1593">
        <v>5</v>
      </c>
      <c r="J1593" t="b">
        <v>1</v>
      </c>
      <c r="K1593">
        <v>1</v>
      </c>
      <c r="L1593">
        <v>2106200</v>
      </c>
      <c r="M1593" t="s">
        <v>579</v>
      </c>
      <c r="N1593">
        <v>5</v>
      </c>
      <c r="O1593">
        <v>5</v>
      </c>
      <c r="P1593"/>
      <c r="Q1593">
        <v>134906</v>
      </c>
      <c r="R1593">
        <v>1</v>
      </c>
      <c r="S1593" t="s">
        <v>40</v>
      </c>
      <c r="T1593">
        <v>261</v>
      </c>
      <c r="U1593">
        <v>147664</v>
      </c>
      <c r="V1593">
        <v>24</v>
      </c>
      <c r="W1593" t="s">
        <v>40</v>
      </c>
      <c r="X1593">
        <v>261</v>
      </c>
      <c r="Y1593" t="s">
        <v>377</v>
      </c>
      <c r="Z1593" t="s">
        <v>378</v>
      </c>
      <c r="AA1593" t="s">
        <v>379</v>
      </c>
      <c r="AB1593" t="s">
        <v>559</v>
      </c>
      <c r="AC1593" t="s">
        <v>41</v>
      </c>
      <c r="AD1593" t="s">
        <v>41</v>
      </c>
      <c r="AE1593" t="s">
        <v>41</v>
      </c>
      <c r="AF1593" t="s">
        <v>41</v>
      </c>
      <c r="AK1593"/>
    </row>
    <row r="1594" spans="1:38" x14ac:dyDescent="0.25">
      <c r="A1594" t="s">
        <v>38</v>
      </c>
      <c r="B1594">
        <v>46085.154085648152</v>
      </c>
      <c r="C1594">
        <v>91377</v>
      </c>
      <c r="D1594" t="s">
        <v>563</v>
      </c>
      <c r="E1594">
        <v>4513477</v>
      </c>
      <c r="F1594">
        <v>155446</v>
      </c>
      <c r="G1594" t="s">
        <v>785</v>
      </c>
      <c r="H1594" t="s">
        <v>1579</v>
      </c>
      <c r="I1594">
        <v>7</v>
      </c>
      <c r="J1594" t="b">
        <v>1</v>
      </c>
      <c r="K1594">
        <v>2.3333333333333335</v>
      </c>
      <c r="L1594">
        <v>155444</v>
      </c>
      <c r="M1594" t="s">
        <v>786</v>
      </c>
      <c r="N1594">
        <v>3</v>
      </c>
      <c r="O1594">
        <v>3</v>
      </c>
      <c r="P1594"/>
      <c r="Q1594">
        <v>155687</v>
      </c>
      <c r="R1594">
        <v>1</v>
      </c>
      <c r="S1594" t="s">
        <v>40</v>
      </c>
      <c r="T1594">
        <v>261</v>
      </c>
      <c r="U1594">
        <v>147664</v>
      </c>
      <c r="V1594">
        <v>24</v>
      </c>
      <c r="W1594" t="s">
        <v>40</v>
      </c>
      <c r="X1594">
        <v>261</v>
      </c>
      <c r="Y1594" t="s">
        <v>377</v>
      </c>
      <c r="Z1594" t="s">
        <v>378</v>
      </c>
      <c r="AA1594" t="s">
        <v>379</v>
      </c>
      <c r="AB1594" t="s">
        <v>622</v>
      </c>
      <c r="AC1594" t="s">
        <v>41</v>
      </c>
      <c r="AD1594" t="s">
        <v>41</v>
      </c>
      <c r="AE1594" t="s">
        <v>41</v>
      </c>
      <c r="AF1594" t="s">
        <v>41</v>
      </c>
      <c r="AK1594"/>
    </row>
    <row r="1595" spans="1:38" x14ac:dyDescent="0.25">
      <c r="A1595" t="s">
        <v>38</v>
      </c>
      <c r="B1595">
        <v>46085.154594907406</v>
      </c>
      <c r="C1595">
        <v>91377</v>
      </c>
      <c r="D1595" t="s">
        <v>563</v>
      </c>
      <c r="E1595">
        <v>4513478</v>
      </c>
      <c r="F1595">
        <v>155446</v>
      </c>
      <c r="G1595" t="s">
        <v>785</v>
      </c>
      <c r="H1595" t="s">
        <v>1579</v>
      </c>
      <c r="I1595">
        <v>7</v>
      </c>
      <c r="J1595" t="b">
        <v>1</v>
      </c>
      <c r="K1595">
        <v>2.3333333333333335</v>
      </c>
      <c r="L1595">
        <v>155444</v>
      </c>
      <c r="M1595" t="s">
        <v>786</v>
      </c>
      <c r="N1595">
        <v>3</v>
      </c>
      <c r="O1595">
        <v>3</v>
      </c>
      <c r="P1595"/>
      <c r="Q1595">
        <v>155687</v>
      </c>
      <c r="R1595">
        <v>1</v>
      </c>
      <c r="S1595" t="s">
        <v>40</v>
      </c>
      <c r="T1595">
        <v>261</v>
      </c>
      <c r="U1595">
        <v>147664</v>
      </c>
      <c r="V1595">
        <v>24</v>
      </c>
      <c r="W1595" t="s">
        <v>40</v>
      </c>
      <c r="X1595">
        <v>261</v>
      </c>
      <c r="Y1595" t="s">
        <v>377</v>
      </c>
      <c r="Z1595" t="s">
        <v>378</v>
      </c>
      <c r="AA1595" t="s">
        <v>379</v>
      </c>
      <c r="AB1595" t="s">
        <v>622</v>
      </c>
      <c r="AC1595" t="s">
        <v>41</v>
      </c>
      <c r="AD1595" t="s">
        <v>41</v>
      </c>
      <c r="AE1595" t="s">
        <v>41</v>
      </c>
      <c r="AF1595" t="s">
        <v>41</v>
      </c>
      <c r="AK1595"/>
    </row>
    <row r="1596" spans="1:38" x14ac:dyDescent="0.25">
      <c r="A1596" t="s">
        <v>38</v>
      </c>
      <c r="B1596">
        <v>46085.348703703705</v>
      </c>
      <c r="C1596">
        <v>92714</v>
      </c>
      <c r="D1596" t="s">
        <v>393</v>
      </c>
      <c r="E1596">
        <v>4509158</v>
      </c>
      <c r="F1596">
        <v>2310135</v>
      </c>
      <c r="G1596" t="s">
        <v>1052</v>
      </c>
      <c r="H1596" t="s">
        <v>1652</v>
      </c>
      <c r="I1596">
        <v>64.3</v>
      </c>
      <c r="J1596" t="b">
        <v>1</v>
      </c>
      <c r="K1596">
        <v>0.15915841584158416</v>
      </c>
      <c r="L1596">
        <v>2310136</v>
      </c>
      <c r="M1596" t="s">
        <v>1053</v>
      </c>
      <c r="N1596">
        <v>404</v>
      </c>
      <c r="O1596">
        <v>404</v>
      </c>
      <c r="P1596"/>
      <c r="Q1596">
        <v>134974</v>
      </c>
      <c r="R1596">
        <v>1</v>
      </c>
      <c r="S1596" t="s">
        <v>40</v>
      </c>
      <c r="T1596">
        <v>261</v>
      </c>
      <c r="W1596"/>
      <c r="Y1596" t="s">
        <v>377</v>
      </c>
      <c r="Z1596" t="s">
        <v>378</v>
      </c>
      <c r="AA1596" t="s">
        <v>379</v>
      </c>
      <c r="AB1596" t="s">
        <v>1309</v>
      </c>
      <c r="AC1596" t="s">
        <v>41</v>
      </c>
      <c r="AD1596" t="s">
        <v>41</v>
      </c>
      <c r="AE1596" t="s">
        <v>41</v>
      </c>
      <c r="AF1596" t="s">
        <v>41</v>
      </c>
      <c r="AK1596"/>
    </row>
    <row r="1597" spans="1:38" x14ac:dyDescent="0.25">
      <c r="A1597" t="s">
        <v>37</v>
      </c>
      <c r="B1597">
        <v>46085.540925925925</v>
      </c>
      <c r="C1597">
        <v>92755</v>
      </c>
      <c r="D1597" t="s">
        <v>393</v>
      </c>
      <c r="E1597">
        <v>4508470</v>
      </c>
      <c r="F1597">
        <v>2104931</v>
      </c>
      <c r="G1597" t="s">
        <v>1649</v>
      </c>
      <c r="H1597" t="s">
        <v>1579</v>
      </c>
      <c r="I1597">
        <v>7.5</v>
      </c>
      <c r="J1597" t="b">
        <v>1</v>
      </c>
      <c r="K1597">
        <v>1.7441860465116279E-2</v>
      </c>
      <c r="L1597">
        <v>2106288</v>
      </c>
      <c r="M1597" t="s">
        <v>1650</v>
      </c>
      <c r="N1597">
        <v>430</v>
      </c>
      <c r="O1597">
        <v>408</v>
      </c>
      <c r="P1597"/>
      <c r="Q1597">
        <v>134976</v>
      </c>
      <c r="R1597">
        <v>1</v>
      </c>
      <c r="S1597" t="s">
        <v>40</v>
      </c>
      <c r="T1597">
        <v>261</v>
      </c>
      <c r="V1597">
        <v>0</v>
      </c>
      <c r="W1597"/>
      <c r="Y1597" t="s">
        <v>377</v>
      </c>
      <c r="Z1597" t="s">
        <v>378</v>
      </c>
      <c r="AA1597" t="s">
        <v>379</v>
      </c>
      <c r="AB1597" t="s">
        <v>1653</v>
      </c>
      <c r="AC1597" t="s">
        <v>379</v>
      </c>
      <c r="AD1597" t="s">
        <v>728</v>
      </c>
      <c r="AE1597" t="s">
        <v>41</v>
      </c>
      <c r="AF1597" t="s">
        <v>41</v>
      </c>
      <c r="AI1597">
        <v>134976</v>
      </c>
      <c r="AJ1597">
        <v>1</v>
      </c>
      <c r="AK1597" t="s">
        <v>40</v>
      </c>
      <c r="AL1597">
        <v>261</v>
      </c>
    </row>
    <row r="1598" spans="1:38" x14ac:dyDescent="0.25">
      <c r="A1598" t="s">
        <v>43</v>
      </c>
      <c r="B1598">
        <v>46085.701562499999</v>
      </c>
      <c r="C1598">
        <v>89719</v>
      </c>
      <c r="D1598" t="s">
        <v>393</v>
      </c>
      <c r="E1598">
        <v>4513123</v>
      </c>
      <c r="F1598">
        <v>2104881</v>
      </c>
      <c r="G1598" t="s">
        <v>600</v>
      </c>
      <c r="H1598" t="s">
        <v>1584</v>
      </c>
      <c r="I1598">
        <v>10</v>
      </c>
      <c r="J1598" t="b">
        <v>1</v>
      </c>
      <c r="K1598">
        <v>2.5</v>
      </c>
      <c r="L1598">
        <v>2106201</v>
      </c>
      <c r="M1598" t="s">
        <v>602</v>
      </c>
      <c r="N1598">
        <v>4</v>
      </c>
      <c r="O1598">
        <v>4</v>
      </c>
      <c r="P1598"/>
      <c r="Q1598">
        <v>134905</v>
      </c>
      <c r="R1598">
        <v>1</v>
      </c>
      <c r="S1598" t="s">
        <v>40</v>
      </c>
      <c r="T1598">
        <v>261</v>
      </c>
      <c r="U1598">
        <v>147664</v>
      </c>
      <c r="V1598">
        <v>24</v>
      </c>
      <c r="W1598" t="s">
        <v>40</v>
      </c>
      <c r="X1598">
        <v>261</v>
      </c>
      <c r="Y1598" t="s">
        <v>377</v>
      </c>
      <c r="Z1598" t="s">
        <v>378</v>
      </c>
      <c r="AA1598" t="s">
        <v>379</v>
      </c>
      <c r="AB1598" t="s">
        <v>384</v>
      </c>
      <c r="AC1598" t="s">
        <v>41</v>
      </c>
      <c r="AD1598" t="s">
        <v>41</v>
      </c>
      <c r="AE1598" t="s">
        <v>41</v>
      </c>
      <c r="AF1598" t="s">
        <v>41</v>
      </c>
      <c r="AK1598"/>
    </row>
    <row r="1599" spans="1:38" x14ac:dyDescent="0.25">
      <c r="A1599" t="s">
        <v>43</v>
      </c>
      <c r="B1599">
        <v>46085.7028125</v>
      </c>
      <c r="C1599">
        <v>89719</v>
      </c>
      <c r="D1599" t="s">
        <v>393</v>
      </c>
      <c r="E1599">
        <v>4513124</v>
      </c>
      <c r="F1599">
        <v>2104881</v>
      </c>
      <c r="G1599" t="s">
        <v>600</v>
      </c>
      <c r="H1599" t="s">
        <v>1584</v>
      </c>
      <c r="I1599">
        <v>10</v>
      </c>
      <c r="J1599" t="b">
        <v>1</v>
      </c>
      <c r="K1599">
        <v>2</v>
      </c>
      <c r="L1599">
        <v>2106201</v>
      </c>
      <c r="M1599" t="s">
        <v>602</v>
      </c>
      <c r="N1599">
        <v>5</v>
      </c>
      <c r="O1599">
        <v>5</v>
      </c>
      <c r="P1599"/>
      <c r="Q1599">
        <v>134905</v>
      </c>
      <c r="R1599">
        <v>1</v>
      </c>
      <c r="S1599" t="s">
        <v>40</v>
      </c>
      <c r="T1599">
        <v>261</v>
      </c>
      <c r="U1599">
        <v>147664</v>
      </c>
      <c r="V1599">
        <v>24</v>
      </c>
      <c r="W1599" t="s">
        <v>40</v>
      </c>
      <c r="X1599">
        <v>261</v>
      </c>
      <c r="Y1599" t="s">
        <v>377</v>
      </c>
      <c r="Z1599" t="s">
        <v>378</v>
      </c>
      <c r="AA1599" t="s">
        <v>379</v>
      </c>
      <c r="AB1599" t="s">
        <v>559</v>
      </c>
      <c r="AC1599" t="s">
        <v>41</v>
      </c>
      <c r="AD1599" t="s">
        <v>41</v>
      </c>
      <c r="AE1599" t="s">
        <v>41</v>
      </c>
      <c r="AF1599" t="s">
        <v>41</v>
      </c>
      <c r="AK1599"/>
    </row>
    <row r="1600" spans="1:38" x14ac:dyDescent="0.25">
      <c r="A1600" t="s">
        <v>44</v>
      </c>
      <c r="B1600">
        <v>46086.045023148145</v>
      </c>
      <c r="C1600">
        <v>93447</v>
      </c>
      <c r="D1600" t="s">
        <v>843</v>
      </c>
      <c r="E1600">
        <v>4513413</v>
      </c>
      <c r="F1600">
        <v>160991</v>
      </c>
      <c r="G1600" t="s">
        <v>1507</v>
      </c>
      <c r="H1600" t="s">
        <v>1584</v>
      </c>
      <c r="I1600">
        <v>14</v>
      </c>
      <c r="J1600" t="b">
        <v>1</v>
      </c>
      <c r="K1600">
        <v>1.75</v>
      </c>
      <c r="L1600">
        <v>160988</v>
      </c>
      <c r="M1600" t="s">
        <v>1508</v>
      </c>
      <c r="N1600">
        <v>8</v>
      </c>
      <c r="O1600">
        <v>8</v>
      </c>
      <c r="P1600"/>
      <c r="Q1600">
        <v>155687</v>
      </c>
      <c r="R1600">
        <v>2</v>
      </c>
      <c r="S1600" t="s">
        <v>40</v>
      </c>
      <c r="T1600">
        <v>261</v>
      </c>
      <c r="U1600">
        <v>147664</v>
      </c>
      <c r="V1600">
        <v>48</v>
      </c>
      <c r="W1600" t="s">
        <v>40</v>
      </c>
      <c r="X1600">
        <v>261</v>
      </c>
      <c r="Y1600" t="s">
        <v>377</v>
      </c>
      <c r="Z1600" t="s">
        <v>378</v>
      </c>
      <c r="AA1600" t="s">
        <v>384</v>
      </c>
      <c r="AB1600" t="s">
        <v>384</v>
      </c>
      <c r="AC1600" t="s">
        <v>41</v>
      </c>
      <c r="AD1600" t="s">
        <v>41</v>
      </c>
      <c r="AE1600" t="s">
        <v>41</v>
      </c>
      <c r="AF1600" t="s">
        <v>41</v>
      </c>
      <c r="AK1600"/>
    </row>
    <row r="1601" spans="1:38" x14ac:dyDescent="0.25">
      <c r="A1601" t="s">
        <v>38</v>
      </c>
      <c r="B1601">
        <v>46086.071168981478</v>
      </c>
      <c r="C1601">
        <v>93443</v>
      </c>
      <c r="D1601" t="s">
        <v>843</v>
      </c>
      <c r="E1601">
        <v>4509603</v>
      </c>
      <c r="F1601">
        <v>2304758</v>
      </c>
      <c r="G1601" t="s">
        <v>402</v>
      </c>
      <c r="H1601" t="s">
        <v>1580</v>
      </c>
      <c r="I1601">
        <v>14</v>
      </c>
      <c r="J1601" t="b">
        <v>1</v>
      </c>
      <c r="K1601">
        <v>1.75</v>
      </c>
      <c r="L1601">
        <v>2304759</v>
      </c>
      <c r="M1601" t="s">
        <v>404</v>
      </c>
      <c r="N1601">
        <v>8</v>
      </c>
      <c r="O1601">
        <v>8</v>
      </c>
      <c r="P1601"/>
      <c r="Q1601">
        <v>155687</v>
      </c>
      <c r="R1601">
        <v>2</v>
      </c>
      <c r="S1601" t="s">
        <v>40</v>
      </c>
      <c r="T1601">
        <v>261</v>
      </c>
      <c r="U1601">
        <v>147664</v>
      </c>
      <c r="V1601">
        <v>48</v>
      </c>
      <c r="W1601" t="s">
        <v>40</v>
      </c>
      <c r="X1601">
        <v>261</v>
      </c>
      <c r="Y1601" t="s">
        <v>377</v>
      </c>
      <c r="Z1601" t="s">
        <v>378</v>
      </c>
      <c r="AA1601" t="s">
        <v>384</v>
      </c>
      <c r="AB1601" t="s">
        <v>384</v>
      </c>
      <c r="AC1601" t="s">
        <v>41</v>
      </c>
      <c r="AD1601" t="s">
        <v>41</v>
      </c>
      <c r="AE1601" t="s">
        <v>41</v>
      </c>
      <c r="AF1601" t="s">
        <v>41</v>
      </c>
      <c r="AK1601"/>
    </row>
    <row r="1602" spans="1:38" x14ac:dyDescent="0.25">
      <c r="A1602" t="s">
        <v>39</v>
      </c>
      <c r="B1602">
        <v>46086.200601851851</v>
      </c>
      <c r="C1602">
        <v>91378</v>
      </c>
      <c r="D1602" t="s">
        <v>843</v>
      </c>
      <c r="E1602">
        <v>4513580</v>
      </c>
      <c r="F1602">
        <v>156316</v>
      </c>
      <c r="G1602" t="s">
        <v>899</v>
      </c>
      <c r="H1602" t="s">
        <v>1573</v>
      </c>
      <c r="I1602">
        <v>7</v>
      </c>
      <c r="J1602" t="b">
        <v>1</v>
      </c>
      <c r="K1602">
        <v>1.75</v>
      </c>
      <c r="L1602">
        <v>156315</v>
      </c>
      <c r="M1602" t="s">
        <v>901</v>
      </c>
      <c r="N1602">
        <v>4</v>
      </c>
      <c r="O1602">
        <v>8</v>
      </c>
      <c r="P1602"/>
      <c r="Q1602">
        <v>134906</v>
      </c>
      <c r="R1602">
        <v>1</v>
      </c>
      <c r="S1602" t="s">
        <v>40</v>
      </c>
      <c r="T1602">
        <v>261</v>
      </c>
      <c r="U1602">
        <v>147664</v>
      </c>
      <c r="V1602">
        <v>24</v>
      </c>
      <c r="W1602" t="s">
        <v>40</v>
      </c>
      <c r="X1602">
        <v>261</v>
      </c>
      <c r="Y1602" t="s">
        <v>377</v>
      </c>
      <c r="Z1602" t="s">
        <v>378</v>
      </c>
      <c r="AA1602" t="s">
        <v>379</v>
      </c>
      <c r="AB1602" t="s">
        <v>384</v>
      </c>
      <c r="AC1602" t="s">
        <v>41</v>
      </c>
      <c r="AD1602" t="s">
        <v>41</v>
      </c>
      <c r="AE1602" t="s">
        <v>41</v>
      </c>
      <c r="AF1602" t="s">
        <v>41</v>
      </c>
      <c r="AK1602"/>
    </row>
    <row r="1603" spans="1:38" x14ac:dyDescent="0.25">
      <c r="A1603" t="s">
        <v>39</v>
      </c>
      <c r="B1603">
        <v>46086.201793981483</v>
      </c>
      <c r="C1603">
        <v>91378</v>
      </c>
      <c r="D1603" t="s">
        <v>843</v>
      </c>
      <c r="E1603">
        <v>4513579</v>
      </c>
      <c r="F1603">
        <v>156316</v>
      </c>
      <c r="G1603" t="s">
        <v>899</v>
      </c>
      <c r="H1603" t="s">
        <v>1573</v>
      </c>
      <c r="I1603">
        <v>7</v>
      </c>
      <c r="J1603" t="b">
        <v>1</v>
      </c>
      <c r="K1603">
        <v>1.75</v>
      </c>
      <c r="L1603">
        <v>156315</v>
      </c>
      <c r="M1603" t="s">
        <v>901</v>
      </c>
      <c r="N1603">
        <v>4</v>
      </c>
      <c r="O1603">
        <v>4</v>
      </c>
      <c r="P1603"/>
      <c r="Q1603">
        <v>134906</v>
      </c>
      <c r="R1603">
        <v>1</v>
      </c>
      <c r="S1603" t="s">
        <v>40</v>
      </c>
      <c r="T1603">
        <v>261</v>
      </c>
      <c r="U1603">
        <v>147664</v>
      </c>
      <c r="V1603">
        <v>24</v>
      </c>
      <c r="W1603" t="s">
        <v>40</v>
      </c>
      <c r="X1603">
        <v>261</v>
      </c>
      <c r="Y1603" t="s">
        <v>377</v>
      </c>
      <c r="Z1603" t="s">
        <v>378</v>
      </c>
      <c r="AA1603" t="s">
        <v>379</v>
      </c>
      <c r="AB1603" t="s">
        <v>384</v>
      </c>
      <c r="AC1603" t="s">
        <v>41</v>
      </c>
      <c r="AD1603" t="s">
        <v>41</v>
      </c>
      <c r="AE1603" t="s">
        <v>41</v>
      </c>
      <c r="AF1603" t="s">
        <v>41</v>
      </c>
      <c r="AK1603"/>
    </row>
    <row r="1604" spans="1:38" x14ac:dyDescent="0.25">
      <c r="A1604" t="s">
        <v>43</v>
      </c>
      <c r="B1604">
        <v>46086.452523148146</v>
      </c>
      <c r="C1604">
        <v>89720</v>
      </c>
      <c r="D1604" t="s">
        <v>1617</v>
      </c>
      <c r="E1604">
        <v>4513126</v>
      </c>
      <c r="F1604">
        <v>2104881</v>
      </c>
      <c r="G1604" t="s">
        <v>600</v>
      </c>
      <c r="H1604" t="s">
        <v>1654</v>
      </c>
      <c r="I1604">
        <v>5</v>
      </c>
      <c r="J1604" t="b">
        <v>0</v>
      </c>
      <c r="K1604">
        <v>1</v>
      </c>
      <c r="L1604">
        <v>2106201</v>
      </c>
      <c r="M1604" t="s">
        <v>602</v>
      </c>
      <c r="N1604">
        <v>5</v>
      </c>
      <c r="O1604">
        <v>5</v>
      </c>
      <c r="P1604"/>
      <c r="Q1604">
        <v>134905</v>
      </c>
      <c r="R1604">
        <v>1</v>
      </c>
      <c r="S1604" t="s">
        <v>40</v>
      </c>
      <c r="T1604">
        <v>261</v>
      </c>
      <c r="U1604">
        <v>147664</v>
      </c>
      <c r="V1604">
        <v>24</v>
      </c>
      <c r="W1604" t="s">
        <v>40</v>
      </c>
      <c r="X1604">
        <v>261</v>
      </c>
      <c r="Y1604" t="s">
        <v>377</v>
      </c>
      <c r="Z1604" t="s">
        <v>378</v>
      </c>
      <c r="AA1604" t="s">
        <v>379</v>
      </c>
      <c r="AB1604" t="s">
        <v>559</v>
      </c>
      <c r="AC1604" t="s">
        <v>41</v>
      </c>
      <c r="AD1604" t="s">
        <v>41</v>
      </c>
      <c r="AE1604" t="s">
        <v>41</v>
      </c>
      <c r="AF1604" t="s">
        <v>41</v>
      </c>
      <c r="AK1604"/>
    </row>
    <row r="1605" spans="1:38" x14ac:dyDescent="0.25">
      <c r="A1605" t="s">
        <v>43</v>
      </c>
      <c r="B1605">
        <v>46086.455694444441</v>
      </c>
      <c r="C1605">
        <v>89720</v>
      </c>
      <c r="D1605" t="s">
        <v>1617</v>
      </c>
      <c r="E1605">
        <v>4513125</v>
      </c>
      <c r="F1605">
        <v>2104881</v>
      </c>
      <c r="G1605" t="s">
        <v>600</v>
      </c>
      <c r="H1605" t="s">
        <v>1621</v>
      </c>
      <c r="I1605">
        <v>5</v>
      </c>
      <c r="J1605" t="b">
        <v>1</v>
      </c>
      <c r="K1605">
        <v>1.25</v>
      </c>
      <c r="L1605">
        <v>2106201</v>
      </c>
      <c r="M1605" t="s">
        <v>602</v>
      </c>
      <c r="N1605">
        <v>4</v>
      </c>
      <c r="O1605">
        <v>4</v>
      </c>
      <c r="P1605"/>
      <c r="Q1605">
        <v>134905</v>
      </c>
      <c r="R1605">
        <v>1</v>
      </c>
      <c r="S1605" t="s">
        <v>40</v>
      </c>
      <c r="T1605">
        <v>261</v>
      </c>
      <c r="U1605">
        <v>147664</v>
      </c>
      <c r="V1605">
        <v>24</v>
      </c>
      <c r="W1605" t="s">
        <v>40</v>
      </c>
      <c r="X1605">
        <v>261</v>
      </c>
      <c r="Y1605" t="s">
        <v>377</v>
      </c>
      <c r="Z1605" t="s">
        <v>378</v>
      </c>
      <c r="AA1605" t="s">
        <v>379</v>
      </c>
      <c r="AB1605" t="s">
        <v>384</v>
      </c>
      <c r="AC1605" t="s">
        <v>41</v>
      </c>
      <c r="AD1605" t="s">
        <v>41</v>
      </c>
      <c r="AE1605" t="s">
        <v>41</v>
      </c>
      <c r="AF1605" t="s">
        <v>41</v>
      </c>
      <c r="AK1605"/>
    </row>
    <row r="1606" spans="1:38" x14ac:dyDescent="0.25">
      <c r="A1606" t="s">
        <v>37</v>
      </c>
      <c r="B1606">
        <v>46086.531990740739</v>
      </c>
      <c r="C1606">
        <v>92756</v>
      </c>
      <c r="D1606" t="s">
        <v>1617</v>
      </c>
      <c r="E1606">
        <v>4508472</v>
      </c>
      <c r="F1606">
        <v>2104931</v>
      </c>
      <c r="G1606" t="s">
        <v>1649</v>
      </c>
      <c r="H1606" t="s">
        <v>1582</v>
      </c>
      <c r="I1606">
        <v>7.5</v>
      </c>
      <c r="J1606" t="b">
        <v>1</v>
      </c>
      <c r="K1606">
        <v>1.7045454545454544E-2</v>
      </c>
      <c r="L1606">
        <v>2106288</v>
      </c>
      <c r="M1606" t="s">
        <v>1650</v>
      </c>
      <c r="N1606">
        <v>440</v>
      </c>
      <c r="O1606">
        <v>434</v>
      </c>
      <c r="P1606"/>
      <c r="Q1606">
        <v>134976</v>
      </c>
      <c r="R1606">
        <v>1</v>
      </c>
      <c r="S1606" t="s">
        <v>40</v>
      </c>
      <c r="T1606">
        <v>261</v>
      </c>
      <c r="V1606">
        <v>0</v>
      </c>
      <c r="W1606"/>
      <c r="Y1606" t="s">
        <v>377</v>
      </c>
      <c r="Z1606" t="s">
        <v>378</v>
      </c>
      <c r="AA1606" t="s">
        <v>379</v>
      </c>
      <c r="AB1606" t="s">
        <v>1522</v>
      </c>
      <c r="AC1606" t="s">
        <v>379</v>
      </c>
      <c r="AD1606" t="s">
        <v>1105</v>
      </c>
      <c r="AE1606" t="s">
        <v>41</v>
      </c>
      <c r="AF1606" t="s">
        <v>41</v>
      </c>
      <c r="AI1606">
        <v>134976</v>
      </c>
      <c r="AJ1606">
        <v>1</v>
      </c>
      <c r="AK1606" t="s">
        <v>40</v>
      </c>
      <c r="AL1606">
        <v>261</v>
      </c>
    </row>
    <row r="1607" spans="1:38" x14ac:dyDescent="0.25">
      <c r="A1607" t="s">
        <v>45</v>
      </c>
      <c r="B1607">
        <v>46086.570439814815</v>
      </c>
      <c r="C1607">
        <v>92715</v>
      </c>
      <c r="D1607" t="s">
        <v>1617</v>
      </c>
      <c r="E1607">
        <v>4509159</v>
      </c>
      <c r="F1607">
        <v>2310135</v>
      </c>
      <c r="G1607" t="s">
        <v>1052</v>
      </c>
      <c r="H1607" t="s">
        <v>1655</v>
      </c>
      <c r="I1607">
        <v>64.3</v>
      </c>
      <c r="J1607" t="b">
        <v>1</v>
      </c>
      <c r="K1607">
        <v>0.15682926829268293</v>
      </c>
      <c r="L1607">
        <v>2310136</v>
      </c>
      <c r="M1607" t="s">
        <v>1053</v>
      </c>
      <c r="N1607">
        <v>410</v>
      </c>
      <c r="O1607">
        <v>401</v>
      </c>
      <c r="P1607"/>
      <c r="Q1607">
        <v>134974</v>
      </c>
      <c r="R1607">
        <v>1</v>
      </c>
      <c r="S1607" t="s">
        <v>40</v>
      </c>
      <c r="T1607">
        <v>261</v>
      </c>
      <c r="W1607"/>
      <c r="Y1607" t="s">
        <v>377</v>
      </c>
      <c r="Z1607" t="s">
        <v>378</v>
      </c>
      <c r="AA1607" t="s">
        <v>379</v>
      </c>
      <c r="AB1607" t="s">
        <v>1273</v>
      </c>
      <c r="AC1607" t="s">
        <v>41</v>
      </c>
      <c r="AD1607" t="s">
        <v>41</v>
      </c>
      <c r="AE1607" t="s">
        <v>41</v>
      </c>
      <c r="AF1607" t="s">
        <v>41</v>
      </c>
      <c r="AK1607"/>
    </row>
    <row r="1608" spans="1:38" x14ac:dyDescent="0.25">
      <c r="A1608" t="s">
        <v>39</v>
      </c>
      <c r="B1608">
        <v>46087.64576388889</v>
      </c>
      <c r="C1608">
        <v>92757</v>
      </c>
      <c r="D1608" t="s">
        <v>373</v>
      </c>
      <c r="E1608">
        <v>4508473</v>
      </c>
      <c r="F1608">
        <v>2104931</v>
      </c>
      <c r="G1608" t="s">
        <v>1649</v>
      </c>
      <c r="H1608" t="s">
        <v>1564</v>
      </c>
      <c r="I1608">
        <v>7.5</v>
      </c>
      <c r="J1608" t="b">
        <v>1</v>
      </c>
      <c r="K1608">
        <v>2.5000000000000001E-2</v>
      </c>
      <c r="L1608">
        <v>2106288</v>
      </c>
      <c r="M1608" t="s">
        <v>1650</v>
      </c>
      <c r="N1608">
        <v>300</v>
      </c>
      <c r="O1608">
        <v>300</v>
      </c>
      <c r="P1608" t="s">
        <v>423</v>
      </c>
      <c r="Q1608">
        <v>0</v>
      </c>
      <c r="R1608">
        <v>0</v>
      </c>
      <c r="S1608" t="s">
        <v>40</v>
      </c>
      <c r="T1608">
        <v>261</v>
      </c>
      <c r="W1608"/>
      <c r="Y1608" t="s">
        <v>377</v>
      </c>
      <c r="Z1608" t="s">
        <v>378</v>
      </c>
      <c r="AA1608" t="s">
        <v>379</v>
      </c>
      <c r="AB1608" t="s">
        <v>1522</v>
      </c>
      <c r="AC1608" t="s">
        <v>41</v>
      </c>
      <c r="AD1608" t="s">
        <v>41</v>
      </c>
      <c r="AE1608" t="s">
        <v>41</v>
      </c>
      <c r="AF1608" t="s">
        <v>41</v>
      </c>
      <c r="AK1608"/>
    </row>
    <row r="1609" spans="1:38" x14ac:dyDescent="0.25">
      <c r="A1609" t="s">
        <v>37</v>
      </c>
      <c r="B1609">
        <v>46087.647245370368</v>
      </c>
      <c r="C1609">
        <v>93450</v>
      </c>
      <c r="D1609" t="s">
        <v>373</v>
      </c>
      <c r="E1609">
        <v>4513414</v>
      </c>
      <c r="F1609">
        <v>160991</v>
      </c>
      <c r="G1609" t="s">
        <v>1507</v>
      </c>
      <c r="H1609" t="s">
        <v>1621</v>
      </c>
      <c r="I1609">
        <v>14</v>
      </c>
      <c r="J1609" t="b">
        <v>1</v>
      </c>
      <c r="K1609">
        <v>1.75</v>
      </c>
      <c r="L1609">
        <v>160988</v>
      </c>
      <c r="M1609" t="s">
        <v>1508</v>
      </c>
      <c r="N1609">
        <v>8</v>
      </c>
      <c r="O1609">
        <v>8</v>
      </c>
      <c r="P1609"/>
      <c r="Q1609">
        <v>134906</v>
      </c>
      <c r="R1609">
        <v>1</v>
      </c>
      <c r="S1609" t="s">
        <v>40</v>
      </c>
      <c r="T1609">
        <v>261</v>
      </c>
      <c r="U1609">
        <v>147664</v>
      </c>
      <c r="V1609">
        <v>48</v>
      </c>
      <c r="W1609" t="s">
        <v>40</v>
      </c>
      <c r="X1609">
        <v>261</v>
      </c>
      <c r="Y1609" t="s">
        <v>377</v>
      </c>
      <c r="Z1609" t="s">
        <v>378</v>
      </c>
      <c r="AA1609" t="s">
        <v>384</v>
      </c>
      <c r="AB1609" t="s">
        <v>384</v>
      </c>
      <c r="AC1609" t="s">
        <v>41</v>
      </c>
      <c r="AD1609" t="s">
        <v>41</v>
      </c>
      <c r="AE1609" t="s">
        <v>41</v>
      </c>
      <c r="AF1609" t="s">
        <v>41</v>
      </c>
      <c r="AI1609">
        <v>134906</v>
      </c>
      <c r="AJ1609">
        <v>1</v>
      </c>
      <c r="AK1609" t="s">
        <v>40</v>
      </c>
      <c r="AL1609">
        <v>261</v>
      </c>
    </row>
    <row r="1610" spans="1:38" x14ac:dyDescent="0.25">
      <c r="A1610" t="s">
        <v>47</v>
      </c>
      <c r="B1610">
        <v>46087.721041666664</v>
      </c>
      <c r="C1610">
        <v>92716</v>
      </c>
      <c r="D1610" t="s">
        <v>373</v>
      </c>
      <c r="E1610">
        <v>4513326</v>
      </c>
      <c r="F1610">
        <v>133168</v>
      </c>
      <c r="G1610" t="s">
        <v>863</v>
      </c>
      <c r="H1610" t="s">
        <v>1578</v>
      </c>
      <c r="I1610">
        <v>64.3</v>
      </c>
      <c r="J1610" t="b">
        <v>1</v>
      </c>
      <c r="K1610">
        <v>0.75647058823529412</v>
      </c>
      <c r="L1610">
        <v>144374</v>
      </c>
      <c r="M1610" t="s">
        <v>865</v>
      </c>
      <c r="N1610">
        <v>85</v>
      </c>
      <c r="O1610">
        <v>85</v>
      </c>
      <c r="P1610"/>
      <c r="Q1610">
        <v>134908</v>
      </c>
      <c r="R1610">
        <v>1</v>
      </c>
      <c r="S1610" t="s">
        <v>40</v>
      </c>
      <c r="T1610">
        <v>261</v>
      </c>
      <c r="U1610">
        <v>147664</v>
      </c>
      <c r="V1610">
        <v>24</v>
      </c>
      <c r="W1610" t="s">
        <v>40</v>
      </c>
      <c r="X1610">
        <v>261</v>
      </c>
      <c r="Y1610" t="s">
        <v>377</v>
      </c>
      <c r="Z1610" t="s">
        <v>378</v>
      </c>
      <c r="AA1610" t="s">
        <v>379</v>
      </c>
      <c r="AB1610" t="s">
        <v>841</v>
      </c>
      <c r="AC1610" t="s">
        <v>41</v>
      </c>
      <c r="AD1610" t="s">
        <v>41</v>
      </c>
      <c r="AE1610" t="s">
        <v>41</v>
      </c>
      <c r="AF1610" t="s">
        <v>41</v>
      </c>
      <c r="AK1610"/>
    </row>
    <row r="1611" spans="1:38" x14ac:dyDescent="0.25">
      <c r="A1611" t="s">
        <v>43</v>
      </c>
      <c r="B1611">
        <v>46087.89298611111</v>
      </c>
      <c r="C1611">
        <v>89721</v>
      </c>
      <c r="D1611" t="s">
        <v>1656</v>
      </c>
      <c r="E1611">
        <v>4513111</v>
      </c>
      <c r="F1611">
        <v>2104880</v>
      </c>
      <c r="G1611" t="s">
        <v>577</v>
      </c>
      <c r="H1611" t="s">
        <v>1622</v>
      </c>
      <c r="I1611">
        <v>10</v>
      </c>
      <c r="J1611" t="b">
        <v>1</v>
      </c>
      <c r="K1611">
        <v>2.5</v>
      </c>
      <c r="L1611">
        <v>2106200</v>
      </c>
      <c r="M1611" t="s">
        <v>579</v>
      </c>
      <c r="N1611">
        <v>4</v>
      </c>
      <c r="O1611">
        <v>4</v>
      </c>
      <c r="P1611"/>
      <c r="Q1611">
        <v>143276</v>
      </c>
      <c r="R1611">
        <v>2</v>
      </c>
      <c r="S1611" t="s">
        <v>40</v>
      </c>
      <c r="T1611">
        <v>261</v>
      </c>
      <c r="U1611">
        <v>147664</v>
      </c>
      <c r="V1611">
        <v>48</v>
      </c>
      <c r="W1611" t="s">
        <v>40</v>
      </c>
      <c r="X1611">
        <v>261</v>
      </c>
      <c r="Y1611" t="s">
        <v>377</v>
      </c>
      <c r="Z1611" t="s">
        <v>378</v>
      </c>
      <c r="AA1611" t="s">
        <v>379</v>
      </c>
      <c r="AB1611" t="s">
        <v>384</v>
      </c>
      <c r="AC1611" t="s">
        <v>41</v>
      </c>
      <c r="AD1611" t="s">
        <v>41</v>
      </c>
      <c r="AE1611" t="s">
        <v>41</v>
      </c>
      <c r="AF1611" t="s">
        <v>41</v>
      </c>
      <c r="AK1611"/>
    </row>
    <row r="1612" spans="1:38" x14ac:dyDescent="0.25">
      <c r="A1612" t="s">
        <v>43</v>
      </c>
      <c r="B1612">
        <v>46087.893645833334</v>
      </c>
      <c r="C1612">
        <v>89721</v>
      </c>
      <c r="D1612" t="s">
        <v>1656</v>
      </c>
      <c r="E1612">
        <v>4513112</v>
      </c>
      <c r="F1612">
        <v>2104880</v>
      </c>
      <c r="G1612" t="s">
        <v>577</v>
      </c>
      <c r="H1612" t="s">
        <v>1622</v>
      </c>
      <c r="I1612">
        <v>10</v>
      </c>
      <c r="J1612" t="b">
        <v>1</v>
      </c>
      <c r="K1612">
        <v>2</v>
      </c>
      <c r="L1612">
        <v>2106200</v>
      </c>
      <c r="M1612" t="s">
        <v>579</v>
      </c>
      <c r="N1612">
        <v>5</v>
      </c>
      <c r="O1612">
        <v>5</v>
      </c>
      <c r="P1612"/>
      <c r="Q1612">
        <v>143276</v>
      </c>
      <c r="R1612">
        <v>2</v>
      </c>
      <c r="S1612" t="s">
        <v>40</v>
      </c>
      <c r="T1612">
        <v>261</v>
      </c>
      <c r="U1612">
        <v>147664</v>
      </c>
      <c r="V1612">
        <v>48</v>
      </c>
      <c r="W1612" t="s">
        <v>40</v>
      </c>
      <c r="X1612">
        <v>261</v>
      </c>
      <c r="Y1612" t="s">
        <v>377</v>
      </c>
      <c r="Z1612" t="s">
        <v>378</v>
      </c>
      <c r="AA1612" t="s">
        <v>379</v>
      </c>
      <c r="AB1612" t="s">
        <v>559</v>
      </c>
      <c r="AC1612" t="s">
        <v>41</v>
      </c>
      <c r="AD1612" t="s">
        <v>41</v>
      </c>
      <c r="AE1612" t="s">
        <v>41</v>
      </c>
      <c r="AF1612" t="s">
        <v>41</v>
      </c>
      <c r="AK1612"/>
    </row>
    <row r="1613" spans="1:38" x14ac:dyDescent="0.25">
      <c r="A1613" t="s">
        <v>39</v>
      </c>
      <c r="B1613">
        <v>46088.208657407406</v>
      </c>
      <c r="C1613">
        <v>91379</v>
      </c>
      <c r="D1613" t="s">
        <v>1025</v>
      </c>
      <c r="E1613">
        <v>4513601</v>
      </c>
      <c r="F1613">
        <v>156316</v>
      </c>
      <c r="G1613" t="s">
        <v>899</v>
      </c>
      <c r="H1613" t="s">
        <v>1581</v>
      </c>
      <c r="I1613">
        <v>7</v>
      </c>
      <c r="J1613" t="b">
        <v>1</v>
      </c>
      <c r="K1613">
        <v>1.75</v>
      </c>
      <c r="L1613">
        <v>156315</v>
      </c>
      <c r="M1613" t="s">
        <v>901</v>
      </c>
      <c r="N1613">
        <v>4</v>
      </c>
      <c r="O1613">
        <v>4</v>
      </c>
      <c r="P1613"/>
      <c r="Q1613">
        <v>134906</v>
      </c>
      <c r="R1613">
        <v>1</v>
      </c>
      <c r="S1613" t="s">
        <v>40</v>
      </c>
      <c r="T1613">
        <v>261</v>
      </c>
      <c r="U1613">
        <v>147664</v>
      </c>
      <c r="V1613">
        <v>24</v>
      </c>
      <c r="W1613" t="s">
        <v>40</v>
      </c>
      <c r="X1613">
        <v>261</v>
      </c>
      <c r="Y1613" t="s">
        <v>377</v>
      </c>
      <c r="Z1613" t="s">
        <v>378</v>
      </c>
      <c r="AA1613" t="s">
        <v>379</v>
      </c>
      <c r="AB1613" t="s">
        <v>384</v>
      </c>
      <c r="AC1613" t="s">
        <v>41</v>
      </c>
      <c r="AD1613" t="s">
        <v>41</v>
      </c>
      <c r="AE1613" t="s">
        <v>41</v>
      </c>
      <c r="AF1613" t="s">
        <v>41</v>
      </c>
      <c r="AK1613"/>
    </row>
    <row r="1614" spans="1:38" x14ac:dyDescent="0.25">
      <c r="A1614" t="s">
        <v>39</v>
      </c>
      <c r="B1614">
        <v>46088.209062499998</v>
      </c>
      <c r="C1614">
        <v>91379</v>
      </c>
      <c r="D1614" t="s">
        <v>1025</v>
      </c>
      <c r="E1614">
        <v>4513602</v>
      </c>
      <c r="F1614">
        <v>156316</v>
      </c>
      <c r="G1614" t="s">
        <v>899</v>
      </c>
      <c r="H1614" t="s">
        <v>1581</v>
      </c>
      <c r="I1614">
        <v>7</v>
      </c>
      <c r="J1614" t="b">
        <v>1</v>
      </c>
      <c r="K1614">
        <v>1.75</v>
      </c>
      <c r="L1614">
        <v>156315</v>
      </c>
      <c r="M1614" t="s">
        <v>901</v>
      </c>
      <c r="N1614">
        <v>4</v>
      </c>
      <c r="O1614">
        <v>4</v>
      </c>
      <c r="P1614"/>
      <c r="Q1614">
        <v>134906</v>
      </c>
      <c r="R1614">
        <v>1</v>
      </c>
      <c r="S1614" t="s">
        <v>40</v>
      </c>
      <c r="T1614">
        <v>261</v>
      </c>
      <c r="U1614">
        <v>147664</v>
      </c>
      <c r="V1614">
        <v>24</v>
      </c>
      <c r="W1614" t="s">
        <v>40</v>
      </c>
      <c r="X1614">
        <v>261</v>
      </c>
      <c r="Y1614" t="s">
        <v>377</v>
      </c>
      <c r="Z1614" t="s">
        <v>378</v>
      </c>
      <c r="AA1614" t="s">
        <v>379</v>
      </c>
      <c r="AB1614" t="s">
        <v>384</v>
      </c>
      <c r="AC1614" t="s">
        <v>41</v>
      </c>
      <c r="AD1614" t="s">
        <v>41</v>
      </c>
      <c r="AE1614" t="s">
        <v>41</v>
      </c>
      <c r="AF1614" t="s">
        <v>41</v>
      </c>
      <c r="AK1614"/>
    </row>
    <row r="1615" spans="1:38" x14ac:dyDescent="0.25">
      <c r="A1615" t="s">
        <v>42</v>
      </c>
      <c r="B1615">
        <v>46088.616122685184</v>
      </c>
      <c r="C1615">
        <v>92718</v>
      </c>
      <c r="D1615" t="s">
        <v>646</v>
      </c>
      <c r="E1615">
        <v>4513327</v>
      </c>
      <c r="F1615">
        <v>133168</v>
      </c>
      <c r="G1615" t="s">
        <v>863</v>
      </c>
      <c r="H1615" t="s">
        <v>1568</v>
      </c>
      <c r="I1615">
        <v>64.25</v>
      </c>
      <c r="J1615" t="b">
        <v>1</v>
      </c>
      <c r="K1615">
        <v>0.75588235294117645</v>
      </c>
      <c r="L1615">
        <v>144374</v>
      </c>
      <c r="M1615" t="s">
        <v>865</v>
      </c>
      <c r="N1615">
        <v>85</v>
      </c>
      <c r="O1615">
        <v>85</v>
      </c>
      <c r="P1615"/>
      <c r="Q1615">
        <v>134908</v>
      </c>
      <c r="R1615">
        <v>1</v>
      </c>
      <c r="S1615" t="s">
        <v>40</v>
      </c>
      <c r="T1615">
        <v>261</v>
      </c>
      <c r="U1615">
        <v>147664</v>
      </c>
      <c r="V1615">
        <v>24</v>
      </c>
      <c r="W1615" t="s">
        <v>40</v>
      </c>
      <c r="X1615">
        <v>261</v>
      </c>
      <c r="Y1615" t="s">
        <v>377</v>
      </c>
      <c r="Z1615" t="s">
        <v>378</v>
      </c>
      <c r="AA1615" t="s">
        <v>379</v>
      </c>
      <c r="AB1615" t="s">
        <v>841</v>
      </c>
      <c r="AC1615" t="s">
        <v>41</v>
      </c>
      <c r="AD1615" t="s">
        <v>41</v>
      </c>
      <c r="AE1615" t="s">
        <v>41</v>
      </c>
      <c r="AF1615" t="s">
        <v>41</v>
      </c>
      <c r="AK1615"/>
    </row>
    <row r="1616" spans="1:38" x14ac:dyDescent="0.25">
      <c r="A1616" t="s">
        <v>47</v>
      </c>
      <c r="B1616">
        <v>46088.73883101852</v>
      </c>
      <c r="C1616">
        <v>92758</v>
      </c>
      <c r="D1616" t="s">
        <v>646</v>
      </c>
      <c r="E1616">
        <v>4508492</v>
      </c>
      <c r="F1616">
        <v>125361</v>
      </c>
      <c r="G1616" t="s">
        <v>1657</v>
      </c>
      <c r="H1616" t="s">
        <v>1554</v>
      </c>
      <c r="I1616">
        <v>7.5</v>
      </c>
      <c r="J1616" t="b">
        <v>1</v>
      </c>
      <c r="K1616">
        <v>2.819548872180451E-2</v>
      </c>
      <c r="L1616">
        <v>125381</v>
      </c>
      <c r="M1616" t="s">
        <v>1658</v>
      </c>
      <c r="N1616">
        <v>266</v>
      </c>
      <c r="O1616">
        <v>260</v>
      </c>
      <c r="P1616"/>
      <c r="Q1616">
        <v>134978</v>
      </c>
      <c r="R1616">
        <v>1</v>
      </c>
      <c r="S1616" t="s">
        <v>40</v>
      </c>
      <c r="T1616">
        <v>261</v>
      </c>
      <c r="W1616"/>
      <c r="Y1616" t="s">
        <v>49</v>
      </c>
      <c r="Z1616" t="s">
        <v>378</v>
      </c>
      <c r="AA1616" t="s">
        <v>379</v>
      </c>
      <c r="AB1616" t="s">
        <v>1659</v>
      </c>
      <c r="AC1616" t="s">
        <v>41</v>
      </c>
      <c r="AD1616" t="s">
        <v>41</v>
      </c>
      <c r="AE1616" t="s">
        <v>41</v>
      </c>
      <c r="AF1616" t="s">
        <v>41</v>
      </c>
      <c r="AK1616"/>
    </row>
    <row r="1617" spans="1:38" x14ac:dyDescent="0.25">
      <c r="A1617" t="s">
        <v>39</v>
      </c>
      <c r="B1617">
        <v>46088.867824074077</v>
      </c>
      <c r="C1617">
        <v>89722</v>
      </c>
      <c r="D1617" t="s">
        <v>866</v>
      </c>
      <c r="E1617">
        <v>4513113</v>
      </c>
      <c r="F1617">
        <v>2104880</v>
      </c>
      <c r="G1617" t="s">
        <v>577</v>
      </c>
      <c r="H1617" t="s">
        <v>1576</v>
      </c>
      <c r="I1617">
        <v>5</v>
      </c>
      <c r="J1617" t="b">
        <v>0</v>
      </c>
      <c r="K1617">
        <v>1</v>
      </c>
      <c r="L1617">
        <v>2106200</v>
      </c>
      <c r="M1617" t="s">
        <v>579</v>
      </c>
      <c r="N1617">
        <v>5</v>
      </c>
      <c r="O1617">
        <v>9</v>
      </c>
      <c r="P1617"/>
      <c r="Q1617">
        <v>134905</v>
      </c>
      <c r="R1617">
        <v>1</v>
      </c>
      <c r="S1617" t="s">
        <v>40</v>
      </c>
      <c r="T1617">
        <v>261</v>
      </c>
      <c r="U1617">
        <v>147664</v>
      </c>
      <c r="V1617">
        <v>24</v>
      </c>
      <c r="W1617" t="s">
        <v>40</v>
      </c>
      <c r="X1617">
        <v>261</v>
      </c>
      <c r="Y1617" t="s">
        <v>377</v>
      </c>
      <c r="Z1617" t="s">
        <v>378</v>
      </c>
      <c r="AA1617" t="s">
        <v>379</v>
      </c>
      <c r="AB1617" t="s">
        <v>559</v>
      </c>
      <c r="AC1617" t="s">
        <v>41</v>
      </c>
      <c r="AD1617" t="s">
        <v>41</v>
      </c>
      <c r="AE1617" t="s">
        <v>41</v>
      </c>
      <c r="AF1617" t="s">
        <v>41</v>
      </c>
      <c r="AK1617"/>
    </row>
    <row r="1618" spans="1:38" x14ac:dyDescent="0.25">
      <c r="A1618" t="s">
        <v>39</v>
      </c>
      <c r="B1618">
        <v>46088.878923611112</v>
      </c>
      <c r="C1618">
        <v>89722</v>
      </c>
      <c r="D1618" t="s">
        <v>866</v>
      </c>
      <c r="E1618">
        <v>4513114</v>
      </c>
      <c r="F1618">
        <v>2104880</v>
      </c>
      <c r="G1618" t="s">
        <v>577</v>
      </c>
      <c r="H1618" t="s">
        <v>1576</v>
      </c>
      <c r="I1618">
        <v>5</v>
      </c>
      <c r="J1618" t="b">
        <v>1</v>
      </c>
      <c r="K1618">
        <v>1</v>
      </c>
      <c r="L1618">
        <v>2106200</v>
      </c>
      <c r="M1618" t="s">
        <v>579</v>
      </c>
      <c r="N1618">
        <v>5</v>
      </c>
      <c r="O1618">
        <v>9</v>
      </c>
      <c r="P1618"/>
      <c r="Q1618">
        <v>134905</v>
      </c>
      <c r="R1618">
        <v>1</v>
      </c>
      <c r="S1618" t="s">
        <v>40</v>
      </c>
      <c r="T1618">
        <v>261</v>
      </c>
      <c r="U1618">
        <v>147664</v>
      </c>
      <c r="V1618">
        <v>24</v>
      </c>
      <c r="W1618" t="s">
        <v>40</v>
      </c>
      <c r="X1618">
        <v>261</v>
      </c>
      <c r="Y1618" t="s">
        <v>377</v>
      </c>
      <c r="Z1618" t="s">
        <v>378</v>
      </c>
      <c r="AA1618" t="s">
        <v>379</v>
      </c>
      <c r="AB1618" t="s">
        <v>559</v>
      </c>
      <c r="AC1618" t="s">
        <v>41</v>
      </c>
      <c r="AD1618" t="s">
        <v>41</v>
      </c>
      <c r="AE1618" t="s">
        <v>41</v>
      </c>
      <c r="AF1618" t="s">
        <v>41</v>
      </c>
      <c r="AK1618"/>
    </row>
    <row r="1619" spans="1:38" x14ac:dyDescent="0.25">
      <c r="A1619" t="s">
        <v>39</v>
      </c>
      <c r="B1619">
        <v>46088.880046296297</v>
      </c>
      <c r="C1619">
        <v>89722</v>
      </c>
      <c r="D1619" t="s">
        <v>866</v>
      </c>
      <c r="E1619">
        <v>4513113</v>
      </c>
      <c r="F1619">
        <v>2104880</v>
      </c>
      <c r="G1619" t="s">
        <v>577</v>
      </c>
      <c r="H1619" t="s">
        <v>1576</v>
      </c>
      <c r="I1619">
        <v>5</v>
      </c>
      <c r="J1619" t="b">
        <v>1</v>
      </c>
      <c r="K1619">
        <v>1.25</v>
      </c>
      <c r="L1619">
        <v>2106200</v>
      </c>
      <c r="M1619" t="s">
        <v>579</v>
      </c>
      <c r="N1619">
        <v>4</v>
      </c>
      <c r="O1619">
        <v>4</v>
      </c>
      <c r="P1619"/>
      <c r="Q1619">
        <v>134905</v>
      </c>
      <c r="R1619">
        <v>1</v>
      </c>
      <c r="S1619" t="s">
        <v>40</v>
      </c>
      <c r="T1619">
        <v>261</v>
      </c>
      <c r="U1619">
        <v>147664</v>
      </c>
      <c r="V1619">
        <v>24</v>
      </c>
      <c r="W1619" t="s">
        <v>40</v>
      </c>
      <c r="X1619">
        <v>261</v>
      </c>
      <c r="Y1619" t="s">
        <v>377</v>
      </c>
      <c r="Z1619" t="s">
        <v>378</v>
      </c>
      <c r="AA1619" t="s">
        <v>379</v>
      </c>
      <c r="AB1619" t="s">
        <v>384</v>
      </c>
      <c r="AC1619" t="s">
        <v>41</v>
      </c>
      <c r="AD1619" t="s">
        <v>41</v>
      </c>
      <c r="AE1619" t="s">
        <v>41</v>
      </c>
      <c r="AF1619" t="s">
        <v>41</v>
      </c>
      <c r="AK1619"/>
    </row>
    <row r="1620" spans="1:38" x14ac:dyDescent="0.25">
      <c r="A1620" t="s">
        <v>38</v>
      </c>
      <c r="B1620">
        <v>46089.188854166663</v>
      </c>
      <c r="C1620">
        <v>93449</v>
      </c>
      <c r="D1620" t="s">
        <v>866</v>
      </c>
      <c r="E1620">
        <v>4509831</v>
      </c>
      <c r="F1620">
        <v>2304758</v>
      </c>
      <c r="G1620" t="s">
        <v>402</v>
      </c>
      <c r="H1620" t="s">
        <v>1583</v>
      </c>
      <c r="I1620">
        <v>14</v>
      </c>
      <c r="J1620" t="b">
        <v>1</v>
      </c>
      <c r="K1620">
        <v>1.75</v>
      </c>
      <c r="L1620">
        <v>2304759</v>
      </c>
      <c r="M1620" t="s">
        <v>404</v>
      </c>
      <c r="N1620">
        <v>8</v>
      </c>
      <c r="O1620">
        <v>8</v>
      </c>
      <c r="P1620"/>
      <c r="Q1620">
        <v>155687</v>
      </c>
      <c r="R1620">
        <v>1</v>
      </c>
      <c r="S1620" t="s">
        <v>40</v>
      </c>
      <c r="T1620">
        <v>261</v>
      </c>
      <c r="U1620">
        <v>147664</v>
      </c>
      <c r="V1620">
        <v>48</v>
      </c>
      <c r="W1620" t="s">
        <v>40</v>
      </c>
      <c r="X1620">
        <v>261</v>
      </c>
      <c r="Y1620" t="s">
        <v>377</v>
      </c>
      <c r="Z1620" t="s">
        <v>378</v>
      </c>
      <c r="AA1620" t="s">
        <v>379</v>
      </c>
      <c r="AB1620" t="s">
        <v>384</v>
      </c>
      <c r="AC1620" t="s">
        <v>379</v>
      </c>
      <c r="AD1620" t="s">
        <v>384</v>
      </c>
      <c r="AE1620" t="s">
        <v>41</v>
      </c>
      <c r="AF1620" t="s">
        <v>41</v>
      </c>
      <c r="AI1620">
        <v>155687</v>
      </c>
      <c r="AJ1620">
        <v>1</v>
      </c>
      <c r="AK1620" t="s">
        <v>40</v>
      </c>
      <c r="AL1620">
        <v>261</v>
      </c>
    </row>
    <row r="1621" spans="1:38" x14ac:dyDescent="0.25">
      <c r="A1621" t="s">
        <v>44</v>
      </c>
      <c r="B1621">
        <v>46089.345289351855</v>
      </c>
      <c r="C1621">
        <v>91852</v>
      </c>
      <c r="D1621" t="s">
        <v>373</v>
      </c>
      <c r="E1621">
        <v>4513415</v>
      </c>
      <c r="F1621">
        <v>160991</v>
      </c>
      <c r="G1621" t="s">
        <v>1507</v>
      </c>
      <c r="H1621" t="s">
        <v>1622</v>
      </c>
      <c r="I1621">
        <v>14</v>
      </c>
      <c r="J1621" t="b">
        <v>1</v>
      </c>
      <c r="K1621">
        <v>1.75</v>
      </c>
      <c r="L1621">
        <v>160988</v>
      </c>
      <c r="M1621" t="s">
        <v>1508</v>
      </c>
      <c r="N1621">
        <v>8</v>
      </c>
      <c r="O1621">
        <v>8</v>
      </c>
      <c r="P1621"/>
      <c r="Q1621">
        <v>155687</v>
      </c>
      <c r="R1621">
        <v>1</v>
      </c>
      <c r="S1621" t="s">
        <v>40</v>
      </c>
      <c r="T1621">
        <v>261</v>
      </c>
      <c r="U1621">
        <v>147664</v>
      </c>
      <c r="V1621">
        <v>48</v>
      </c>
      <c r="W1621" t="s">
        <v>40</v>
      </c>
      <c r="X1621">
        <v>261</v>
      </c>
      <c r="Y1621" t="s">
        <v>377</v>
      </c>
      <c r="Z1621" t="s">
        <v>378</v>
      </c>
      <c r="AA1621" t="s">
        <v>384</v>
      </c>
      <c r="AB1621" t="s">
        <v>384</v>
      </c>
      <c r="AC1621" t="s">
        <v>41</v>
      </c>
      <c r="AD1621" t="s">
        <v>41</v>
      </c>
      <c r="AE1621" t="s">
        <v>41</v>
      </c>
      <c r="AF1621" t="s">
        <v>41</v>
      </c>
      <c r="AI1621">
        <v>155687</v>
      </c>
      <c r="AJ1621">
        <v>1</v>
      </c>
      <c r="AK1621" t="s">
        <v>40</v>
      </c>
      <c r="AL1621">
        <v>261</v>
      </c>
    </row>
    <row r="1622" spans="1:38" x14ac:dyDescent="0.25">
      <c r="A1622" t="s">
        <v>48</v>
      </c>
      <c r="B1622">
        <v>46089.791504629633</v>
      </c>
      <c r="C1622">
        <v>92719</v>
      </c>
      <c r="D1622" t="s">
        <v>531</v>
      </c>
      <c r="E1622">
        <v>4513328</v>
      </c>
      <c r="F1622">
        <v>133168</v>
      </c>
      <c r="G1622" t="s">
        <v>863</v>
      </c>
      <c r="H1622" t="s">
        <v>1573</v>
      </c>
      <c r="I1622">
        <v>64.3</v>
      </c>
      <c r="J1622" t="b">
        <v>1</v>
      </c>
      <c r="K1622">
        <v>0.75647058823529412</v>
      </c>
      <c r="L1622">
        <v>144374</v>
      </c>
      <c r="M1622" t="s">
        <v>865</v>
      </c>
      <c r="N1622">
        <v>85</v>
      </c>
      <c r="O1622">
        <v>85</v>
      </c>
      <c r="P1622"/>
      <c r="Q1622">
        <v>134908</v>
      </c>
      <c r="R1622">
        <v>1</v>
      </c>
      <c r="S1622" t="s">
        <v>40</v>
      </c>
      <c r="T1622">
        <v>261</v>
      </c>
      <c r="U1622">
        <v>147664</v>
      </c>
      <c r="V1622">
        <v>24</v>
      </c>
      <c r="W1622" t="s">
        <v>40</v>
      </c>
      <c r="X1622">
        <v>261</v>
      </c>
      <c r="Y1622" t="s">
        <v>377</v>
      </c>
      <c r="Z1622" t="s">
        <v>378</v>
      </c>
      <c r="AA1622" t="s">
        <v>379</v>
      </c>
      <c r="AB1622" t="s">
        <v>841</v>
      </c>
      <c r="AC1622" t="s">
        <v>41</v>
      </c>
      <c r="AD1622" t="s">
        <v>41</v>
      </c>
      <c r="AE1622" t="s">
        <v>41</v>
      </c>
      <c r="AF1622" t="s">
        <v>41</v>
      </c>
      <c r="AK1622"/>
    </row>
    <row r="1623" spans="1:38" x14ac:dyDescent="0.25">
      <c r="A1623" t="s">
        <v>45</v>
      </c>
      <c r="B1623">
        <v>46089.792916666665</v>
      </c>
      <c r="C1623">
        <v>92759</v>
      </c>
      <c r="D1623" t="s">
        <v>531</v>
      </c>
      <c r="E1623">
        <v>4508495</v>
      </c>
      <c r="F1623">
        <v>2104936</v>
      </c>
      <c r="G1623" t="s">
        <v>1205</v>
      </c>
      <c r="H1623" t="s">
        <v>1554</v>
      </c>
      <c r="I1623">
        <v>7.5</v>
      </c>
      <c r="J1623" t="b">
        <v>1</v>
      </c>
      <c r="K1623">
        <v>1.8518518518518517E-2</v>
      </c>
      <c r="L1623">
        <v>2106290</v>
      </c>
      <c r="M1623" t="s">
        <v>1206</v>
      </c>
      <c r="N1623">
        <v>405</v>
      </c>
      <c r="O1623">
        <v>405</v>
      </c>
      <c r="P1623"/>
      <c r="Q1623">
        <v>0</v>
      </c>
      <c r="R1623">
        <v>0</v>
      </c>
      <c r="S1623" t="s">
        <v>40</v>
      </c>
      <c r="T1623">
        <v>261</v>
      </c>
      <c r="W1623"/>
      <c r="Y1623" t="s">
        <v>377</v>
      </c>
      <c r="Z1623" t="s">
        <v>378</v>
      </c>
      <c r="AA1623" t="s">
        <v>379</v>
      </c>
      <c r="AB1623" t="s">
        <v>1280</v>
      </c>
      <c r="AC1623" t="s">
        <v>41</v>
      </c>
      <c r="AD1623" t="s">
        <v>41</v>
      </c>
      <c r="AE1623" t="s">
        <v>41</v>
      </c>
      <c r="AF1623" t="s">
        <v>41</v>
      </c>
      <c r="AK1623"/>
    </row>
    <row r="1624" spans="1:38" x14ac:dyDescent="0.25">
      <c r="A1624" t="s">
        <v>42</v>
      </c>
      <c r="B1624">
        <v>46089.794236111113</v>
      </c>
      <c r="C1624">
        <v>92761</v>
      </c>
      <c r="D1624" t="s">
        <v>531</v>
      </c>
      <c r="E1624">
        <v>4513044</v>
      </c>
      <c r="F1624">
        <v>2104936</v>
      </c>
      <c r="G1624" t="s">
        <v>1205</v>
      </c>
      <c r="H1624" t="s">
        <v>1579</v>
      </c>
      <c r="I1624">
        <v>7.5</v>
      </c>
      <c r="J1624" t="b">
        <v>1</v>
      </c>
      <c r="K1624">
        <v>4.716981132075472E-2</v>
      </c>
      <c r="L1624">
        <v>2106290</v>
      </c>
      <c r="M1624" t="s">
        <v>1206</v>
      </c>
      <c r="N1624">
        <v>159</v>
      </c>
      <c r="O1624">
        <v>159</v>
      </c>
      <c r="P1624"/>
      <c r="Q1624">
        <v>0</v>
      </c>
      <c r="R1624">
        <v>0</v>
      </c>
      <c r="S1624" t="s">
        <v>40</v>
      </c>
      <c r="T1624">
        <v>261</v>
      </c>
      <c r="W1624"/>
      <c r="Y1624" t="s">
        <v>377</v>
      </c>
      <c r="Z1624" t="s">
        <v>378</v>
      </c>
      <c r="AA1624" t="s">
        <v>379</v>
      </c>
      <c r="AB1624" t="s">
        <v>1024</v>
      </c>
      <c r="AC1624" t="s">
        <v>41</v>
      </c>
      <c r="AD1624" t="s">
        <v>41</v>
      </c>
      <c r="AE1624" t="s">
        <v>41</v>
      </c>
      <c r="AF1624" t="s">
        <v>41</v>
      </c>
      <c r="AK1624"/>
    </row>
    <row r="1625" spans="1:38" x14ac:dyDescent="0.25">
      <c r="A1625" t="s">
        <v>39</v>
      </c>
      <c r="B1625">
        <v>46089.933333333334</v>
      </c>
      <c r="C1625">
        <v>89724</v>
      </c>
      <c r="D1625" t="s">
        <v>531</v>
      </c>
      <c r="E1625">
        <v>4513133</v>
      </c>
      <c r="F1625">
        <v>2104879</v>
      </c>
      <c r="G1625" t="s">
        <v>556</v>
      </c>
      <c r="H1625" t="s">
        <v>1580</v>
      </c>
      <c r="I1625">
        <v>5</v>
      </c>
      <c r="J1625" t="b">
        <v>1</v>
      </c>
      <c r="K1625">
        <v>1.25</v>
      </c>
      <c r="L1625">
        <v>2106199</v>
      </c>
      <c r="M1625" t="s">
        <v>558</v>
      </c>
      <c r="N1625">
        <v>4</v>
      </c>
      <c r="O1625">
        <v>4</v>
      </c>
      <c r="P1625"/>
      <c r="Q1625">
        <v>134971</v>
      </c>
      <c r="R1625">
        <v>1</v>
      </c>
      <c r="S1625" t="s">
        <v>40</v>
      </c>
      <c r="T1625">
        <v>261</v>
      </c>
      <c r="U1625">
        <v>147664</v>
      </c>
      <c r="V1625">
        <v>24</v>
      </c>
      <c r="W1625" t="s">
        <v>40</v>
      </c>
      <c r="X1625">
        <v>261</v>
      </c>
      <c r="Y1625" t="s">
        <v>377</v>
      </c>
      <c r="Z1625" t="s">
        <v>378</v>
      </c>
      <c r="AA1625" t="s">
        <v>379</v>
      </c>
      <c r="AB1625" t="s">
        <v>384</v>
      </c>
      <c r="AC1625" t="s">
        <v>41</v>
      </c>
      <c r="AD1625" t="s">
        <v>41</v>
      </c>
      <c r="AE1625" t="s">
        <v>41</v>
      </c>
      <c r="AF1625" t="s">
        <v>41</v>
      </c>
      <c r="AK1625"/>
    </row>
    <row r="1626" spans="1:38" x14ac:dyDescent="0.25">
      <c r="A1626" t="s">
        <v>39</v>
      </c>
      <c r="B1626">
        <v>46089.93513888889</v>
      </c>
      <c r="C1626">
        <v>89724</v>
      </c>
      <c r="D1626" t="s">
        <v>531</v>
      </c>
      <c r="E1626">
        <v>4513134</v>
      </c>
      <c r="F1626">
        <v>2104879</v>
      </c>
      <c r="G1626" t="s">
        <v>556</v>
      </c>
      <c r="H1626" t="s">
        <v>1580</v>
      </c>
      <c r="I1626">
        <v>5</v>
      </c>
      <c r="J1626" t="b">
        <v>1</v>
      </c>
      <c r="K1626">
        <v>1</v>
      </c>
      <c r="L1626">
        <v>2106199</v>
      </c>
      <c r="M1626" t="s">
        <v>558</v>
      </c>
      <c r="N1626">
        <v>5</v>
      </c>
      <c r="O1626">
        <v>5</v>
      </c>
      <c r="P1626"/>
      <c r="Q1626">
        <v>134971</v>
      </c>
      <c r="R1626">
        <v>1</v>
      </c>
      <c r="S1626" t="s">
        <v>40</v>
      </c>
      <c r="T1626">
        <v>261</v>
      </c>
      <c r="U1626">
        <v>147664</v>
      </c>
      <c r="V1626">
        <v>24</v>
      </c>
      <c r="W1626" t="s">
        <v>40</v>
      </c>
      <c r="X1626">
        <v>261</v>
      </c>
      <c r="Y1626" t="s">
        <v>377</v>
      </c>
      <c r="Z1626" t="s">
        <v>378</v>
      </c>
      <c r="AA1626" t="s">
        <v>379</v>
      </c>
      <c r="AB1626" t="s">
        <v>559</v>
      </c>
      <c r="AC1626" t="s">
        <v>41</v>
      </c>
      <c r="AD1626" t="s">
        <v>41</v>
      </c>
      <c r="AE1626" t="s">
        <v>41</v>
      </c>
      <c r="AF1626" t="s">
        <v>41</v>
      </c>
      <c r="AK1626"/>
    </row>
    <row r="1627" spans="1:38" x14ac:dyDescent="0.25">
      <c r="A1627" t="s">
        <v>44</v>
      </c>
      <c r="B1627">
        <v>46089.936898148146</v>
      </c>
      <c r="C1627">
        <v>91380</v>
      </c>
      <c r="D1627" t="s">
        <v>531</v>
      </c>
      <c r="E1627">
        <v>4513563</v>
      </c>
      <c r="F1627">
        <v>156292</v>
      </c>
      <c r="G1627" t="s">
        <v>46</v>
      </c>
      <c r="H1627" t="s">
        <v>1573</v>
      </c>
      <c r="I1627">
        <v>7</v>
      </c>
      <c r="J1627" t="b">
        <v>1</v>
      </c>
      <c r="K1627">
        <v>1.75</v>
      </c>
      <c r="L1627">
        <v>156291</v>
      </c>
      <c r="M1627" t="s">
        <v>433</v>
      </c>
      <c r="N1627">
        <v>4</v>
      </c>
      <c r="O1627">
        <v>4</v>
      </c>
      <c r="P1627"/>
      <c r="Q1627">
        <v>2301936</v>
      </c>
      <c r="R1627">
        <v>1</v>
      </c>
      <c r="S1627" t="s">
        <v>40</v>
      </c>
      <c r="T1627">
        <v>261</v>
      </c>
      <c r="U1627">
        <v>147664</v>
      </c>
      <c r="V1627">
        <v>24</v>
      </c>
      <c r="W1627" t="s">
        <v>40</v>
      </c>
      <c r="X1627">
        <v>261</v>
      </c>
      <c r="Y1627" t="s">
        <v>377</v>
      </c>
      <c r="Z1627" t="s">
        <v>378</v>
      </c>
      <c r="AA1627" t="s">
        <v>379</v>
      </c>
      <c r="AB1627" t="s">
        <v>384</v>
      </c>
      <c r="AC1627" t="s">
        <v>41</v>
      </c>
      <c r="AD1627" t="s">
        <v>41</v>
      </c>
      <c r="AE1627" t="s">
        <v>41</v>
      </c>
      <c r="AF1627" t="s">
        <v>41</v>
      </c>
      <c r="AK1627"/>
    </row>
    <row r="1628" spans="1:38" x14ac:dyDescent="0.25">
      <c r="A1628" t="s">
        <v>44</v>
      </c>
      <c r="B1628">
        <v>46089.938298611109</v>
      </c>
      <c r="C1628">
        <v>91380</v>
      </c>
      <c r="D1628" t="s">
        <v>531</v>
      </c>
      <c r="E1628">
        <v>4513564</v>
      </c>
      <c r="F1628">
        <v>156292</v>
      </c>
      <c r="G1628" t="s">
        <v>46</v>
      </c>
      <c r="H1628" t="s">
        <v>1573</v>
      </c>
      <c r="I1628">
        <v>7</v>
      </c>
      <c r="J1628" t="b">
        <v>1</v>
      </c>
      <c r="K1628">
        <v>1.75</v>
      </c>
      <c r="L1628">
        <v>156291</v>
      </c>
      <c r="M1628" t="s">
        <v>433</v>
      </c>
      <c r="N1628">
        <v>4</v>
      </c>
      <c r="O1628">
        <v>4</v>
      </c>
      <c r="P1628"/>
      <c r="Q1628">
        <v>2301936</v>
      </c>
      <c r="R1628">
        <v>1</v>
      </c>
      <c r="S1628" t="s">
        <v>40</v>
      </c>
      <c r="T1628">
        <v>261</v>
      </c>
      <c r="U1628">
        <v>147664</v>
      </c>
      <c r="V1628">
        <v>24</v>
      </c>
      <c r="W1628" t="s">
        <v>40</v>
      </c>
      <c r="X1628">
        <v>261</v>
      </c>
      <c r="Y1628" t="s">
        <v>377</v>
      </c>
      <c r="Z1628" t="s">
        <v>378</v>
      </c>
      <c r="AA1628" t="s">
        <v>379</v>
      </c>
      <c r="AB1628" t="s">
        <v>384</v>
      </c>
      <c r="AC1628" t="s">
        <v>41</v>
      </c>
      <c r="AD1628" t="s">
        <v>41</v>
      </c>
      <c r="AE1628" t="s">
        <v>41</v>
      </c>
      <c r="AF1628" t="s">
        <v>41</v>
      </c>
      <c r="AK1628"/>
    </row>
    <row r="1629" spans="1:38" x14ac:dyDescent="0.25">
      <c r="A1629" t="s">
        <v>43</v>
      </c>
      <c r="B1629">
        <v>46090.867777777778</v>
      </c>
      <c r="C1629">
        <v>92763</v>
      </c>
      <c r="D1629" t="s">
        <v>563</v>
      </c>
      <c r="E1629">
        <v>4508498</v>
      </c>
      <c r="F1629">
        <v>2105316</v>
      </c>
      <c r="G1629" t="s">
        <v>1160</v>
      </c>
      <c r="H1629" t="s">
        <v>1554</v>
      </c>
      <c r="I1629">
        <v>5</v>
      </c>
      <c r="J1629" t="b">
        <v>1</v>
      </c>
      <c r="K1629">
        <v>1.5822784810126583E-2</v>
      </c>
      <c r="L1629">
        <v>2106585</v>
      </c>
      <c r="M1629" t="s">
        <v>1161</v>
      </c>
      <c r="N1629">
        <v>316</v>
      </c>
      <c r="O1629">
        <v>316</v>
      </c>
      <c r="P1629"/>
      <c r="Q1629">
        <v>0</v>
      </c>
      <c r="R1629">
        <v>0</v>
      </c>
      <c r="S1629" t="s">
        <v>40</v>
      </c>
      <c r="T1629">
        <v>261</v>
      </c>
      <c r="W1629"/>
      <c r="Y1629" t="s">
        <v>377</v>
      </c>
      <c r="Z1629" t="s">
        <v>378</v>
      </c>
      <c r="AA1629" t="s">
        <v>379</v>
      </c>
      <c r="AB1629" t="s">
        <v>1598</v>
      </c>
      <c r="AC1629" t="s">
        <v>41</v>
      </c>
      <c r="AD1629" t="s">
        <v>41</v>
      </c>
      <c r="AE1629" t="s">
        <v>41</v>
      </c>
      <c r="AF1629" t="s">
        <v>41</v>
      </c>
      <c r="AK1629"/>
    </row>
    <row r="1630" spans="1:38" x14ac:dyDescent="0.25">
      <c r="A1630" t="s">
        <v>37</v>
      </c>
      <c r="B1630">
        <v>46091.042349537034</v>
      </c>
      <c r="C1630">
        <v>92722</v>
      </c>
      <c r="D1630" t="s">
        <v>563</v>
      </c>
      <c r="E1630">
        <v>4513329</v>
      </c>
      <c r="F1630">
        <v>133168</v>
      </c>
      <c r="G1630" t="s">
        <v>863</v>
      </c>
      <c r="H1630" t="s">
        <v>1581</v>
      </c>
      <c r="I1630">
        <v>64.3</v>
      </c>
      <c r="J1630" t="b">
        <v>1</v>
      </c>
      <c r="K1630">
        <v>0.85733333333333328</v>
      </c>
      <c r="L1630">
        <v>144374</v>
      </c>
      <c r="M1630" t="s">
        <v>865</v>
      </c>
      <c r="N1630">
        <v>75</v>
      </c>
      <c r="O1630">
        <v>75</v>
      </c>
      <c r="P1630"/>
      <c r="Q1630">
        <v>134971</v>
      </c>
      <c r="R1630">
        <v>1</v>
      </c>
      <c r="S1630" t="s">
        <v>40</v>
      </c>
      <c r="T1630">
        <v>261</v>
      </c>
      <c r="U1630">
        <v>147664</v>
      </c>
      <c r="V1630">
        <v>24</v>
      </c>
      <c r="W1630" t="s">
        <v>40</v>
      </c>
      <c r="X1630">
        <v>261</v>
      </c>
      <c r="Y1630" t="s">
        <v>377</v>
      </c>
      <c r="Z1630" t="s">
        <v>378</v>
      </c>
      <c r="AA1630" t="s">
        <v>379</v>
      </c>
      <c r="AB1630" t="s">
        <v>1489</v>
      </c>
      <c r="AC1630" t="s">
        <v>41</v>
      </c>
      <c r="AD1630" t="s">
        <v>41</v>
      </c>
      <c r="AE1630" t="s">
        <v>41</v>
      </c>
      <c r="AF1630" t="s">
        <v>41</v>
      </c>
      <c r="AK1630"/>
    </row>
    <row r="1631" spans="1:38" x14ac:dyDescent="0.25">
      <c r="A1631" t="s">
        <v>37</v>
      </c>
      <c r="B1631">
        <v>46091.473043981481</v>
      </c>
      <c r="C1631">
        <v>89725</v>
      </c>
      <c r="D1631" t="s">
        <v>393</v>
      </c>
      <c r="E1631">
        <v>4513136</v>
      </c>
      <c r="F1631">
        <v>2104879</v>
      </c>
      <c r="G1631" t="s">
        <v>556</v>
      </c>
      <c r="H1631" t="s">
        <v>1583</v>
      </c>
      <c r="I1631">
        <v>10</v>
      </c>
      <c r="J1631" t="b">
        <v>0</v>
      </c>
      <c r="K1631">
        <v>2.5</v>
      </c>
      <c r="L1631">
        <v>2106199</v>
      </c>
      <c r="M1631" t="s">
        <v>558</v>
      </c>
      <c r="N1631">
        <v>4</v>
      </c>
      <c r="O1631">
        <v>4</v>
      </c>
      <c r="P1631"/>
      <c r="Q1631">
        <v>134907</v>
      </c>
      <c r="R1631">
        <v>1</v>
      </c>
      <c r="S1631" t="s">
        <v>40</v>
      </c>
      <c r="T1631">
        <v>261</v>
      </c>
      <c r="U1631">
        <v>147664</v>
      </c>
      <c r="V1631">
        <v>24</v>
      </c>
      <c r="W1631" t="s">
        <v>40</v>
      </c>
      <c r="X1631">
        <v>261</v>
      </c>
      <c r="Y1631" t="s">
        <v>377</v>
      </c>
      <c r="Z1631" t="s">
        <v>378</v>
      </c>
      <c r="AA1631" t="s">
        <v>379</v>
      </c>
      <c r="AB1631" t="s">
        <v>384</v>
      </c>
      <c r="AC1631" t="s">
        <v>41</v>
      </c>
      <c r="AD1631" t="s">
        <v>41</v>
      </c>
      <c r="AE1631" t="s">
        <v>41</v>
      </c>
      <c r="AF1631" t="s">
        <v>41</v>
      </c>
      <c r="AK1631"/>
    </row>
    <row r="1632" spans="1:38" x14ac:dyDescent="0.25">
      <c r="A1632" t="s">
        <v>37</v>
      </c>
      <c r="B1632">
        <v>46091.474826388891</v>
      </c>
      <c r="C1632">
        <v>89725</v>
      </c>
      <c r="D1632" t="s">
        <v>393</v>
      </c>
      <c r="E1632">
        <v>4513135</v>
      </c>
      <c r="F1632">
        <v>2104879</v>
      </c>
      <c r="G1632" t="s">
        <v>556</v>
      </c>
      <c r="H1632" t="s">
        <v>1583</v>
      </c>
      <c r="I1632">
        <v>10</v>
      </c>
      <c r="J1632" t="b">
        <v>1</v>
      </c>
      <c r="K1632">
        <v>2.5</v>
      </c>
      <c r="L1632">
        <v>2106199</v>
      </c>
      <c r="M1632" t="s">
        <v>558</v>
      </c>
      <c r="N1632">
        <v>4</v>
      </c>
      <c r="O1632">
        <v>4</v>
      </c>
      <c r="P1632"/>
      <c r="Q1632">
        <v>134907</v>
      </c>
      <c r="R1632">
        <v>1</v>
      </c>
      <c r="S1632" t="s">
        <v>40</v>
      </c>
      <c r="T1632">
        <v>261</v>
      </c>
      <c r="U1632">
        <v>147664</v>
      </c>
      <c r="V1632">
        <v>24</v>
      </c>
      <c r="W1632" t="s">
        <v>40</v>
      </c>
      <c r="X1632">
        <v>261</v>
      </c>
      <c r="Y1632" t="s">
        <v>377</v>
      </c>
      <c r="Z1632" t="s">
        <v>378</v>
      </c>
      <c r="AA1632" t="s">
        <v>379</v>
      </c>
      <c r="AB1632" t="s">
        <v>384</v>
      </c>
      <c r="AC1632" t="s">
        <v>41</v>
      </c>
      <c r="AD1632" t="s">
        <v>41</v>
      </c>
      <c r="AE1632" t="s">
        <v>41</v>
      </c>
      <c r="AF1632" t="s">
        <v>41</v>
      </c>
      <c r="AK1632"/>
    </row>
    <row r="1633" spans="1:38" x14ac:dyDescent="0.25">
      <c r="A1633" t="s">
        <v>37</v>
      </c>
      <c r="B1633">
        <v>46091.481238425928</v>
      </c>
      <c r="C1633">
        <v>89725</v>
      </c>
      <c r="D1633" t="s">
        <v>393</v>
      </c>
      <c r="E1633">
        <v>4513136</v>
      </c>
      <c r="F1633">
        <v>2104879</v>
      </c>
      <c r="G1633" t="s">
        <v>556</v>
      </c>
      <c r="H1633" t="s">
        <v>1583</v>
      </c>
      <c r="I1633">
        <v>10</v>
      </c>
      <c r="J1633" t="b">
        <v>1</v>
      </c>
      <c r="K1633">
        <v>2</v>
      </c>
      <c r="L1633">
        <v>2106199</v>
      </c>
      <c r="M1633" t="s">
        <v>558</v>
      </c>
      <c r="N1633">
        <v>5</v>
      </c>
      <c r="O1633">
        <v>5</v>
      </c>
      <c r="P1633"/>
      <c r="Q1633">
        <v>134907</v>
      </c>
      <c r="R1633">
        <v>1</v>
      </c>
      <c r="S1633" t="s">
        <v>40</v>
      </c>
      <c r="T1633">
        <v>261</v>
      </c>
      <c r="U1633">
        <v>147664</v>
      </c>
      <c r="V1633">
        <v>24</v>
      </c>
      <c r="W1633" t="s">
        <v>40</v>
      </c>
      <c r="X1633">
        <v>261</v>
      </c>
      <c r="Y1633" t="s">
        <v>377</v>
      </c>
      <c r="Z1633" t="s">
        <v>378</v>
      </c>
      <c r="AA1633" t="s">
        <v>379</v>
      </c>
      <c r="AB1633" t="s">
        <v>559</v>
      </c>
      <c r="AC1633" t="s">
        <v>41</v>
      </c>
      <c r="AD1633" t="s">
        <v>41</v>
      </c>
      <c r="AE1633" t="s">
        <v>41</v>
      </c>
      <c r="AF1633" t="s">
        <v>41</v>
      </c>
      <c r="AK1633"/>
    </row>
    <row r="1634" spans="1:38" x14ac:dyDescent="0.25">
      <c r="A1634" t="s">
        <v>38</v>
      </c>
      <c r="B1634">
        <v>46091.54483796296</v>
      </c>
      <c r="C1634">
        <v>89503</v>
      </c>
      <c r="D1634" t="s">
        <v>393</v>
      </c>
      <c r="E1634">
        <v>4513565</v>
      </c>
      <c r="F1634">
        <v>156292</v>
      </c>
      <c r="G1634" t="s">
        <v>46</v>
      </c>
      <c r="H1634" t="s">
        <v>1581</v>
      </c>
      <c r="I1634">
        <v>7</v>
      </c>
      <c r="J1634" t="b">
        <v>1</v>
      </c>
      <c r="K1634">
        <v>1.75</v>
      </c>
      <c r="L1634">
        <v>156291</v>
      </c>
      <c r="M1634" t="s">
        <v>433</v>
      </c>
      <c r="N1634">
        <v>4</v>
      </c>
      <c r="O1634">
        <v>4</v>
      </c>
      <c r="P1634"/>
      <c r="Q1634">
        <v>134905</v>
      </c>
      <c r="R1634">
        <v>1</v>
      </c>
      <c r="S1634" t="s">
        <v>40</v>
      </c>
      <c r="T1634">
        <v>261</v>
      </c>
      <c r="U1634">
        <v>147664</v>
      </c>
      <c r="V1634">
        <v>24</v>
      </c>
      <c r="W1634" t="s">
        <v>40</v>
      </c>
      <c r="X1634">
        <v>261</v>
      </c>
      <c r="Y1634" t="s">
        <v>377</v>
      </c>
      <c r="Z1634" t="s">
        <v>378</v>
      </c>
      <c r="AA1634" t="s">
        <v>379</v>
      </c>
      <c r="AB1634" t="s">
        <v>384</v>
      </c>
      <c r="AC1634" t="s">
        <v>41</v>
      </c>
      <c r="AD1634" t="s">
        <v>41</v>
      </c>
      <c r="AE1634" t="s">
        <v>41</v>
      </c>
      <c r="AF1634" t="s">
        <v>41</v>
      </c>
      <c r="AK1634"/>
    </row>
    <row r="1635" spans="1:38" x14ac:dyDescent="0.25">
      <c r="A1635" t="s">
        <v>38</v>
      </c>
      <c r="B1635">
        <v>46091.553368055553</v>
      </c>
      <c r="C1635">
        <v>89503</v>
      </c>
      <c r="D1635" t="s">
        <v>393</v>
      </c>
      <c r="E1635">
        <v>4513566</v>
      </c>
      <c r="F1635">
        <v>156292</v>
      </c>
      <c r="G1635" t="s">
        <v>46</v>
      </c>
      <c r="H1635" t="s">
        <v>1581</v>
      </c>
      <c r="I1635">
        <v>7</v>
      </c>
      <c r="J1635" t="b">
        <v>1</v>
      </c>
      <c r="K1635">
        <v>1.75</v>
      </c>
      <c r="L1635">
        <v>156291</v>
      </c>
      <c r="M1635" t="s">
        <v>433</v>
      </c>
      <c r="N1635">
        <v>4</v>
      </c>
      <c r="O1635">
        <v>4</v>
      </c>
      <c r="P1635"/>
      <c r="Q1635">
        <v>134905</v>
      </c>
      <c r="R1635">
        <v>1</v>
      </c>
      <c r="S1635" t="s">
        <v>40</v>
      </c>
      <c r="T1635">
        <v>261</v>
      </c>
      <c r="U1635">
        <v>147664</v>
      </c>
      <c r="V1635">
        <v>24</v>
      </c>
      <c r="W1635" t="s">
        <v>40</v>
      </c>
      <c r="X1635">
        <v>261</v>
      </c>
      <c r="Y1635" t="s">
        <v>377</v>
      </c>
      <c r="Z1635" t="s">
        <v>378</v>
      </c>
      <c r="AA1635" t="s">
        <v>379</v>
      </c>
      <c r="AB1635" t="s">
        <v>384</v>
      </c>
      <c r="AC1635" t="s">
        <v>41</v>
      </c>
      <c r="AD1635" t="s">
        <v>41</v>
      </c>
      <c r="AE1635" t="s">
        <v>41</v>
      </c>
      <c r="AF1635" t="s">
        <v>41</v>
      </c>
      <c r="AK1635"/>
    </row>
    <row r="1636" spans="1:38" x14ac:dyDescent="0.25">
      <c r="A1636" t="s">
        <v>37</v>
      </c>
      <c r="B1636">
        <v>46091.570405092592</v>
      </c>
      <c r="C1636">
        <v>89725</v>
      </c>
      <c r="D1636" t="s">
        <v>393</v>
      </c>
      <c r="E1636">
        <v>4513136</v>
      </c>
      <c r="F1636">
        <v>2104879</v>
      </c>
      <c r="G1636" t="s">
        <v>556</v>
      </c>
      <c r="H1636" t="s">
        <v>1583</v>
      </c>
      <c r="I1636">
        <v>5</v>
      </c>
      <c r="J1636" t="b">
        <v>1</v>
      </c>
      <c r="K1636">
        <v>1</v>
      </c>
      <c r="L1636">
        <v>2106199</v>
      </c>
      <c r="M1636" t="s">
        <v>558</v>
      </c>
      <c r="N1636">
        <v>5</v>
      </c>
      <c r="O1636">
        <v>5</v>
      </c>
      <c r="P1636"/>
      <c r="Q1636">
        <v>134907</v>
      </c>
      <c r="R1636">
        <v>1</v>
      </c>
      <c r="S1636" t="s">
        <v>40</v>
      </c>
      <c r="T1636">
        <v>261</v>
      </c>
      <c r="U1636">
        <v>147664</v>
      </c>
      <c r="V1636">
        <v>24</v>
      </c>
      <c r="W1636" t="s">
        <v>40</v>
      </c>
      <c r="X1636">
        <v>261</v>
      </c>
      <c r="Y1636" t="s">
        <v>377</v>
      </c>
      <c r="Z1636" t="s">
        <v>378</v>
      </c>
      <c r="AA1636" t="s">
        <v>379</v>
      </c>
      <c r="AB1636" t="s">
        <v>559</v>
      </c>
      <c r="AC1636" t="s">
        <v>41</v>
      </c>
      <c r="AD1636" t="s">
        <v>41</v>
      </c>
      <c r="AE1636" t="s">
        <v>41</v>
      </c>
      <c r="AF1636" t="s">
        <v>41</v>
      </c>
      <c r="AK1636"/>
    </row>
    <row r="1637" spans="1:38" x14ac:dyDescent="0.25">
      <c r="A1637" t="s">
        <v>37</v>
      </c>
      <c r="B1637">
        <v>46091.572314814817</v>
      </c>
      <c r="C1637">
        <v>89725</v>
      </c>
      <c r="D1637" t="s">
        <v>393</v>
      </c>
      <c r="E1637">
        <v>4513136</v>
      </c>
      <c r="F1637">
        <v>2104879</v>
      </c>
      <c r="G1637" t="s">
        <v>556</v>
      </c>
      <c r="H1637" t="s">
        <v>1583</v>
      </c>
      <c r="I1637">
        <v>5</v>
      </c>
      <c r="J1637" t="b">
        <v>1</v>
      </c>
      <c r="K1637">
        <v>1</v>
      </c>
      <c r="L1637">
        <v>2106199</v>
      </c>
      <c r="M1637" t="s">
        <v>558</v>
      </c>
      <c r="N1637">
        <v>5</v>
      </c>
      <c r="O1637">
        <v>5</v>
      </c>
      <c r="P1637"/>
      <c r="Q1637">
        <v>134907</v>
      </c>
      <c r="R1637">
        <v>1</v>
      </c>
      <c r="S1637" t="s">
        <v>40</v>
      </c>
      <c r="T1637">
        <v>261</v>
      </c>
      <c r="U1637">
        <v>147664</v>
      </c>
      <c r="V1637">
        <v>24</v>
      </c>
      <c r="W1637" t="s">
        <v>40</v>
      </c>
      <c r="X1637">
        <v>261</v>
      </c>
      <c r="Y1637" t="s">
        <v>377</v>
      </c>
      <c r="Z1637" t="s">
        <v>378</v>
      </c>
      <c r="AA1637" t="s">
        <v>379</v>
      </c>
      <c r="AB1637" t="s">
        <v>559</v>
      </c>
      <c r="AC1637" t="s">
        <v>41</v>
      </c>
      <c r="AD1637" t="s">
        <v>41</v>
      </c>
      <c r="AE1637" t="s">
        <v>41</v>
      </c>
      <c r="AF1637" t="s">
        <v>41</v>
      </c>
      <c r="AK1637"/>
    </row>
    <row r="1638" spans="1:38" x14ac:dyDescent="0.25">
      <c r="A1638" t="s">
        <v>43</v>
      </c>
      <c r="B1638">
        <v>46091.641493055555</v>
      </c>
      <c r="C1638">
        <v>92766</v>
      </c>
      <c r="D1638" t="s">
        <v>393</v>
      </c>
      <c r="E1638">
        <v>4510918</v>
      </c>
      <c r="F1638">
        <v>2105316</v>
      </c>
      <c r="G1638" t="s">
        <v>1160</v>
      </c>
      <c r="H1638" t="s">
        <v>1579</v>
      </c>
      <c r="I1638">
        <v>5</v>
      </c>
      <c r="J1638" t="b">
        <v>1</v>
      </c>
      <c r="K1638">
        <v>1.5479876160990712E-2</v>
      </c>
      <c r="L1638">
        <v>2106585</v>
      </c>
      <c r="M1638" t="s">
        <v>1161</v>
      </c>
      <c r="N1638">
        <v>323</v>
      </c>
      <c r="O1638">
        <v>323</v>
      </c>
      <c r="P1638"/>
      <c r="Q1638">
        <v>0</v>
      </c>
      <c r="R1638">
        <v>0</v>
      </c>
      <c r="S1638" t="s">
        <v>40</v>
      </c>
      <c r="T1638">
        <v>261</v>
      </c>
      <c r="W1638"/>
      <c r="Y1638" t="s">
        <v>377</v>
      </c>
      <c r="Z1638" t="s">
        <v>378</v>
      </c>
      <c r="AA1638" t="s">
        <v>379</v>
      </c>
      <c r="AB1638" t="s">
        <v>733</v>
      </c>
      <c r="AC1638" t="s">
        <v>41</v>
      </c>
      <c r="AD1638" t="s">
        <v>41</v>
      </c>
      <c r="AE1638" t="s">
        <v>41</v>
      </c>
      <c r="AF1638" t="s">
        <v>41</v>
      </c>
      <c r="AK1638"/>
    </row>
    <row r="1639" spans="1:38" x14ac:dyDescent="0.25">
      <c r="A1639" t="s">
        <v>37</v>
      </c>
      <c r="B1639">
        <v>46092.331793981481</v>
      </c>
      <c r="C1639">
        <v>89726</v>
      </c>
      <c r="D1639" t="s">
        <v>373</v>
      </c>
      <c r="E1639">
        <v>4513137</v>
      </c>
      <c r="F1639">
        <v>2104879</v>
      </c>
      <c r="G1639" t="s">
        <v>556</v>
      </c>
      <c r="H1639" t="s">
        <v>1660</v>
      </c>
      <c r="I1639">
        <v>5</v>
      </c>
      <c r="J1639" t="b">
        <v>0</v>
      </c>
      <c r="K1639">
        <v>1.25</v>
      </c>
      <c r="L1639">
        <v>2106199</v>
      </c>
      <c r="M1639" t="s">
        <v>558</v>
      </c>
      <c r="N1639">
        <v>4</v>
      </c>
      <c r="O1639">
        <v>4</v>
      </c>
      <c r="P1639"/>
      <c r="Q1639">
        <v>134907</v>
      </c>
      <c r="R1639">
        <v>1</v>
      </c>
      <c r="S1639" t="s">
        <v>40</v>
      </c>
      <c r="T1639">
        <v>261</v>
      </c>
      <c r="U1639">
        <v>147664</v>
      </c>
      <c r="V1639">
        <v>24</v>
      </c>
      <c r="W1639" t="s">
        <v>40</v>
      </c>
      <c r="X1639">
        <v>261</v>
      </c>
      <c r="Y1639" t="s">
        <v>377</v>
      </c>
      <c r="Z1639" t="s">
        <v>378</v>
      </c>
      <c r="AA1639" t="s">
        <v>379</v>
      </c>
      <c r="AB1639" t="s">
        <v>384</v>
      </c>
      <c r="AC1639" t="s">
        <v>41</v>
      </c>
      <c r="AD1639" t="s">
        <v>41</v>
      </c>
      <c r="AE1639" t="s">
        <v>41</v>
      </c>
      <c r="AF1639" t="s">
        <v>41</v>
      </c>
      <c r="AK1639"/>
    </row>
    <row r="1640" spans="1:38" x14ac:dyDescent="0.25">
      <c r="A1640" t="s">
        <v>47</v>
      </c>
      <c r="B1640">
        <v>46092.415347222224</v>
      </c>
      <c r="C1640">
        <v>92723</v>
      </c>
      <c r="D1640" t="s">
        <v>373</v>
      </c>
      <c r="E1640">
        <v>4509160</v>
      </c>
      <c r="F1640">
        <v>2310135</v>
      </c>
      <c r="G1640" t="s">
        <v>1052</v>
      </c>
      <c r="H1640" t="s">
        <v>1661</v>
      </c>
      <c r="I1640">
        <v>64.3</v>
      </c>
      <c r="J1640" t="b">
        <v>1</v>
      </c>
      <c r="K1640">
        <v>0.15569007263922519</v>
      </c>
      <c r="L1640">
        <v>2310136</v>
      </c>
      <c r="M1640" t="s">
        <v>1053</v>
      </c>
      <c r="N1640">
        <v>413</v>
      </c>
      <c r="O1640">
        <v>410</v>
      </c>
      <c r="P1640"/>
      <c r="Q1640">
        <v>134974</v>
      </c>
      <c r="R1640">
        <v>1</v>
      </c>
      <c r="S1640" t="s">
        <v>40</v>
      </c>
      <c r="T1640">
        <v>261</v>
      </c>
      <c r="W1640"/>
      <c r="Y1640" t="s">
        <v>377</v>
      </c>
      <c r="Z1640" t="s">
        <v>378</v>
      </c>
      <c r="AA1640" t="s">
        <v>379</v>
      </c>
      <c r="AB1640" t="s">
        <v>1061</v>
      </c>
      <c r="AC1640" t="s">
        <v>41</v>
      </c>
      <c r="AD1640" t="s">
        <v>41</v>
      </c>
      <c r="AE1640" t="s">
        <v>41</v>
      </c>
      <c r="AF1640" t="s">
        <v>41</v>
      </c>
      <c r="AK1640"/>
    </row>
    <row r="1641" spans="1:38" x14ac:dyDescent="0.25">
      <c r="A1641" t="s">
        <v>37</v>
      </c>
      <c r="B1641">
        <v>46092.421886574077</v>
      </c>
      <c r="C1641">
        <v>89726</v>
      </c>
      <c r="D1641" t="s">
        <v>457</v>
      </c>
      <c r="E1641">
        <v>4513138</v>
      </c>
      <c r="F1641">
        <v>2104879</v>
      </c>
      <c r="G1641" t="s">
        <v>556</v>
      </c>
      <c r="H1641" t="s">
        <v>1660</v>
      </c>
      <c r="I1641">
        <v>5</v>
      </c>
      <c r="J1641" t="b">
        <v>1</v>
      </c>
      <c r="K1641">
        <v>1.25</v>
      </c>
      <c r="L1641">
        <v>2106199</v>
      </c>
      <c r="M1641" t="s">
        <v>558</v>
      </c>
      <c r="N1641">
        <v>5</v>
      </c>
      <c r="O1641">
        <v>5</v>
      </c>
      <c r="P1641"/>
      <c r="Q1641">
        <v>134907</v>
      </c>
      <c r="R1641">
        <v>1</v>
      </c>
      <c r="S1641" t="s">
        <v>40</v>
      </c>
      <c r="T1641">
        <v>261</v>
      </c>
      <c r="U1641">
        <v>147664</v>
      </c>
      <c r="V1641">
        <v>24</v>
      </c>
      <c r="W1641" t="s">
        <v>40</v>
      </c>
      <c r="X1641">
        <v>261</v>
      </c>
      <c r="Y1641" t="s">
        <v>377</v>
      </c>
      <c r="Z1641" t="s">
        <v>378</v>
      </c>
      <c r="AA1641" t="s">
        <v>379</v>
      </c>
      <c r="AB1641" t="s">
        <v>559</v>
      </c>
      <c r="AC1641" t="s">
        <v>41</v>
      </c>
      <c r="AD1641" t="s">
        <v>41</v>
      </c>
      <c r="AE1641" t="s">
        <v>41</v>
      </c>
      <c r="AF1641" t="s">
        <v>41</v>
      </c>
      <c r="AK1641"/>
    </row>
    <row r="1642" spans="1:38" x14ac:dyDescent="0.25">
      <c r="A1642" t="s">
        <v>39</v>
      </c>
      <c r="B1642">
        <v>46092.595601851855</v>
      </c>
      <c r="C1642">
        <v>92767</v>
      </c>
      <c r="D1642" t="s">
        <v>373</v>
      </c>
      <c r="E1642">
        <v>4508462</v>
      </c>
      <c r="F1642">
        <v>121962</v>
      </c>
      <c r="G1642" t="s">
        <v>1152</v>
      </c>
      <c r="H1642" t="s">
        <v>1554</v>
      </c>
      <c r="I1642">
        <v>5</v>
      </c>
      <c r="J1642" t="b">
        <v>1</v>
      </c>
      <c r="K1642">
        <v>1.1363636363636364E-2</v>
      </c>
      <c r="L1642">
        <v>121964</v>
      </c>
      <c r="M1642" t="s">
        <v>1153</v>
      </c>
      <c r="N1642">
        <v>440</v>
      </c>
      <c r="O1642">
        <v>437</v>
      </c>
      <c r="P1642"/>
      <c r="Q1642">
        <v>134976</v>
      </c>
      <c r="R1642">
        <v>1</v>
      </c>
      <c r="S1642" t="s">
        <v>40</v>
      </c>
      <c r="T1642">
        <v>261</v>
      </c>
      <c r="V1642">
        <v>0</v>
      </c>
      <c r="W1642"/>
      <c r="Y1642" t="s">
        <v>377</v>
      </c>
      <c r="Z1642" t="s">
        <v>378</v>
      </c>
      <c r="AA1642" t="s">
        <v>384</v>
      </c>
      <c r="AB1642" t="s">
        <v>932</v>
      </c>
      <c r="AC1642" t="s">
        <v>41</v>
      </c>
      <c r="AD1642" t="s">
        <v>41</v>
      </c>
      <c r="AE1642" t="s">
        <v>41</v>
      </c>
      <c r="AF1642" t="s">
        <v>41</v>
      </c>
      <c r="AI1642">
        <v>134976</v>
      </c>
      <c r="AJ1642">
        <v>1</v>
      </c>
      <c r="AK1642" t="s">
        <v>40</v>
      </c>
      <c r="AL1642">
        <v>261</v>
      </c>
    </row>
    <row r="1643" spans="1:38" x14ac:dyDescent="0.25">
      <c r="A1643" t="s">
        <v>38</v>
      </c>
      <c r="B1643">
        <v>46092.915289351855</v>
      </c>
      <c r="C1643">
        <v>91857</v>
      </c>
      <c r="D1643" t="s">
        <v>1025</v>
      </c>
      <c r="E1643">
        <v>4509832</v>
      </c>
      <c r="F1643">
        <v>2304758</v>
      </c>
      <c r="G1643" t="s">
        <v>402</v>
      </c>
      <c r="H1643" t="s">
        <v>1660</v>
      </c>
      <c r="I1643">
        <v>14</v>
      </c>
      <c r="J1643" t="b">
        <v>1</v>
      </c>
      <c r="K1643">
        <v>1.75</v>
      </c>
      <c r="L1643">
        <v>2304759</v>
      </c>
      <c r="M1643" t="s">
        <v>404</v>
      </c>
      <c r="N1643">
        <v>8</v>
      </c>
      <c r="O1643">
        <v>8</v>
      </c>
      <c r="P1643"/>
      <c r="Q1643">
        <v>134905</v>
      </c>
      <c r="R1643">
        <v>2</v>
      </c>
      <c r="S1643" t="s">
        <v>40</v>
      </c>
      <c r="T1643">
        <v>261</v>
      </c>
      <c r="U1643">
        <v>147664</v>
      </c>
      <c r="V1643">
        <v>48</v>
      </c>
      <c r="W1643" t="s">
        <v>40</v>
      </c>
      <c r="X1643">
        <v>261</v>
      </c>
      <c r="Y1643" t="s">
        <v>377</v>
      </c>
      <c r="Z1643" t="s">
        <v>378</v>
      </c>
      <c r="AA1643" t="s">
        <v>384</v>
      </c>
      <c r="AB1643" t="s">
        <v>384</v>
      </c>
      <c r="AC1643" t="s">
        <v>41</v>
      </c>
      <c r="AD1643" t="s">
        <v>41</v>
      </c>
      <c r="AE1643" t="s">
        <v>41</v>
      </c>
      <c r="AF1643" t="s">
        <v>41</v>
      </c>
      <c r="AK1643"/>
    </row>
    <row r="1644" spans="1:38" x14ac:dyDescent="0.25">
      <c r="A1644" t="s">
        <v>42</v>
      </c>
      <c r="B1644">
        <v>46093.010115740741</v>
      </c>
      <c r="C1644">
        <v>92724</v>
      </c>
      <c r="D1644" t="s">
        <v>1025</v>
      </c>
      <c r="E1644">
        <v>4509161</v>
      </c>
      <c r="F1644">
        <v>2310135</v>
      </c>
      <c r="G1644" t="s">
        <v>1052</v>
      </c>
      <c r="H1644" t="s">
        <v>1662</v>
      </c>
      <c r="I1644">
        <v>64.3</v>
      </c>
      <c r="J1644" t="b">
        <v>1</v>
      </c>
      <c r="K1644">
        <v>0.15915841584158416</v>
      </c>
      <c r="L1644">
        <v>2310136</v>
      </c>
      <c r="M1644" t="s">
        <v>1053</v>
      </c>
      <c r="N1644">
        <v>404</v>
      </c>
      <c r="O1644">
        <v>404</v>
      </c>
      <c r="P1644"/>
      <c r="Q1644">
        <v>134974</v>
      </c>
      <c r="R1644">
        <v>1</v>
      </c>
      <c r="S1644" t="s">
        <v>40</v>
      </c>
      <c r="T1644">
        <v>261</v>
      </c>
      <c r="W1644"/>
      <c r="Y1644" t="s">
        <v>377</v>
      </c>
      <c r="Z1644" t="s">
        <v>378</v>
      </c>
      <c r="AA1644" t="s">
        <v>379</v>
      </c>
      <c r="AB1644" t="s">
        <v>1309</v>
      </c>
      <c r="AC1644" t="s">
        <v>41</v>
      </c>
      <c r="AD1644" t="s">
        <v>41</v>
      </c>
      <c r="AE1644" t="s">
        <v>41</v>
      </c>
      <c r="AF1644" t="s">
        <v>41</v>
      </c>
      <c r="AK1644"/>
    </row>
    <row r="1645" spans="1:38" x14ac:dyDescent="0.25">
      <c r="A1645" t="s">
        <v>43</v>
      </c>
      <c r="B1645">
        <v>46093.150543981479</v>
      </c>
      <c r="C1645">
        <v>89504</v>
      </c>
      <c r="D1645" t="s">
        <v>1025</v>
      </c>
      <c r="E1645">
        <v>4513603</v>
      </c>
      <c r="F1645">
        <v>156316</v>
      </c>
      <c r="G1645" t="s">
        <v>899</v>
      </c>
      <c r="H1645" t="s">
        <v>1584</v>
      </c>
      <c r="I1645">
        <v>7</v>
      </c>
      <c r="J1645" t="b">
        <v>1</v>
      </c>
      <c r="K1645">
        <v>1.75</v>
      </c>
      <c r="L1645">
        <v>156315</v>
      </c>
      <c r="M1645" t="s">
        <v>901</v>
      </c>
      <c r="N1645">
        <v>4</v>
      </c>
      <c r="O1645">
        <v>4</v>
      </c>
      <c r="P1645"/>
      <c r="Q1645">
        <v>134905</v>
      </c>
      <c r="R1645">
        <v>1</v>
      </c>
      <c r="S1645" t="s">
        <v>40</v>
      </c>
      <c r="T1645">
        <v>261</v>
      </c>
      <c r="U1645">
        <v>147664</v>
      </c>
      <c r="V1645">
        <v>24</v>
      </c>
      <c r="W1645" t="s">
        <v>40</v>
      </c>
      <c r="X1645">
        <v>261</v>
      </c>
      <c r="Y1645" t="s">
        <v>377</v>
      </c>
      <c r="Z1645" t="s">
        <v>378</v>
      </c>
      <c r="AA1645" t="s">
        <v>379</v>
      </c>
      <c r="AB1645" t="s">
        <v>384</v>
      </c>
      <c r="AC1645" t="s">
        <v>41</v>
      </c>
      <c r="AD1645" t="s">
        <v>41</v>
      </c>
      <c r="AE1645" t="s">
        <v>41</v>
      </c>
      <c r="AF1645" t="s">
        <v>41</v>
      </c>
      <c r="AK1645"/>
    </row>
    <row r="1646" spans="1:38" x14ac:dyDescent="0.25">
      <c r="A1646" t="s">
        <v>43</v>
      </c>
      <c r="B1646">
        <v>46093.151342592595</v>
      </c>
      <c r="C1646">
        <v>89504</v>
      </c>
      <c r="D1646" t="s">
        <v>1025</v>
      </c>
      <c r="E1646">
        <v>4513606</v>
      </c>
      <c r="F1646">
        <v>156316</v>
      </c>
      <c r="G1646" t="s">
        <v>899</v>
      </c>
      <c r="H1646" t="s">
        <v>1584</v>
      </c>
      <c r="I1646">
        <v>7</v>
      </c>
      <c r="J1646" t="b">
        <v>1</v>
      </c>
      <c r="K1646">
        <v>1.75</v>
      </c>
      <c r="L1646">
        <v>156315</v>
      </c>
      <c r="M1646" t="s">
        <v>901</v>
      </c>
      <c r="N1646">
        <v>4</v>
      </c>
      <c r="O1646">
        <v>4</v>
      </c>
      <c r="P1646"/>
      <c r="Q1646">
        <v>134905</v>
      </c>
      <c r="R1646">
        <v>1</v>
      </c>
      <c r="S1646" t="s">
        <v>40</v>
      </c>
      <c r="T1646">
        <v>261</v>
      </c>
      <c r="U1646">
        <v>147664</v>
      </c>
      <c r="V1646">
        <v>24</v>
      </c>
      <c r="W1646" t="s">
        <v>40</v>
      </c>
      <c r="X1646">
        <v>261</v>
      </c>
      <c r="Y1646" t="s">
        <v>377</v>
      </c>
      <c r="Z1646" t="s">
        <v>378</v>
      </c>
      <c r="AA1646" t="s">
        <v>379</v>
      </c>
      <c r="AB1646" t="s">
        <v>384</v>
      </c>
      <c r="AC1646" t="s">
        <v>41</v>
      </c>
      <c r="AD1646" t="s">
        <v>41</v>
      </c>
      <c r="AE1646" t="s">
        <v>41</v>
      </c>
      <c r="AF1646" t="s">
        <v>41</v>
      </c>
      <c r="AK1646"/>
    </row>
    <row r="1647" spans="1:38" x14ac:dyDescent="0.25">
      <c r="A1647" t="s">
        <v>39</v>
      </c>
      <c r="B1647">
        <v>46093.175520833334</v>
      </c>
      <c r="C1647">
        <v>89727</v>
      </c>
      <c r="D1647" t="s">
        <v>1025</v>
      </c>
      <c r="E1647">
        <v>4513115</v>
      </c>
      <c r="F1647">
        <v>2104880</v>
      </c>
      <c r="G1647" t="s">
        <v>577</v>
      </c>
      <c r="H1647" t="s">
        <v>1580</v>
      </c>
      <c r="I1647">
        <v>5</v>
      </c>
      <c r="J1647" t="b">
        <v>1</v>
      </c>
      <c r="K1647">
        <v>1.25</v>
      </c>
      <c r="L1647">
        <v>2106200</v>
      </c>
      <c r="M1647" t="s">
        <v>579</v>
      </c>
      <c r="N1647">
        <v>4</v>
      </c>
      <c r="O1647">
        <v>4</v>
      </c>
      <c r="P1647"/>
      <c r="Q1647">
        <v>134906</v>
      </c>
      <c r="R1647">
        <v>1</v>
      </c>
      <c r="S1647" t="s">
        <v>40</v>
      </c>
      <c r="T1647">
        <v>261</v>
      </c>
      <c r="U1647">
        <v>147664</v>
      </c>
      <c r="V1647">
        <v>24</v>
      </c>
      <c r="W1647" t="s">
        <v>40</v>
      </c>
      <c r="X1647">
        <v>261</v>
      </c>
      <c r="Y1647" t="s">
        <v>377</v>
      </c>
      <c r="Z1647" t="s">
        <v>378</v>
      </c>
      <c r="AA1647" t="s">
        <v>379</v>
      </c>
      <c r="AB1647" t="s">
        <v>384</v>
      </c>
      <c r="AC1647" t="s">
        <v>41</v>
      </c>
      <c r="AD1647" t="s">
        <v>41</v>
      </c>
      <c r="AE1647" t="s">
        <v>41</v>
      </c>
      <c r="AF1647" t="s">
        <v>41</v>
      </c>
      <c r="AK1647"/>
    </row>
    <row r="1648" spans="1:38" x14ac:dyDescent="0.25">
      <c r="A1648" t="s">
        <v>39</v>
      </c>
      <c r="B1648">
        <v>46093.176018518519</v>
      </c>
      <c r="C1648">
        <v>89727</v>
      </c>
      <c r="D1648" t="s">
        <v>1025</v>
      </c>
      <c r="E1648">
        <v>4513116</v>
      </c>
      <c r="F1648">
        <v>2104880</v>
      </c>
      <c r="G1648" t="s">
        <v>577</v>
      </c>
      <c r="H1648" t="s">
        <v>1580</v>
      </c>
      <c r="I1648">
        <v>5</v>
      </c>
      <c r="J1648" t="b">
        <v>1</v>
      </c>
      <c r="K1648">
        <v>1</v>
      </c>
      <c r="L1648">
        <v>2106200</v>
      </c>
      <c r="M1648" t="s">
        <v>579</v>
      </c>
      <c r="N1648">
        <v>5</v>
      </c>
      <c r="O1648">
        <v>5</v>
      </c>
      <c r="P1648"/>
      <c r="Q1648">
        <v>134906</v>
      </c>
      <c r="R1648">
        <v>1</v>
      </c>
      <c r="S1648" t="s">
        <v>40</v>
      </c>
      <c r="T1648">
        <v>261</v>
      </c>
      <c r="U1648">
        <v>147664</v>
      </c>
      <c r="V1648">
        <v>24</v>
      </c>
      <c r="W1648" t="s">
        <v>40</v>
      </c>
      <c r="X1648">
        <v>261</v>
      </c>
      <c r="Y1648" t="s">
        <v>377</v>
      </c>
      <c r="Z1648" t="s">
        <v>378</v>
      </c>
      <c r="AA1648" t="s">
        <v>379</v>
      </c>
      <c r="AB1648" t="s">
        <v>559</v>
      </c>
      <c r="AC1648" t="s">
        <v>41</v>
      </c>
      <c r="AD1648" t="s">
        <v>41</v>
      </c>
      <c r="AE1648" t="s">
        <v>41</v>
      </c>
      <c r="AF1648" t="s">
        <v>41</v>
      </c>
      <c r="AK1648"/>
    </row>
    <row r="1649" spans="1:37" x14ac:dyDescent="0.25">
      <c r="A1649" t="s">
        <v>37</v>
      </c>
      <c r="B1649">
        <v>46093.570706018516</v>
      </c>
      <c r="C1649">
        <v>92770</v>
      </c>
      <c r="D1649" t="s">
        <v>373</v>
      </c>
      <c r="E1649">
        <v>4508463</v>
      </c>
      <c r="F1649">
        <v>121962</v>
      </c>
      <c r="G1649" t="s">
        <v>1152</v>
      </c>
      <c r="H1649" t="s">
        <v>1579</v>
      </c>
      <c r="I1649">
        <v>5</v>
      </c>
      <c r="J1649" t="b">
        <v>1</v>
      </c>
      <c r="K1649">
        <v>4.5454545454545456E-2</v>
      </c>
      <c r="L1649">
        <v>121964</v>
      </c>
      <c r="M1649" t="s">
        <v>1153</v>
      </c>
      <c r="N1649">
        <v>110</v>
      </c>
      <c r="O1649">
        <v>110</v>
      </c>
      <c r="P1649"/>
      <c r="Q1649">
        <v>134976</v>
      </c>
      <c r="R1649">
        <v>1</v>
      </c>
      <c r="S1649" t="s">
        <v>40</v>
      </c>
      <c r="T1649">
        <v>261</v>
      </c>
      <c r="W1649"/>
      <c r="Y1649" t="s">
        <v>377</v>
      </c>
      <c r="Z1649" t="s">
        <v>378</v>
      </c>
      <c r="AA1649" t="s">
        <v>379</v>
      </c>
      <c r="AB1649" t="s">
        <v>573</v>
      </c>
      <c r="AC1649" t="s">
        <v>41</v>
      </c>
      <c r="AD1649" t="s">
        <v>41</v>
      </c>
      <c r="AE1649" t="s">
        <v>41</v>
      </c>
      <c r="AF1649" t="s">
        <v>41</v>
      </c>
      <c r="AK1649"/>
    </row>
    <row r="1650" spans="1:37" x14ac:dyDescent="0.25">
      <c r="A1650" t="s">
        <v>47</v>
      </c>
      <c r="B1650">
        <v>46093.572581018518</v>
      </c>
      <c r="C1650">
        <v>92768</v>
      </c>
      <c r="D1650" t="s">
        <v>373</v>
      </c>
      <c r="E1650">
        <v>4508463</v>
      </c>
      <c r="F1650">
        <v>121962</v>
      </c>
      <c r="G1650" t="s">
        <v>1152</v>
      </c>
      <c r="H1650" t="s">
        <v>1579</v>
      </c>
      <c r="I1650">
        <v>5</v>
      </c>
      <c r="J1650" t="b">
        <v>1</v>
      </c>
      <c r="K1650">
        <v>1.7241379310344827E-2</v>
      </c>
      <c r="L1650">
        <v>121964</v>
      </c>
      <c r="M1650" t="s">
        <v>1153</v>
      </c>
      <c r="N1650">
        <v>290</v>
      </c>
      <c r="O1650">
        <v>290</v>
      </c>
      <c r="P1650"/>
      <c r="Q1650">
        <v>134976</v>
      </c>
      <c r="R1650">
        <v>1</v>
      </c>
      <c r="S1650" t="s">
        <v>40</v>
      </c>
      <c r="T1650">
        <v>261</v>
      </c>
      <c r="W1650"/>
      <c r="Y1650" t="s">
        <v>377</v>
      </c>
      <c r="Z1650" t="s">
        <v>378</v>
      </c>
      <c r="AA1650" t="s">
        <v>379</v>
      </c>
      <c r="AB1650" t="s">
        <v>475</v>
      </c>
      <c r="AC1650" t="s">
        <v>41</v>
      </c>
      <c r="AD1650" t="s">
        <v>41</v>
      </c>
      <c r="AE1650" t="s">
        <v>41</v>
      </c>
      <c r="AF1650" t="s">
        <v>41</v>
      </c>
      <c r="AK1650"/>
    </row>
    <row r="1651" spans="1:37" x14ac:dyDescent="0.25">
      <c r="A1651" t="s">
        <v>45</v>
      </c>
      <c r="B1651">
        <v>46094.420162037037</v>
      </c>
      <c r="C1651">
        <v>92725</v>
      </c>
      <c r="D1651" t="s">
        <v>393</v>
      </c>
      <c r="E1651">
        <v>4509680</v>
      </c>
      <c r="F1651">
        <v>2310135</v>
      </c>
      <c r="G1651" t="s">
        <v>1052</v>
      </c>
      <c r="H1651" t="s">
        <v>1663</v>
      </c>
      <c r="I1651">
        <v>64.3</v>
      </c>
      <c r="J1651" t="b">
        <v>1</v>
      </c>
      <c r="K1651">
        <v>0.15606796116504854</v>
      </c>
      <c r="L1651">
        <v>2310136</v>
      </c>
      <c r="M1651" t="s">
        <v>1053</v>
      </c>
      <c r="N1651">
        <v>412</v>
      </c>
      <c r="O1651">
        <v>412</v>
      </c>
      <c r="P1651"/>
      <c r="Q1651">
        <v>134974</v>
      </c>
      <c r="R1651">
        <v>1</v>
      </c>
      <c r="S1651" t="s">
        <v>40</v>
      </c>
      <c r="T1651">
        <v>261</v>
      </c>
      <c r="W1651"/>
      <c r="Y1651" t="s">
        <v>377</v>
      </c>
      <c r="Z1651" t="s">
        <v>378</v>
      </c>
      <c r="AA1651" t="s">
        <v>379</v>
      </c>
      <c r="AB1651" t="s">
        <v>1087</v>
      </c>
      <c r="AC1651" t="s">
        <v>41</v>
      </c>
      <c r="AD1651" t="s">
        <v>41</v>
      </c>
      <c r="AE1651" t="s">
        <v>41</v>
      </c>
      <c r="AF1651" t="s">
        <v>41</v>
      </c>
      <c r="AK1651"/>
    </row>
  </sheetData>
  <autoFilter ref="A1:M1" xr:uid="{00000000-0009-0000-0000-000000000000}"/>
  <phoneticPr fontId="1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U93"/>
  <sheetViews>
    <sheetView topLeftCell="B1" workbookViewId="0">
      <selection activeCell="G19" sqref="G19:H19"/>
    </sheetView>
  </sheetViews>
  <sheetFormatPr defaultRowHeight="15" x14ac:dyDescent="0.25"/>
  <cols>
    <col min="1" max="1" width="32.5703125" bestFit="1" customWidth="1"/>
    <col min="7" max="7" width="29.28515625" bestFit="1" customWidth="1"/>
    <col min="15" max="15" width="10.28515625" bestFit="1" customWidth="1"/>
  </cols>
  <sheetData>
    <row r="1" spans="1:21" x14ac:dyDescent="0.25">
      <c r="A1" t="s">
        <v>51</v>
      </c>
      <c r="B1" t="s">
        <v>52</v>
      </c>
      <c r="D1">
        <v>267</v>
      </c>
      <c r="E1">
        <v>0.38948640000000001</v>
      </c>
      <c r="G1" t="s">
        <v>53</v>
      </c>
      <c r="H1" t="s">
        <v>45</v>
      </c>
      <c r="J1" t="s">
        <v>54</v>
      </c>
    </row>
    <row r="2" spans="1:21" x14ac:dyDescent="0.25">
      <c r="A2" t="s">
        <v>55</v>
      </c>
      <c r="B2" t="s">
        <v>56</v>
      </c>
      <c r="D2">
        <v>254</v>
      </c>
      <c r="E2">
        <v>0.31058000000000002</v>
      </c>
      <c r="G2" t="s">
        <v>57</v>
      </c>
      <c r="H2" t="s">
        <v>47</v>
      </c>
    </row>
    <row r="3" spans="1:21" x14ac:dyDescent="0.25">
      <c r="A3" t="s">
        <v>58</v>
      </c>
      <c r="B3" t="s">
        <v>59</v>
      </c>
      <c r="D3">
        <v>210</v>
      </c>
      <c r="E3">
        <v>0.26075999999999999</v>
      </c>
      <c r="G3" t="s">
        <v>60</v>
      </c>
      <c r="H3" t="s">
        <v>50</v>
      </c>
    </row>
    <row r="4" spans="1:21" x14ac:dyDescent="0.25">
      <c r="A4" t="s">
        <v>61</v>
      </c>
      <c r="B4" t="s">
        <v>62</v>
      </c>
      <c r="D4">
        <v>208</v>
      </c>
      <c r="E4">
        <v>0.20913800000000002</v>
      </c>
      <c r="G4" t="s">
        <v>63</v>
      </c>
      <c r="H4" t="s">
        <v>38</v>
      </c>
      <c r="N4" t="s">
        <v>64</v>
      </c>
    </row>
    <row r="5" spans="1:21" x14ac:dyDescent="0.25">
      <c r="A5" t="s">
        <v>65</v>
      </c>
      <c r="B5" t="s">
        <v>66</v>
      </c>
      <c r="G5" t="s">
        <v>67</v>
      </c>
      <c r="H5" t="s">
        <v>43</v>
      </c>
    </row>
    <row r="6" spans="1:21" x14ac:dyDescent="0.25">
      <c r="A6" t="s">
        <v>68</v>
      </c>
      <c r="B6" t="s">
        <v>69</v>
      </c>
      <c r="G6" t="s">
        <v>70</v>
      </c>
      <c r="H6" t="s">
        <v>37</v>
      </c>
      <c r="L6" t="s">
        <v>71</v>
      </c>
      <c r="M6" t="s">
        <v>72</v>
      </c>
      <c r="N6" t="s">
        <v>73</v>
      </c>
      <c r="O6" t="s">
        <v>74</v>
      </c>
      <c r="P6" t="s">
        <v>75</v>
      </c>
      <c r="Q6" t="s">
        <v>76</v>
      </c>
      <c r="R6" t="s">
        <v>77</v>
      </c>
      <c r="T6" t="s">
        <v>78</v>
      </c>
    </row>
    <row r="7" spans="1:21" x14ac:dyDescent="0.25">
      <c r="A7" t="s">
        <v>79</v>
      </c>
      <c r="B7" t="s">
        <v>80</v>
      </c>
      <c r="C7" t="s">
        <v>81</v>
      </c>
      <c r="G7" t="s">
        <v>82</v>
      </c>
      <c r="H7" t="s">
        <v>39</v>
      </c>
      <c r="K7">
        <v>267</v>
      </c>
      <c r="L7">
        <v>0.3947</v>
      </c>
      <c r="M7">
        <f>47.3/130</f>
        <v>0.36384615384615382</v>
      </c>
      <c r="N7">
        <v>0.3715</v>
      </c>
      <c r="O7">
        <f>56/154</f>
        <v>0.36363636363636365</v>
      </c>
      <c r="P7">
        <v>0.39019999999999999</v>
      </c>
      <c r="Q7">
        <f>50.2/138</f>
        <v>0.36376811594202901</v>
      </c>
      <c r="T7">
        <v>0.36743999999999999</v>
      </c>
      <c r="U7">
        <f>T7*1.06</f>
        <v>0.38948640000000001</v>
      </c>
    </row>
    <row r="8" spans="1:21" x14ac:dyDescent="0.25">
      <c r="A8" t="s">
        <v>83</v>
      </c>
      <c r="B8" t="s">
        <v>84</v>
      </c>
      <c r="C8" t="s">
        <v>85</v>
      </c>
      <c r="G8" t="s">
        <v>86</v>
      </c>
      <c r="H8" t="s">
        <v>42</v>
      </c>
      <c r="K8">
        <v>254</v>
      </c>
      <c r="L8">
        <f>(L7-M7)/M7</f>
        <v>8.4799154334038118E-2</v>
      </c>
      <c r="N8">
        <f>(N7-O7)/O7</f>
        <v>2.1624999999999964E-2</v>
      </c>
      <c r="P8">
        <f>(P7-Q7)/Q7</f>
        <v>7.2661354581673207E-2</v>
      </c>
      <c r="T8">
        <v>0.29299999999999998</v>
      </c>
      <c r="U8">
        <f>T8*1.06</f>
        <v>0.31058000000000002</v>
      </c>
    </row>
    <row r="9" spans="1:21" x14ac:dyDescent="0.25">
      <c r="A9" t="s">
        <v>87</v>
      </c>
      <c r="B9" t="s">
        <v>88</v>
      </c>
      <c r="C9" t="s">
        <v>89</v>
      </c>
      <c r="G9" t="s">
        <v>90</v>
      </c>
      <c r="H9" t="s">
        <v>44</v>
      </c>
      <c r="K9">
        <v>210</v>
      </c>
      <c r="T9">
        <v>0.246</v>
      </c>
      <c r="U9">
        <f>T9*1.06</f>
        <v>0.26075999999999999</v>
      </c>
    </row>
    <row r="10" spans="1:21" x14ac:dyDescent="0.25">
      <c r="A10" t="s">
        <v>91</v>
      </c>
      <c r="B10" t="s">
        <v>92</v>
      </c>
      <c r="C10" t="s">
        <v>93</v>
      </c>
      <c r="G10" t="s">
        <v>94</v>
      </c>
      <c r="H10" t="s">
        <v>48</v>
      </c>
      <c r="K10">
        <v>208</v>
      </c>
      <c r="Q10">
        <f>27.28/138</f>
        <v>0.19768115942028985</v>
      </c>
      <c r="T10">
        <v>0.1973</v>
      </c>
      <c r="U10">
        <f>T10*1.06</f>
        <v>0.20913800000000002</v>
      </c>
    </row>
    <row r="11" spans="1:21" x14ac:dyDescent="0.25">
      <c r="A11" t="s">
        <v>95</v>
      </c>
      <c r="B11" t="s">
        <v>96</v>
      </c>
      <c r="C11" t="s">
        <v>97</v>
      </c>
    </row>
    <row r="12" spans="1:21" x14ac:dyDescent="0.25">
      <c r="A12" t="s">
        <v>98</v>
      </c>
      <c r="B12" t="s">
        <v>99</v>
      </c>
      <c r="C12" t="s">
        <v>100</v>
      </c>
    </row>
    <row r="13" spans="1:21" x14ac:dyDescent="0.25">
      <c r="A13" t="s">
        <v>101</v>
      </c>
      <c r="B13" t="s">
        <v>102</v>
      </c>
      <c r="C13" t="s">
        <v>103</v>
      </c>
      <c r="G13" t="s">
        <v>104</v>
      </c>
      <c r="H13">
        <v>134978</v>
      </c>
    </row>
    <row r="14" spans="1:21" x14ac:dyDescent="0.25">
      <c r="A14" t="s">
        <v>105</v>
      </c>
      <c r="B14" t="s">
        <v>106</v>
      </c>
      <c r="C14" t="s">
        <v>107</v>
      </c>
      <c r="G14" t="s">
        <v>108</v>
      </c>
      <c r="H14">
        <v>134977</v>
      </c>
    </row>
    <row r="15" spans="1:21" x14ac:dyDescent="0.25">
      <c r="A15" t="s">
        <v>109</v>
      </c>
      <c r="B15" t="s">
        <v>110</v>
      </c>
      <c r="C15" t="s">
        <v>81</v>
      </c>
      <c r="G15" t="s">
        <v>111</v>
      </c>
      <c r="H15">
        <v>134976</v>
      </c>
    </row>
    <row r="16" spans="1:21" x14ac:dyDescent="0.25">
      <c r="A16" t="s">
        <v>112</v>
      </c>
      <c r="B16" t="s">
        <v>113</v>
      </c>
      <c r="C16" t="s">
        <v>85</v>
      </c>
      <c r="G16" t="s">
        <v>114</v>
      </c>
      <c r="H16">
        <v>134975</v>
      </c>
    </row>
    <row r="17" spans="1:8" x14ac:dyDescent="0.25">
      <c r="A17" t="s">
        <v>115</v>
      </c>
      <c r="B17" t="s">
        <v>116</v>
      </c>
      <c r="C17" t="s">
        <v>89</v>
      </c>
      <c r="G17" t="s">
        <v>117</v>
      </c>
      <c r="H17">
        <v>134974</v>
      </c>
    </row>
    <row r="18" spans="1:8" x14ac:dyDescent="0.25">
      <c r="A18" t="s">
        <v>118</v>
      </c>
      <c r="B18" t="s">
        <v>119</v>
      </c>
      <c r="C18" t="s">
        <v>93</v>
      </c>
      <c r="G18" t="s">
        <v>120</v>
      </c>
      <c r="H18">
        <v>134908</v>
      </c>
    </row>
    <row r="19" spans="1:8" x14ac:dyDescent="0.25">
      <c r="A19" t="s">
        <v>121</v>
      </c>
      <c r="B19" t="s">
        <v>122</v>
      </c>
      <c r="C19" t="s">
        <v>97</v>
      </c>
      <c r="G19" t="s">
        <v>123</v>
      </c>
      <c r="H19">
        <v>143275</v>
      </c>
    </row>
    <row r="20" spans="1:8" x14ac:dyDescent="0.25">
      <c r="A20" t="s">
        <v>124</v>
      </c>
      <c r="B20" t="s">
        <v>125</v>
      </c>
      <c r="C20" t="s">
        <v>100</v>
      </c>
      <c r="G20" t="s">
        <v>126</v>
      </c>
      <c r="H20">
        <v>134907</v>
      </c>
    </row>
    <row r="21" spans="1:8" x14ac:dyDescent="0.25">
      <c r="A21" t="s">
        <v>127</v>
      </c>
      <c r="B21" t="s">
        <v>128</v>
      </c>
      <c r="C21" t="s">
        <v>103</v>
      </c>
      <c r="G21" t="s">
        <v>129</v>
      </c>
      <c r="H21">
        <v>143537</v>
      </c>
    </row>
    <row r="22" spans="1:8" x14ac:dyDescent="0.25">
      <c r="A22" t="s">
        <v>130</v>
      </c>
      <c r="B22" t="s">
        <v>131</v>
      </c>
      <c r="C22" t="s">
        <v>107</v>
      </c>
      <c r="G22" t="s">
        <v>132</v>
      </c>
      <c r="H22">
        <v>143276</v>
      </c>
    </row>
    <row r="23" spans="1:8" x14ac:dyDescent="0.25">
      <c r="A23" t="s">
        <v>133</v>
      </c>
      <c r="B23" t="s">
        <v>134</v>
      </c>
      <c r="C23" t="s">
        <v>135</v>
      </c>
      <c r="G23" t="s">
        <v>136</v>
      </c>
      <c r="H23">
        <v>134906</v>
      </c>
    </row>
    <row r="24" spans="1:8" x14ac:dyDescent="0.25">
      <c r="A24" t="s">
        <v>137</v>
      </c>
      <c r="B24" t="s">
        <v>138</v>
      </c>
      <c r="C24" t="s">
        <v>139</v>
      </c>
      <c r="G24" t="s">
        <v>140</v>
      </c>
      <c r="H24">
        <v>143538</v>
      </c>
    </row>
    <row r="25" spans="1:8" x14ac:dyDescent="0.25">
      <c r="A25" t="s">
        <v>141</v>
      </c>
      <c r="B25" t="s">
        <v>142</v>
      </c>
      <c r="C25" t="s">
        <v>143</v>
      </c>
      <c r="G25" t="s">
        <v>144</v>
      </c>
      <c r="H25">
        <v>143277</v>
      </c>
    </row>
    <row r="26" spans="1:8" x14ac:dyDescent="0.25">
      <c r="A26" t="s">
        <v>145</v>
      </c>
      <c r="B26" t="s">
        <v>146</v>
      </c>
      <c r="C26" t="s">
        <v>147</v>
      </c>
      <c r="G26" t="s">
        <v>148</v>
      </c>
      <c r="H26">
        <v>2301936</v>
      </c>
    </row>
    <row r="27" spans="1:8" x14ac:dyDescent="0.25">
      <c r="A27" t="s">
        <v>149</v>
      </c>
      <c r="B27" t="s">
        <v>150</v>
      </c>
      <c r="C27" t="s">
        <v>151</v>
      </c>
      <c r="G27" t="s">
        <v>152</v>
      </c>
      <c r="H27">
        <v>134905</v>
      </c>
    </row>
    <row r="28" spans="1:8" x14ac:dyDescent="0.25">
      <c r="A28" t="s">
        <v>153</v>
      </c>
      <c r="B28" t="s">
        <v>154</v>
      </c>
      <c r="C28" t="s">
        <v>155</v>
      </c>
      <c r="G28" t="s">
        <v>156</v>
      </c>
      <c r="H28">
        <v>143539</v>
      </c>
    </row>
    <row r="29" spans="1:8" x14ac:dyDescent="0.25">
      <c r="A29" t="s">
        <v>157</v>
      </c>
      <c r="B29" t="s">
        <v>158</v>
      </c>
      <c r="C29" t="s">
        <v>159</v>
      </c>
      <c r="G29" t="s">
        <v>160</v>
      </c>
      <c r="H29">
        <v>149831</v>
      </c>
    </row>
    <row r="30" spans="1:8" x14ac:dyDescent="0.25">
      <c r="A30" t="s">
        <v>161</v>
      </c>
      <c r="B30" t="s">
        <v>162</v>
      </c>
      <c r="C30" t="s">
        <v>163</v>
      </c>
      <c r="G30" t="s">
        <v>164</v>
      </c>
      <c r="H30">
        <v>155687</v>
      </c>
    </row>
    <row r="31" spans="1:8" x14ac:dyDescent="0.25">
      <c r="A31" t="s">
        <v>165</v>
      </c>
      <c r="B31" t="s">
        <v>166</v>
      </c>
      <c r="C31" t="s">
        <v>167</v>
      </c>
    </row>
    <row r="32" spans="1:8" x14ac:dyDescent="0.25">
      <c r="A32" t="s">
        <v>168</v>
      </c>
      <c r="B32" t="s">
        <v>168</v>
      </c>
      <c r="C32" t="s">
        <v>169</v>
      </c>
    </row>
    <row r="33" spans="1:6" x14ac:dyDescent="0.25">
      <c r="A33" t="s">
        <v>170</v>
      </c>
      <c r="B33" t="s">
        <v>171</v>
      </c>
    </row>
    <row r="34" spans="1:6" x14ac:dyDescent="0.25">
      <c r="A34" t="s">
        <v>172</v>
      </c>
      <c r="B34" t="s">
        <v>173</v>
      </c>
      <c r="D34" t="s">
        <v>174</v>
      </c>
      <c r="E34" t="s">
        <v>175</v>
      </c>
      <c r="F34" t="s">
        <v>176</v>
      </c>
    </row>
    <row r="35" spans="1:6" x14ac:dyDescent="0.25">
      <c r="A35" t="s">
        <v>177</v>
      </c>
      <c r="B35" t="s">
        <v>178</v>
      </c>
      <c r="D35" t="s">
        <v>179</v>
      </c>
      <c r="E35" t="s">
        <v>180</v>
      </c>
      <c r="F35" t="s">
        <v>181</v>
      </c>
    </row>
    <row r="36" spans="1:6" x14ac:dyDescent="0.25">
      <c r="A36" t="s">
        <v>182</v>
      </c>
      <c r="B36" t="s">
        <v>183</v>
      </c>
      <c r="D36" t="s">
        <v>184</v>
      </c>
      <c r="E36" t="s">
        <v>185</v>
      </c>
      <c r="F36" t="s">
        <v>181</v>
      </c>
    </row>
    <row r="37" spans="1:6" x14ac:dyDescent="0.25">
      <c r="A37" t="s">
        <v>186</v>
      </c>
      <c r="B37" t="s">
        <v>187</v>
      </c>
      <c r="D37" t="s">
        <v>188</v>
      </c>
      <c r="E37" t="s">
        <v>189</v>
      </c>
      <c r="F37" t="s">
        <v>190</v>
      </c>
    </row>
    <row r="38" spans="1:6" x14ac:dyDescent="0.25">
      <c r="A38" t="s">
        <v>191</v>
      </c>
      <c r="B38" t="s">
        <v>192</v>
      </c>
      <c r="D38" t="s">
        <v>193</v>
      </c>
      <c r="E38" t="s">
        <v>194</v>
      </c>
      <c r="F38" t="s">
        <v>181</v>
      </c>
    </row>
    <row r="39" spans="1:6" x14ac:dyDescent="0.25">
      <c r="A39" t="s">
        <v>195</v>
      </c>
      <c r="B39" t="s">
        <v>196</v>
      </c>
    </row>
    <row r="40" spans="1:6" x14ac:dyDescent="0.25">
      <c r="A40" t="s">
        <v>197</v>
      </c>
      <c r="B40" t="s">
        <v>198</v>
      </c>
    </row>
    <row r="41" spans="1:6" x14ac:dyDescent="0.25">
      <c r="A41" t="s">
        <v>199</v>
      </c>
      <c r="B41" t="s">
        <v>200</v>
      </c>
    </row>
    <row r="42" spans="1:6" x14ac:dyDescent="0.25">
      <c r="A42" t="s">
        <v>201</v>
      </c>
      <c r="B42" t="s">
        <v>202</v>
      </c>
    </row>
    <row r="43" spans="1:6" x14ac:dyDescent="0.25">
      <c r="A43" t="s">
        <v>203</v>
      </c>
      <c r="B43" t="s">
        <v>204</v>
      </c>
    </row>
    <row r="44" spans="1:6" x14ac:dyDescent="0.25">
      <c r="A44" t="s">
        <v>205</v>
      </c>
      <c r="B44" t="s">
        <v>206</v>
      </c>
    </row>
    <row r="45" spans="1:6" x14ac:dyDescent="0.25">
      <c r="A45" t="s">
        <v>207</v>
      </c>
      <c r="B45" t="s">
        <v>208</v>
      </c>
    </row>
    <row r="46" spans="1:6" x14ac:dyDescent="0.25">
      <c r="A46" t="s">
        <v>209</v>
      </c>
      <c r="B46" t="s">
        <v>210</v>
      </c>
    </row>
    <row r="47" spans="1:6" x14ac:dyDescent="0.25">
      <c r="A47" t="s">
        <v>211</v>
      </c>
      <c r="B47" t="s">
        <v>212</v>
      </c>
    </row>
    <row r="48" spans="1:6" x14ac:dyDescent="0.25">
      <c r="A48" t="s">
        <v>213</v>
      </c>
      <c r="B48" t="s">
        <v>214</v>
      </c>
    </row>
    <row r="49" spans="1:2" x14ac:dyDescent="0.25">
      <c r="A49" t="s">
        <v>215</v>
      </c>
      <c r="B49" t="s">
        <v>216</v>
      </c>
    </row>
    <row r="50" spans="1:2" x14ac:dyDescent="0.25">
      <c r="A50" t="s">
        <v>217</v>
      </c>
      <c r="B50" t="s">
        <v>218</v>
      </c>
    </row>
    <row r="51" spans="1:2" x14ac:dyDescent="0.25">
      <c r="A51" t="s">
        <v>219</v>
      </c>
      <c r="B51" t="s">
        <v>220</v>
      </c>
    </row>
    <row r="52" spans="1:2" x14ac:dyDescent="0.25">
      <c r="A52" t="s">
        <v>221</v>
      </c>
      <c r="B52" t="s">
        <v>222</v>
      </c>
    </row>
    <row r="53" spans="1:2" x14ac:dyDescent="0.25">
      <c r="A53" t="s">
        <v>223</v>
      </c>
      <c r="B53" t="s">
        <v>224</v>
      </c>
    </row>
    <row r="54" spans="1:2" x14ac:dyDescent="0.25">
      <c r="A54" t="s">
        <v>225</v>
      </c>
      <c r="B54" t="s">
        <v>226</v>
      </c>
    </row>
    <row r="55" spans="1:2" x14ac:dyDescent="0.25">
      <c r="A55" t="s">
        <v>227</v>
      </c>
      <c r="B55" t="s">
        <v>228</v>
      </c>
    </row>
    <row r="56" spans="1:2" x14ac:dyDescent="0.25">
      <c r="A56" t="s">
        <v>229</v>
      </c>
      <c r="B56" t="s">
        <v>230</v>
      </c>
    </row>
    <row r="57" spans="1:2" x14ac:dyDescent="0.25">
      <c r="A57" t="s">
        <v>231</v>
      </c>
      <c r="B57" t="s">
        <v>232</v>
      </c>
    </row>
    <row r="58" spans="1:2" x14ac:dyDescent="0.25">
      <c r="A58" t="s">
        <v>233</v>
      </c>
      <c r="B58" t="s">
        <v>234</v>
      </c>
    </row>
    <row r="59" spans="1:2" x14ac:dyDescent="0.25">
      <c r="A59" t="s">
        <v>235</v>
      </c>
      <c r="B59" t="s">
        <v>236</v>
      </c>
    </row>
    <row r="60" spans="1:2" x14ac:dyDescent="0.25">
      <c r="A60" t="s">
        <v>237</v>
      </c>
      <c r="B60" t="s">
        <v>238</v>
      </c>
    </row>
    <row r="61" spans="1:2" x14ac:dyDescent="0.25">
      <c r="A61" t="s">
        <v>239</v>
      </c>
      <c r="B61" t="s">
        <v>240</v>
      </c>
    </row>
    <row r="62" spans="1:2" x14ac:dyDescent="0.25">
      <c r="A62" t="s">
        <v>241</v>
      </c>
      <c r="B62" t="s">
        <v>242</v>
      </c>
    </row>
    <row r="63" spans="1:2" x14ac:dyDescent="0.25">
      <c r="A63" t="s">
        <v>243</v>
      </c>
      <c r="B63" t="s">
        <v>244</v>
      </c>
    </row>
    <row r="64" spans="1:2" x14ac:dyDescent="0.25">
      <c r="A64" t="s">
        <v>245</v>
      </c>
      <c r="B64" t="s">
        <v>246</v>
      </c>
    </row>
    <row r="65" spans="1:2" x14ac:dyDescent="0.25">
      <c r="A65" t="s">
        <v>247</v>
      </c>
      <c r="B65" t="s">
        <v>248</v>
      </c>
    </row>
    <row r="66" spans="1:2" x14ac:dyDescent="0.25">
      <c r="A66" t="s">
        <v>249</v>
      </c>
      <c r="B66" t="s">
        <v>250</v>
      </c>
    </row>
    <row r="67" spans="1:2" x14ac:dyDescent="0.25">
      <c r="A67" t="s">
        <v>251</v>
      </c>
      <c r="B67" t="s">
        <v>252</v>
      </c>
    </row>
    <row r="68" spans="1:2" x14ac:dyDescent="0.25">
      <c r="A68" t="s">
        <v>253</v>
      </c>
      <c r="B68" t="s">
        <v>254</v>
      </c>
    </row>
    <row r="69" spans="1:2" x14ac:dyDescent="0.25">
      <c r="A69" t="s">
        <v>255</v>
      </c>
      <c r="B69" t="s">
        <v>256</v>
      </c>
    </row>
    <row r="70" spans="1:2" x14ac:dyDescent="0.25">
      <c r="A70" t="s">
        <v>257</v>
      </c>
      <c r="B70" t="s">
        <v>258</v>
      </c>
    </row>
    <row r="71" spans="1:2" x14ac:dyDescent="0.25">
      <c r="A71" t="s">
        <v>259</v>
      </c>
      <c r="B71" t="s">
        <v>260</v>
      </c>
    </row>
    <row r="72" spans="1:2" x14ac:dyDescent="0.25">
      <c r="A72" t="s">
        <v>261</v>
      </c>
      <c r="B72" t="s">
        <v>262</v>
      </c>
    </row>
    <row r="73" spans="1:2" x14ac:dyDescent="0.25">
      <c r="A73" t="s">
        <v>263</v>
      </c>
      <c r="B73" t="s">
        <v>264</v>
      </c>
    </row>
    <row r="74" spans="1:2" x14ac:dyDescent="0.25">
      <c r="A74" t="s">
        <v>265</v>
      </c>
      <c r="B74" t="s">
        <v>266</v>
      </c>
    </row>
    <row r="75" spans="1:2" x14ac:dyDescent="0.25">
      <c r="A75" t="s">
        <v>267</v>
      </c>
      <c r="B75" t="s">
        <v>268</v>
      </c>
    </row>
    <row r="76" spans="1:2" x14ac:dyDescent="0.25">
      <c r="A76" t="s">
        <v>269</v>
      </c>
      <c r="B76" t="s">
        <v>270</v>
      </c>
    </row>
    <row r="77" spans="1:2" x14ac:dyDescent="0.25">
      <c r="A77" t="s">
        <v>271</v>
      </c>
      <c r="B77" t="s">
        <v>272</v>
      </c>
    </row>
    <row r="78" spans="1:2" x14ac:dyDescent="0.25">
      <c r="A78" t="s">
        <v>273</v>
      </c>
      <c r="B78" t="s">
        <v>274</v>
      </c>
    </row>
    <row r="79" spans="1:2" x14ac:dyDescent="0.25">
      <c r="A79" t="s">
        <v>275</v>
      </c>
      <c r="B79" t="s">
        <v>276</v>
      </c>
    </row>
    <row r="80" spans="1:2" x14ac:dyDescent="0.25">
      <c r="A80" t="s">
        <v>277</v>
      </c>
      <c r="B80" t="s">
        <v>278</v>
      </c>
    </row>
    <row r="81" spans="1:2" x14ac:dyDescent="0.25">
      <c r="A81" t="s">
        <v>231</v>
      </c>
      <c r="B81" t="s">
        <v>279</v>
      </c>
    </row>
    <row r="82" spans="1:2" x14ac:dyDescent="0.25">
      <c r="A82" t="s">
        <v>280</v>
      </c>
      <c r="B82" t="s">
        <v>281</v>
      </c>
    </row>
    <row r="83" spans="1:2" x14ac:dyDescent="0.25">
      <c r="A83" t="s">
        <v>282</v>
      </c>
      <c r="B83" t="s">
        <v>283</v>
      </c>
    </row>
    <row r="84" spans="1:2" x14ac:dyDescent="0.25">
      <c r="A84" t="s">
        <v>284</v>
      </c>
      <c r="B84" t="s">
        <v>285</v>
      </c>
    </row>
    <row r="85" spans="1:2" x14ac:dyDescent="0.25">
      <c r="A85" t="s">
        <v>286</v>
      </c>
      <c r="B85" t="s">
        <v>287</v>
      </c>
    </row>
    <row r="86" spans="1:2" x14ac:dyDescent="0.25">
      <c r="A86" t="s">
        <v>288</v>
      </c>
      <c r="B86" t="s">
        <v>289</v>
      </c>
    </row>
    <row r="87" spans="1:2" x14ac:dyDescent="0.25">
      <c r="A87" t="s">
        <v>290</v>
      </c>
      <c r="B87" t="s">
        <v>291</v>
      </c>
    </row>
    <row r="88" spans="1:2" x14ac:dyDescent="0.25">
      <c r="A88" t="s">
        <v>292</v>
      </c>
      <c r="B88" t="s">
        <v>293</v>
      </c>
    </row>
    <row r="89" spans="1:2" x14ac:dyDescent="0.25">
      <c r="A89" t="s">
        <v>294</v>
      </c>
      <c r="B89" t="s">
        <v>295</v>
      </c>
    </row>
    <row r="90" spans="1:2" x14ac:dyDescent="0.25">
      <c r="A90" t="s">
        <v>296</v>
      </c>
      <c r="B90" t="s">
        <v>297</v>
      </c>
    </row>
    <row r="91" spans="1:2" x14ac:dyDescent="0.25">
      <c r="A91" t="s">
        <v>298</v>
      </c>
      <c r="B91" t="s">
        <v>299</v>
      </c>
    </row>
    <row r="92" spans="1:2" x14ac:dyDescent="0.25">
      <c r="A92" t="s">
        <v>300</v>
      </c>
      <c r="B92" t="s">
        <v>301</v>
      </c>
    </row>
    <row r="93" spans="1:2" x14ac:dyDescent="0.25">
      <c r="A93" t="s">
        <v>302</v>
      </c>
      <c r="B93" t="s">
        <v>303</v>
      </c>
    </row>
  </sheetData>
  <sortState xmlns:xlrd2="http://schemas.microsoft.com/office/spreadsheetml/2017/richdata2" ref="G18:H30">
    <sortCondition ref="G18:G30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9CD36B-D12D-4784-BB32-A9FDF58F3B56}">
  <sheetPr codeName="Sheet3"/>
  <dimension ref="A1:F148"/>
  <sheetViews>
    <sheetView topLeftCell="A121" workbookViewId="0">
      <selection activeCell="C138" sqref="C138"/>
    </sheetView>
  </sheetViews>
  <sheetFormatPr defaultRowHeight="15" x14ac:dyDescent="0.25"/>
  <sheetData>
    <row r="1" spans="1:6" x14ac:dyDescent="0.25">
      <c r="A1" t="s">
        <v>304</v>
      </c>
      <c r="B1" t="s">
        <v>305</v>
      </c>
      <c r="C1" t="s">
        <v>306</v>
      </c>
      <c r="D1" t="s">
        <v>307</v>
      </c>
      <c r="E1" t="s">
        <v>308</v>
      </c>
      <c r="F1" t="s">
        <v>309</v>
      </c>
    </row>
    <row r="2" spans="1:6" x14ac:dyDescent="0.25">
      <c r="A2" s="3">
        <v>2102336</v>
      </c>
      <c r="B2" s="2" t="s">
        <v>310</v>
      </c>
      <c r="C2" s="4">
        <v>199</v>
      </c>
      <c r="D2" s="2" t="s">
        <v>49</v>
      </c>
      <c r="E2" s="2" t="s">
        <v>85</v>
      </c>
      <c r="F2" t="b">
        <v>1</v>
      </c>
    </row>
    <row r="3" spans="1:6" x14ac:dyDescent="0.25">
      <c r="A3" s="3">
        <v>2102336</v>
      </c>
      <c r="B3" s="2" t="s">
        <v>310</v>
      </c>
      <c r="C3" s="4">
        <v>199</v>
      </c>
      <c r="D3" s="2" t="s">
        <v>49</v>
      </c>
      <c r="E3" s="2" t="s">
        <v>89</v>
      </c>
      <c r="F3" t="b">
        <v>1</v>
      </c>
    </row>
    <row r="4" spans="1:6" x14ac:dyDescent="0.25">
      <c r="A4" s="3">
        <v>2102336</v>
      </c>
      <c r="B4" s="2" t="s">
        <v>310</v>
      </c>
      <c r="C4" s="4">
        <v>209</v>
      </c>
      <c r="D4" s="2" t="s">
        <v>49</v>
      </c>
      <c r="E4" s="2" t="s">
        <v>93</v>
      </c>
      <c r="F4" t="b">
        <v>1</v>
      </c>
    </row>
    <row r="5" spans="1:6" x14ac:dyDescent="0.25">
      <c r="A5" s="3">
        <v>2102336</v>
      </c>
      <c r="B5" s="2" t="s">
        <v>310</v>
      </c>
      <c r="C5" s="4">
        <v>200.39400000000001</v>
      </c>
      <c r="D5" s="2" t="s">
        <v>49</v>
      </c>
      <c r="E5" s="2" t="s">
        <v>97</v>
      </c>
      <c r="F5" t="b">
        <v>1</v>
      </c>
    </row>
    <row r="6" spans="1:6" x14ac:dyDescent="0.25">
      <c r="A6" s="3">
        <v>2102336</v>
      </c>
      <c r="B6" s="2" t="s">
        <v>311</v>
      </c>
      <c r="C6" s="4"/>
      <c r="D6" s="2" t="s">
        <v>40</v>
      </c>
      <c r="E6" s="2" t="s">
        <v>100</v>
      </c>
      <c r="F6" t="b">
        <v>1</v>
      </c>
    </row>
    <row r="7" spans="1:6" x14ac:dyDescent="0.25">
      <c r="A7" s="3">
        <v>2102336</v>
      </c>
      <c r="B7" s="2" t="s">
        <v>311</v>
      </c>
      <c r="C7" s="4">
        <v>215</v>
      </c>
      <c r="D7" s="2" t="s">
        <v>41</v>
      </c>
      <c r="E7" s="2" t="s">
        <v>103</v>
      </c>
      <c r="F7" t="b">
        <v>1</v>
      </c>
    </row>
    <row r="8" spans="1:6" x14ac:dyDescent="0.25">
      <c r="A8" s="3">
        <v>2102336</v>
      </c>
      <c r="B8" s="2" t="s">
        <v>312</v>
      </c>
      <c r="C8" s="4">
        <v>221</v>
      </c>
      <c r="D8" s="2" t="s">
        <v>40</v>
      </c>
      <c r="E8" s="2" t="s">
        <v>107</v>
      </c>
      <c r="F8" t="b">
        <v>1</v>
      </c>
    </row>
    <row r="9" spans="1:6" x14ac:dyDescent="0.25">
      <c r="A9" s="3">
        <v>2102336</v>
      </c>
      <c r="B9" s="2" t="s">
        <v>313</v>
      </c>
      <c r="C9" s="4">
        <v>221</v>
      </c>
      <c r="D9" s="2" t="s">
        <v>49</v>
      </c>
      <c r="E9" s="2" t="s">
        <v>135</v>
      </c>
      <c r="F9" t="b">
        <v>1</v>
      </c>
    </row>
    <row r="10" spans="1:6" x14ac:dyDescent="0.25">
      <c r="A10" s="3">
        <v>2102336</v>
      </c>
      <c r="B10" s="2" t="s">
        <v>314</v>
      </c>
      <c r="C10" s="4">
        <v>198.62</v>
      </c>
      <c r="D10" s="2" t="s">
        <v>40</v>
      </c>
      <c r="E10" s="2" t="s">
        <v>139</v>
      </c>
      <c r="F10" t="b">
        <v>1</v>
      </c>
    </row>
    <row r="11" spans="1:6" x14ac:dyDescent="0.25">
      <c r="A11" s="3">
        <v>2102336</v>
      </c>
      <c r="B11" s="2" t="s">
        <v>315</v>
      </c>
      <c r="C11" s="4">
        <v>555</v>
      </c>
      <c r="D11" s="2" t="s">
        <v>49</v>
      </c>
      <c r="E11" s="2" t="s">
        <v>143</v>
      </c>
      <c r="F11" t="b">
        <v>1</v>
      </c>
    </row>
    <row r="12" spans="1:6" x14ac:dyDescent="0.25">
      <c r="A12" s="3">
        <v>2102336</v>
      </c>
      <c r="B12" s="2" t="s">
        <v>315</v>
      </c>
      <c r="C12" s="4">
        <v>214.292</v>
      </c>
      <c r="D12" s="2" t="s">
        <v>49</v>
      </c>
      <c r="E12" s="2" t="s">
        <v>147</v>
      </c>
      <c r="F12" t="b">
        <v>1</v>
      </c>
    </row>
    <row r="13" spans="1:6" x14ac:dyDescent="0.25">
      <c r="A13" s="3">
        <v>2102336</v>
      </c>
      <c r="B13" s="2" t="s">
        <v>316</v>
      </c>
      <c r="C13" s="4">
        <v>300</v>
      </c>
      <c r="D13" s="2" t="s">
        <v>49</v>
      </c>
      <c r="E13" s="2" t="s">
        <v>151</v>
      </c>
      <c r="F13" t="b">
        <v>1</v>
      </c>
    </row>
    <row r="14" spans="1:6" x14ac:dyDescent="0.25">
      <c r="A14" s="3">
        <v>2102336</v>
      </c>
      <c r="B14" s="2" t="s">
        <v>316</v>
      </c>
      <c r="C14" s="4">
        <v>148</v>
      </c>
      <c r="D14" s="2" t="s">
        <v>49</v>
      </c>
      <c r="E14" s="2" t="s">
        <v>155</v>
      </c>
      <c r="F14" t="b">
        <v>1</v>
      </c>
    </row>
    <row r="15" spans="1:6" x14ac:dyDescent="0.25">
      <c r="A15" s="3">
        <v>2102336</v>
      </c>
      <c r="B15" s="2" t="s">
        <v>316</v>
      </c>
      <c r="C15" s="4">
        <v>148.69999999999999</v>
      </c>
      <c r="D15" s="2" t="s">
        <v>41</v>
      </c>
      <c r="E15" s="2" t="s">
        <v>159</v>
      </c>
      <c r="F15" t="b">
        <v>1</v>
      </c>
    </row>
    <row r="16" spans="1:6" x14ac:dyDescent="0.25">
      <c r="A16" s="3">
        <v>2102336</v>
      </c>
      <c r="B16" s="2" t="s">
        <v>316</v>
      </c>
      <c r="C16" s="4">
        <v>148.69999999999999</v>
      </c>
      <c r="D16" s="2" t="s">
        <v>49</v>
      </c>
      <c r="E16" s="2" t="s">
        <v>163</v>
      </c>
      <c r="F16" t="b">
        <v>1</v>
      </c>
    </row>
    <row r="17" spans="1:6" x14ac:dyDescent="0.25">
      <c r="A17" s="3">
        <v>2102336</v>
      </c>
      <c r="B17" s="2" t="s">
        <v>317</v>
      </c>
      <c r="C17" s="4">
        <v>222.827</v>
      </c>
      <c r="D17" s="2" t="s">
        <v>49</v>
      </c>
      <c r="E17" s="2" t="s">
        <v>167</v>
      </c>
      <c r="F17" t="b">
        <v>1</v>
      </c>
    </row>
    <row r="18" spans="1:6" x14ac:dyDescent="0.25">
      <c r="A18" s="3">
        <v>2102336</v>
      </c>
      <c r="B18" s="2" t="s">
        <v>318</v>
      </c>
      <c r="C18" s="4">
        <v>100</v>
      </c>
      <c r="D18" s="2" t="s">
        <v>40</v>
      </c>
      <c r="E18" s="2" t="s">
        <v>169</v>
      </c>
      <c r="F18" t="b">
        <v>1</v>
      </c>
    </row>
    <row r="19" spans="1:6" x14ac:dyDescent="0.25">
      <c r="A19" s="3">
        <v>2102336</v>
      </c>
      <c r="B19" s="2" t="s">
        <v>318</v>
      </c>
      <c r="C19" s="4">
        <v>100</v>
      </c>
      <c r="D19" s="2" t="s">
        <v>40</v>
      </c>
      <c r="E19" s="2" t="s">
        <v>107</v>
      </c>
      <c r="F19" t="b">
        <v>1</v>
      </c>
    </row>
    <row r="20" spans="1:6" x14ac:dyDescent="0.25">
      <c r="A20" s="3">
        <v>2102336</v>
      </c>
      <c r="B20" s="2" t="s">
        <v>318</v>
      </c>
      <c r="C20" s="4">
        <v>100</v>
      </c>
      <c r="D20" s="2" t="s">
        <v>40</v>
      </c>
      <c r="E20" s="2" t="s">
        <v>135</v>
      </c>
      <c r="F20" t="b">
        <v>1</v>
      </c>
    </row>
    <row r="21" spans="1:6" x14ac:dyDescent="0.25">
      <c r="A21" s="3">
        <v>2102336</v>
      </c>
      <c r="B21" s="2" t="s">
        <v>318</v>
      </c>
      <c r="C21" s="4">
        <v>66</v>
      </c>
      <c r="D21" s="2" t="s">
        <v>41</v>
      </c>
      <c r="E21" s="2" t="s">
        <v>139</v>
      </c>
      <c r="F21" t="b">
        <v>1</v>
      </c>
    </row>
    <row r="22" spans="1:6" x14ac:dyDescent="0.25">
      <c r="A22" s="3">
        <v>2102336</v>
      </c>
      <c r="B22" s="2" t="s">
        <v>319</v>
      </c>
      <c r="C22" s="4">
        <v>998</v>
      </c>
      <c r="D22" s="2" t="s">
        <v>41</v>
      </c>
      <c r="E22" s="2" t="s">
        <v>143</v>
      </c>
      <c r="F22" t="b">
        <v>0</v>
      </c>
    </row>
    <row r="23" spans="1:6" x14ac:dyDescent="0.25">
      <c r="A23" s="3">
        <v>120130</v>
      </c>
      <c r="B23" s="2" t="s">
        <v>320</v>
      </c>
      <c r="C23" s="4">
        <v>204</v>
      </c>
      <c r="D23" s="2" t="s">
        <v>49</v>
      </c>
      <c r="E23" s="2" t="s">
        <v>147</v>
      </c>
      <c r="F23" t="b">
        <v>1</v>
      </c>
    </row>
    <row r="24" spans="1:6" x14ac:dyDescent="0.25">
      <c r="A24" s="3">
        <v>2102336</v>
      </c>
      <c r="B24" s="2" t="s">
        <v>321</v>
      </c>
      <c r="C24" s="4">
        <v>789.70399999999995</v>
      </c>
      <c r="D24" s="2" t="s">
        <v>40</v>
      </c>
      <c r="E24" s="2" t="s">
        <v>81</v>
      </c>
      <c r="F24" t="b">
        <v>1</v>
      </c>
    </row>
    <row r="25" spans="1:6" x14ac:dyDescent="0.25">
      <c r="A25" s="3">
        <v>2102336</v>
      </c>
      <c r="B25" s="2" t="s">
        <v>322</v>
      </c>
      <c r="C25" s="4">
        <v>777.00300000000004</v>
      </c>
      <c r="D25" s="2" t="s">
        <v>40</v>
      </c>
      <c r="E25" s="2" t="s">
        <v>85</v>
      </c>
      <c r="F25" t="b">
        <v>1</v>
      </c>
    </row>
    <row r="26" spans="1:6" x14ac:dyDescent="0.25">
      <c r="A26" s="3">
        <v>2102336</v>
      </c>
      <c r="B26" s="2" t="s">
        <v>323</v>
      </c>
      <c r="C26" s="4">
        <v>214.32300000000001</v>
      </c>
      <c r="D26" s="2" t="s">
        <v>49</v>
      </c>
      <c r="E26" s="2" t="s">
        <v>89</v>
      </c>
      <c r="F26" t="b">
        <v>1</v>
      </c>
    </row>
    <row r="27" spans="1:6" x14ac:dyDescent="0.25">
      <c r="A27" s="3">
        <v>2102336</v>
      </c>
      <c r="B27" s="2" t="s">
        <v>323</v>
      </c>
      <c r="C27" s="4">
        <v>214.32300000000001</v>
      </c>
      <c r="D27" s="2" t="s">
        <v>49</v>
      </c>
      <c r="E27" s="2" t="s">
        <v>93</v>
      </c>
      <c r="F27" t="b">
        <v>1</v>
      </c>
    </row>
    <row r="28" spans="1:6" x14ac:dyDescent="0.25">
      <c r="A28" s="3">
        <v>2102336</v>
      </c>
      <c r="B28" s="2" t="s">
        <v>323</v>
      </c>
      <c r="C28" s="4">
        <v>214.32300000000001</v>
      </c>
      <c r="D28" s="2" t="s">
        <v>49</v>
      </c>
      <c r="E28" s="2" t="s">
        <v>97</v>
      </c>
      <c r="F28" t="b">
        <v>1</v>
      </c>
    </row>
    <row r="29" spans="1:6" x14ac:dyDescent="0.25">
      <c r="A29" s="3">
        <v>2102336</v>
      </c>
      <c r="B29" s="2" t="s">
        <v>324</v>
      </c>
      <c r="C29" s="4">
        <v>47.401000000000003</v>
      </c>
      <c r="D29" s="2" t="s">
        <v>49</v>
      </c>
      <c r="E29" s="2" t="s">
        <v>81</v>
      </c>
      <c r="F29" t="b">
        <v>1</v>
      </c>
    </row>
    <row r="30" spans="1:6" x14ac:dyDescent="0.25">
      <c r="A30" s="3">
        <v>2102336</v>
      </c>
      <c r="B30" s="2" t="s">
        <v>325</v>
      </c>
      <c r="C30" s="4">
        <v>202.75700000000001</v>
      </c>
      <c r="D30" s="2" t="s">
        <v>49</v>
      </c>
      <c r="E30" s="2" t="s">
        <v>85</v>
      </c>
      <c r="F30" t="b">
        <v>1</v>
      </c>
    </row>
    <row r="31" spans="1:6" x14ac:dyDescent="0.25">
      <c r="A31" s="3">
        <v>2102336</v>
      </c>
      <c r="B31" s="2" t="s">
        <v>326</v>
      </c>
      <c r="C31" s="4">
        <v>200.001</v>
      </c>
      <c r="D31" s="2" t="s">
        <v>49</v>
      </c>
      <c r="E31" s="2" t="s">
        <v>97</v>
      </c>
      <c r="F31" t="b">
        <v>1</v>
      </c>
    </row>
    <row r="32" spans="1:6" x14ac:dyDescent="0.25">
      <c r="A32" s="3">
        <v>2102336</v>
      </c>
      <c r="B32" s="2" t="s">
        <v>327</v>
      </c>
      <c r="C32" s="4">
        <v>195.95400000000001</v>
      </c>
      <c r="D32" s="2" t="s">
        <v>49</v>
      </c>
      <c r="E32" s="2" t="s">
        <v>97</v>
      </c>
      <c r="F32" t="b">
        <v>1</v>
      </c>
    </row>
    <row r="33" spans="1:6" x14ac:dyDescent="0.25">
      <c r="A33" s="3">
        <v>2102336</v>
      </c>
      <c r="B33" s="2" t="s">
        <v>328</v>
      </c>
      <c r="C33" s="4">
        <v>219.08799999999999</v>
      </c>
      <c r="D33" s="2" t="s">
        <v>49</v>
      </c>
      <c r="E33" s="2" t="s">
        <v>97</v>
      </c>
      <c r="F33" t="b">
        <v>1</v>
      </c>
    </row>
    <row r="34" spans="1:6" x14ac:dyDescent="0.25">
      <c r="A34" s="3">
        <v>2102336</v>
      </c>
      <c r="B34" s="2" t="s">
        <v>329</v>
      </c>
      <c r="C34" s="4">
        <v>400</v>
      </c>
      <c r="D34" s="2" t="s">
        <v>49</v>
      </c>
      <c r="E34" s="2" t="s">
        <v>163</v>
      </c>
      <c r="F34" t="b">
        <v>1</v>
      </c>
    </row>
    <row r="35" spans="1:6" x14ac:dyDescent="0.25">
      <c r="A35" s="3">
        <v>2102336</v>
      </c>
      <c r="B35" s="2" t="s">
        <v>330</v>
      </c>
      <c r="C35" s="4">
        <v>137</v>
      </c>
      <c r="D35" s="2" t="s">
        <v>49</v>
      </c>
      <c r="E35" s="2" t="s">
        <v>139</v>
      </c>
      <c r="F35" t="b">
        <v>1</v>
      </c>
    </row>
    <row r="36" spans="1:6" x14ac:dyDescent="0.25">
      <c r="A36" s="3">
        <v>2102336</v>
      </c>
      <c r="B36" s="2" t="s">
        <v>331</v>
      </c>
      <c r="C36" s="4">
        <v>218.06399999999999</v>
      </c>
      <c r="D36" s="2" t="s">
        <v>49</v>
      </c>
      <c r="E36" s="2" t="s">
        <v>139</v>
      </c>
      <c r="F36" t="b">
        <v>1</v>
      </c>
    </row>
    <row r="37" spans="1:6" x14ac:dyDescent="0.25">
      <c r="A37" s="3">
        <v>2102336</v>
      </c>
      <c r="B37" s="2" t="s">
        <v>332</v>
      </c>
      <c r="C37" s="4">
        <v>392.99</v>
      </c>
      <c r="D37" s="2" t="s">
        <v>49</v>
      </c>
      <c r="E37" s="2" t="s">
        <v>135</v>
      </c>
      <c r="F37" t="b">
        <v>1</v>
      </c>
    </row>
    <row r="38" spans="1:6" x14ac:dyDescent="0.25">
      <c r="A38" s="3">
        <v>2102336</v>
      </c>
      <c r="B38" s="2" t="s">
        <v>333</v>
      </c>
      <c r="C38" s="4">
        <v>240</v>
      </c>
      <c r="D38" s="2" t="s">
        <v>49</v>
      </c>
      <c r="E38" s="2" t="s">
        <v>167</v>
      </c>
      <c r="F38" t="b">
        <v>1</v>
      </c>
    </row>
    <row r="39" spans="1:6" x14ac:dyDescent="0.25">
      <c r="A39" s="3">
        <v>2102336</v>
      </c>
      <c r="B39" s="2" t="s">
        <v>334</v>
      </c>
      <c r="C39" s="4">
        <v>217.95</v>
      </c>
      <c r="D39" s="2" t="s">
        <v>49</v>
      </c>
      <c r="E39" s="2" t="s">
        <v>167</v>
      </c>
      <c r="F39" t="b">
        <v>1</v>
      </c>
    </row>
    <row r="40" spans="1:6" x14ac:dyDescent="0.25">
      <c r="A40" s="3">
        <v>2102336</v>
      </c>
      <c r="B40" s="2" t="s">
        <v>335</v>
      </c>
      <c r="C40" s="4">
        <v>385.98200000000003</v>
      </c>
      <c r="D40" s="2" t="s">
        <v>49</v>
      </c>
      <c r="E40" s="2" t="s">
        <v>103</v>
      </c>
      <c r="F40" t="b">
        <v>1</v>
      </c>
    </row>
    <row r="41" spans="1:6" x14ac:dyDescent="0.25">
      <c r="A41" s="5">
        <v>2102336</v>
      </c>
      <c r="B41" s="6" t="s">
        <v>336</v>
      </c>
      <c r="C41" s="7">
        <v>393.71600000000001</v>
      </c>
      <c r="D41" s="6" t="s">
        <v>49</v>
      </c>
      <c r="E41" s="6" t="s">
        <v>169</v>
      </c>
      <c r="F41" s="8" t="b">
        <v>1</v>
      </c>
    </row>
    <row r="42" spans="1:6" x14ac:dyDescent="0.25">
      <c r="A42" s="3">
        <v>2102336</v>
      </c>
      <c r="B42" s="2" t="s">
        <v>337</v>
      </c>
      <c r="C42" s="4">
        <v>211.827</v>
      </c>
      <c r="D42" s="2" t="s">
        <v>49</v>
      </c>
      <c r="E42" s="2" t="s">
        <v>155</v>
      </c>
      <c r="F42" t="b">
        <v>1</v>
      </c>
    </row>
    <row r="43" spans="1:6" x14ac:dyDescent="0.25">
      <c r="A43" s="3">
        <v>2102336</v>
      </c>
      <c r="B43" s="2" t="s">
        <v>334</v>
      </c>
      <c r="C43" s="4">
        <v>217.95</v>
      </c>
      <c r="D43" s="2" t="s">
        <v>49</v>
      </c>
      <c r="E43" s="2" t="s">
        <v>167</v>
      </c>
      <c r="F43" t="b">
        <v>1</v>
      </c>
    </row>
    <row r="44" spans="1:6" x14ac:dyDescent="0.25">
      <c r="A44" s="3">
        <v>2102336</v>
      </c>
      <c r="B44" s="2" t="s">
        <v>329</v>
      </c>
      <c r="C44" s="4">
        <v>227.65799999999999</v>
      </c>
      <c r="D44" s="2" t="s">
        <v>49</v>
      </c>
      <c r="E44" s="2" t="s">
        <v>163</v>
      </c>
      <c r="F44" t="b">
        <v>1</v>
      </c>
    </row>
    <row r="45" spans="1:6" x14ac:dyDescent="0.25">
      <c r="A45" s="3">
        <v>2102336</v>
      </c>
      <c r="B45" s="2" t="s">
        <v>332</v>
      </c>
      <c r="C45" s="4">
        <v>217.91399999999999</v>
      </c>
      <c r="D45" s="2" t="s">
        <v>49</v>
      </c>
      <c r="E45" s="2" t="s">
        <v>135</v>
      </c>
      <c r="F45" t="b">
        <v>1</v>
      </c>
    </row>
    <row r="46" spans="1:6" x14ac:dyDescent="0.25">
      <c r="A46" s="3">
        <v>2102336</v>
      </c>
      <c r="B46" s="2" t="s">
        <v>336</v>
      </c>
      <c r="C46" s="4">
        <v>196.86199999999999</v>
      </c>
      <c r="D46" s="2" t="s">
        <v>49</v>
      </c>
      <c r="E46" s="2" t="s">
        <v>169</v>
      </c>
      <c r="F46" t="b">
        <v>1</v>
      </c>
    </row>
    <row r="47" spans="1:6" x14ac:dyDescent="0.25">
      <c r="A47" s="3">
        <v>2102336</v>
      </c>
      <c r="B47" s="2" t="s">
        <v>338</v>
      </c>
      <c r="C47" s="4">
        <v>214.88900000000001</v>
      </c>
      <c r="D47" s="2" t="s">
        <v>49</v>
      </c>
      <c r="E47" s="2" t="s">
        <v>103</v>
      </c>
      <c r="F47" t="b">
        <v>1</v>
      </c>
    </row>
    <row r="48" spans="1:6" x14ac:dyDescent="0.25">
      <c r="A48" s="3">
        <v>2102336</v>
      </c>
      <c r="B48" s="2" t="s">
        <v>339</v>
      </c>
      <c r="C48" s="4">
        <v>202.41499999999999</v>
      </c>
      <c r="D48" s="2" t="s">
        <v>49</v>
      </c>
      <c r="E48" s="2" t="s">
        <v>155</v>
      </c>
      <c r="F48" t="b">
        <v>1</v>
      </c>
    </row>
    <row r="49" spans="1:6" x14ac:dyDescent="0.25">
      <c r="A49" s="3">
        <v>2102336</v>
      </c>
      <c r="B49" s="2" t="s">
        <v>331</v>
      </c>
      <c r="C49" s="4">
        <v>218.06399999999999</v>
      </c>
      <c r="D49" s="2" t="s">
        <v>49</v>
      </c>
      <c r="E49" s="2" t="s">
        <v>139</v>
      </c>
      <c r="F49" t="b">
        <v>1</v>
      </c>
    </row>
    <row r="50" spans="1:6" x14ac:dyDescent="0.25">
      <c r="A50" s="3">
        <v>2102336</v>
      </c>
      <c r="B50" s="2" t="s">
        <v>340</v>
      </c>
      <c r="C50" s="4">
        <v>198.333</v>
      </c>
      <c r="D50" s="2" t="s">
        <v>40</v>
      </c>
      <c r="E50" s="2" t="s">
        <v>169</v>
      </c>
      <c r="F50" t="b">
        <v>1</v>
      </c>
    </row>
    <row r="51" spans="1:6" x14ac:dyDescent="0.25">
      <c r="A51" s="3">
        <v>2102336</v>
      </c>
      <c r="B51" s="2" t="s">
        <v>334</v>
      </c>
      <c r="C51" s="4">
        <v>435.904</v>
      </c>
      <c r="D51" s="2" t="s">
        <v>49</v>
      </c>
      <c r="E51" s="2" t="s">
        <v>167</v>
      </c>
      <c r="F51" t="b">
        <v>1</v>
      </c>
    </row>
    <row r="52" spans="1:6" x14ac:dyDescent="0.25">
      <c r="A52" s="3">
        <v>2102336</v>
      </c>
      <c r="B52" s="2" t="s">
        <v>341</v>
      </c>
      <c r="C52" s="4">
        <v>394.17</v>
      </c>
      <c r="D52" s="2" t="s">
        <v>342</v>
      </c>
      <c r="E52" s="2" t="s">
        <v>163</v>
      </c>
      <c r="F52" t="b">
        <v>1</v>
      </c>
    </row>
    <row r="53" spans="1:6" x14ac:dyDescent="0.25">
      <c r="A53" s="3">
        <v>2102336</v>
      </c>
      <c r="B53" s="2" t="s">
        <v>341</v>
      </c>
      <c r="C53" s="4">
        <v>197.08500000000001</v>
      </c>
      <c r="D53" s="2" t="s">
        <v>343</v>
      </c>
      <c r="E53" s="2" t="s">
        <v>163</v>
      </c>
      <c r="F53" t="b">
        <v>1</v>
      </c>
    </row>
    <row r="54" spans="1:6" x14ac:dyDescent="0.25">
      <c r="A54" s="3">
        <v>2102336</v>
      </c>
      <c r="B54" s="2" t="s">
        <v>339</v>
      </c>
      <c r="C54" s="4">
        <v>202.41499999999999</v>
      </c>
      <c r="D54" s="2" t="s">
        <v>49</v>
      </c>
      <c r="E54" s="2" t="s">
        <v>155</v>
      </c>
      <c r="F54" t="b">
        <v>1</v>
      </c>
    </row>
    <row r="55" spans="1:6" x14ac:dyDescent="0.25">
      <c r="A55" s="3">
        <v>2102336</v>
      </c>
      <c r="B55" s="2" t="s">
        <v>344</v>
      </c>
      <c r="C55" s="4">
        <v>168.285</v>
      </c>
      <c r="D55" s="2" t="s">
        <v>49</v>
      </c>
      <c r="E55" s="2" t="s">
        <v>135</v>
      </c>
      <c r="F55" t="b">
        <v>1</v>
      </c>
    </row>
    <row r="56" spans="1:6" x14ac:dyDescent="0.25">
      <c r="A56" s="3">
        <v>2102336</v>
      </c>
      <c r="B56" s="2" t="s">
        <v>331</v>
      </c>
      <c r="C56" s="4">
        <v>218.06399999999999</v>
      </c>
      <c r="D56" s="2" t="s">
        <v>49</v>
      </c>
      <c r="E56" s="2" t="s">
        <v>139</v>
      </c>
      <c r="F56" t="b">
        <v>1</v>
      </c>
    </row>
    <row r="57" spans="1:6" x14ac:dyDescent="0.25">
      <c r="A57" s="3">
        <v>2102336</v>
      </c>
      <c r="B57" s="2" t="s">
        <v>341</v>
      </c>
      <c r="C57" s="4">
        <v>197.08500000000001</v>
      </c>
      <c r="D57" s="2" t="s">
        <v>49</v>
      </c>
      <c r="E57" s="2" t="s">
        <v>163</v>
      </c>
      <c r="F57" t="b">
        <v>1</v>
      </c>
    </row>
    <row r="58" spans="1:6" x14ac:dyDescent="0.25">
      <c r="A58" s="3">
        <v>2102336</v>
      </c>
      <c r="B58" s="2" t="s">
        <v>341</v>
      </c>
      <c r="C58" s="4">
        <v>5</v>
      </c>
      <c r="D58" s="2" t="s">
        <v>40</v>
      </c>
      <c r="E58" s="2" t="s">
        <v>163</v>
      </c>
      <c r="F58" t="b">
        <v>1</v>
      </c>
    </row>
    <row r="59" spans="1:6" x14ac:dyDescent="0.25">
      <c r="A59" s="3">
        <v>2102336</v>
      </c>
      <c r="B59" s="2" t="s">
        <v>341</v>
      </c>
      <c r="C59" s="4">
        <v>192.08500000000001</v>
      </c>
      <c r="D59" s="2" t="s">
        <v>49</v>
      </c>
      <c r="E59" s="2" t="s">
        <v>163</v>
      </c>
      <c r="F59" t="b">
        <v>1</v>
      </c>
    </row>
    <row r="60" spans="1:6" x14ac:dyDescent="0.25">
      <c r="A60" s="3">
        <v>2102386</v>
      </c>
      <c r="B60" s="2" t="s">
        <v>345</v>
      </c>
      <c r="C60" s="4">
        <v>400</v>
      </c>
      <c r="D60" s="2" t="s">
        <v>40</v>
      </c>
      <c r="E60" s="2" t="s">
        <v>103</v>
      </c>
      <c r="F60" t="b">
        <v>1</v>
      </c>
    </row>
    <row r="61" spans="1:6" x14ac:dyDescent="0.25">
      <c r="A61" s="3">
        <v>2102336</v>
      </c>
      <c r="B61" s="2" t="s">
        <v>346</v>
      </c>
      <c r="C61" s="4">
        <v>199.126</v>
      </c>
      <c r="D61" s="2" t="s">
        <v>40</v>
      </c>
      <c r="E61" s="2" t="s">
        <v>135</v>
      </c>
      <c r="F61" t="b">
        <v>1</v>
      </c>
    </row>
    <row r="62" spans="1:6" x14ac:dyDescent="0.25">
      <c r="A62" s="3">
        <v>2102336</v>
      </c>
      <c r="B62" s="2" t="s">
        <v>341</v>
      </c>
      <c r="C62" s="4">
        <v>197.08500000000001</v>
      </c>
      <c r="D62" s="2" t="s">
        <v>49</v>
      </c>
      <c r="E62" s="2" t="s">
        <v>163</v>
      </c>
      <c r="F62" t="b">
        <v>1</v>
      </c>
    </row>
    <row r="63" spans="1:6" x14ac:dyDescent="0.25">
      <c r="A63" s="3">
        <v>2102336</v>
      </c>
      <c r="B63" s="2" t="s">
        <v>331</v>
      </c>
      <c r="C63" s="4">
        <v>218.065</v>
      </c>
      <c r="D63" s="2" t="s">
        <v>49</v>
      </c>
      <c r="E63" s="2" t="s">
        <v>139</v>
      </c>
      <c r="F63" t="b">
        <v>1</v>
      </c>
    </row>
    <row r="64" spans="1:6" x14ac:dyDescent="0.25">
      <c r="A64" s="3">
        <v>2102336</v>
      </c>
      <c r="B64" s="2" t="s">
        <v>347</v>
      </c>
      <c r="C64" s="4">
        <v>218.744</v>
      </c>
      <c r="D64" s="2" t="s">
        <v>40</v>
      </c>
      <c r="E64" s="2" t="s">
        <v>155</v>
      </c>
      <c r="F64" t="b">
        <v>1</v>
      </c>
    </row>
    <row r="65" spans="1:6" x14ac:dyDescent="0.25">
      <c r="A65" s="3">
        <v>2102336</v>
      </c>
      <c r="B65" s="2" t="s">
        <v>348</v>
      </c>
      <c r="C65" s="4">
        <v>157.05600000000001</v>
      </c>
      <c r="D65" s="2" t="s">
        <v>40</v>
      </c>
      <c r="E65" s="2" t="s">
        <v>167</v>
      </c>
      <c r="F65" t="b">
        <v>1</v>
      </c>
    </row>
    <row r="66" spans="1:6" x14ac:dyDescent="0.25">
      <c r="A66" s="3">
        <v>2102336</v>
      </c>
      <c r="B66" s="2" t="s">
        <v>340</v>
      </c>
      <c r="C66" s="4">
        <v>198.333</v>
      </c>
      <c r="D66" s="2" t="s">
        <v>40</v>
      </c>
      <c r="E66" s="2" t="s">
        <v>169</v>
      </c>
      <c r="F66" t="b">
        <v>1</v>
      </c>
    </row>
    <row r="67" spans="1:6" x14ac:dyDescent="0.25">
      <c r="A67" s="3">
        <v>2102336</v>
      </c>
      <c r="B67" s="2" t="s">
        <v>348</v>
      </c>
      <c r="C67" s="4">
        <v>157.05600000000001</v>
      </c>
      <c r="D67" s="2" t="s">
        <v>40</v>
      </c>
      <c r="E67" s="2" t="s">
        <v>167</v>
      </c>
      <c r="F67" t="b">
        <v>1</v>
      </c>
    </row>
    <row r="68" spans="1:6" x14ac:dyDescent="0.25">
      <c r="A68" s="3">
        <v>2102336</v>
      </c>
      <c r="B68" s="2" t="s">
        <v>340</v>
      </c>
      <c r="C68" s="4">
        <v>198.333</v>
      </c>
      <c r="D68" s="2" t="s">
        <v>40</v>
      </c>
      <c r="E68" s="2" t="s">
        <v>169</v>
      </c>
      <c r="F68" t="b">
        <v>1</v>
      </c>
    </row>
    <row r="69" spans="1:6" x14ac:dyDescent="0.25">
      <c r="A69" s="3">
        <v>2102336</v>
      </c>
      <c r="B69" s="2" t="s">
        <v>347</v>
      </c>
      <c r="C69" s="4">
        <v>218.744</v>
      </c>
      <c r="D69" s="2" t="s">
        <v>40</v>
      </c>
      <c r="E69" s="2" t="s">
        <v>155</v>
      </c>
      <c r="F69" t="b">
        <v>1</v>
      </c>
    </row>
    <row r="70" spans="1:6" x14ac:dyDescent="0.25">
      <c r="A70" s="3">
        <v>2102336</v>
      </c>
      <c r="B70" s="2" t="s">
        <v>341</v>
      </c>
      <c r="C70" s="4">
        <v>197.08500000000001</v>
      </c>
      <c r="D70" s="2" t="s">
        <v>49</v>
      </c>
      <c r="E70" s="2" t="s">
        <v>163</v>
      </c>
      <c r="F70" t="b">
        <v>1</v>
      </c>
    </row>
    <row r="71" spans="1:6" x14ac:dyDescent="0.25">
      <c r="A71" s="3">
        <v>2102336</v>
      </c>
      <c r="B71" s="2" t="s">
        <v>338</v>
      </c>
      <c r="C71" s="4">
        <v>214.88900000000001</v>
      </c>
      <c r="D71" s="2" t="s">
        <v>49</v>
      </c>
      <c r="E71" s="2" t="s">
        <v>139</v>
      </c>
      <c r="F71" t="b">
        <v>1</v>
      </c>
    </row>
    <row r="72" spans="1:6" x14ac:dyDescent="0.25">
      <c r="A72" s="3">
        <v>2102336</v>
      </c>
      <c r="B72" s="2" t="s">
        <v>346</v>
      </c>
      <c r="C72" s="4">
        <v>199.126</v>
      </c>
      <c r="D72" s="2" t="s">
        <v>40</v>
      </c>
      <c r="E72" s="2" t="s">
        <v>135</v>
      </c>
      <c r="F72" t="b">
        <v>1</v>
      </c>
    </row>
    <row r="73" spans="1:6" x14ac:dyDescent="0.25">
      <c r="A73" s="3">
        <v>2102336</v>
      </c>
      <c r="B73" s="2" t="s">
        <v>348</v>
      </c>
      <c r="C73" s="4">
        <v>157.05600000000001</v>
      </c>
      <c r="D73" s="2" t="s">
        <v>40</v>
      </c>
      <c r="E73" s="2" t="s">
        <v>167</v>
      </c>
      <c r="F73" t="b">
        <v>1</v>
      </c>
    </row>
    <row r="74" spans="1:6" x14ac:dyDescent="0.25">
      <c r="A74" s="3">
        <v>2102386</v>
      </c>
      <c r="B74" s="2" t="s">
        <v>345</v>
      </c>
      <c r="C74" s="4">
        <v>200</v>
      </c>
      <c r="D74" s="2" t="s">
        <v>40</v>
      </c>
      <c r="E74" s="2" t="s">
        <v>103</v>
      </c>
      <c r="F74" t="b">
        <v>1</v>
      </c>
    </row>
    <row r="75" spans="1:6" x14ac:dyDescent="0.25">
      <c r="A75" s="3">
        <v>2102336</v>
      </c>
      <c r="B75" s="2" t="s">
        <v>340</v>
      </c>
      <c r="C75" s="4">
        <v>198.333</v>
      </c>
      <c r="D75" s="2" t="s">
        <v>40</v>
      </c>
      <c r="E75" s="2" t="s">
        <v>169</v>
      </c>
      <c r="F75" t="b">
        <v>1</v>
      </c>
    </row>
    <row r="76" spans="1:6" x14ac:dyDescent="0.25">
      <c r="A76" s="3">
        <v>2102336</v>
      </c>
      <c r="B76" s="2" t="s">
        <v>347</v>
      </c>
      <c r="C76" s="4">
        <v>218.744</v>
      </c>
      <c r="D76" s="2" t="s">
        <v>40</v>
      </c>
      <c r="E76" s="2" t="s">
        <v>155</v>
      </c>
      <c r="F76" t="b">
        <v>1</v>
      </c>
    </row>
    <row r="77" spans="1:6" x14ac:dyDescent="0.25">
      <c r="A77" s="3">
        <v>2102336</v>
      </c>
      <c r="B77" s="2" t="s">
        <v>349</v>
      </c>
      <c r="C77" s="4">
        <v>219.99199999999999</v>
      </c>
      <c r="D77" s="2" t="s">
        <v>40</v>
      </c>
      <c r="E77" s="2" t="s">
        <v>163</v>
      </c>
      <c r="F77" t="b">
        <v>1</v>
      </c>
    </row>
    <row r="78" spans="1:6" x14ac:dyDescent="0.25">
      <c r="A78" s="3">
        <v>2102336</v>
      </c>
      <c r="B78" s="2" t="s">
        <v>348</v>
      </c>
      <c r="C78" s="4">
        <v>157.05699999999999</v>
      </c>
      <c r="D78" s="2" t="s">
        <v>40</v>
      </c>
      <c r="E78" s="2" t="s">
        <v>167</v>
      </c>
      <c r="F78" t="b">
        <v>1</v>
      </c>
    </row>
    <row r="79" spans="1:6" x14ac:dyDescent="0.25">
      <c r="A79" s="3">
        <v>2102336</v>
      </c>
      <c r="B79" s="2" t="s">
        <v>338</v>
      </c>
      <c r="C79" s="4">
        <v>214.88900000000001</v>
      </c>
      <c r="D79" s="2" t="s">
        <v>49</v>
      </c>
      <c r="E79" s="2" t="s">
        <v>139</v>
      </c>
      <c r="F79" t="b">
        <v>1</v>
      </c>
    </row>
    <row r="80" spans="1:6" x14ac:dyDescent="0.25">
      <c r="A80" s="3">
        <v>2102336</v>
      </c>
      <c r="B80" s="2" t="s">
        <v>346</v>
      </c>
      <c r="C80" s="4">
        <v>199.126</v>
      </c>
      <c r="D80" s="2" t="s">
        <v>40</v>
      </c>
      <c r="E80" s="2" t="s">
        <v>135</v>
      </c>
      <c r="F80" t="b">
        <v>1</v>
      </c>
    </row>
    <row r="81" spans="1:6" x14ac:dyDescent="0.25">
      <c r="A81" s="3">
        <v>2102386</v>
      </c>
      <c r="B81" s="2" t="s">
        <v>345</v>
      </c>
      <c r="C81" s="4">
        <v>105</v>
      </c>
      <c r="D81" s="2" t="s">
        <v>40</v>
      </c>
      <c r="E81" s="2" t="s">
        <v>103</v>
      </c>
      <c r="F81" t="b">
        <v>1</v>
      </c>
    </row>
    <row r="82" spans="1:6" x14ac:dyDescent="0.25">
      <c r="A82" s="3">
        <v>2102336</v>
      </c>
      <c r="B82" s="2" t="s">
        <v>350</v>
      </c>
      <c r="C82" s="4">
        <v>172.59100000000001</v>
      </c>
      <c r="D82" s="2" t="s">
        <v>40</v>
      </c>
      <c r="E82" s="2" t="s">
        <v>169</v>
      </c>
      <c r="F82" t="b">
        <v>1</v>
      </c>
    </row>
    <row r="83" spans="1:6" x14ac:dyDescent="0.25">
      <c r="A83" s="3">
        <v>2102336</v>
      </c>
      <c r="B83" s="2" t="s">
        <v>351</v>
      </c>
      <c r="C83" s="4">
        <v>220.10499999999999</v>
      </c>
      <c r="D83" s="2" t="s">
        <v>40</v>
      </c>
      <c r="E83" s="2" t="s">
        <v>167</v>
      </c>
      <c r="F83" t="b">
        <v>1</v>
      </c>
    </row>
    <row r="84" spans="1:6" x14ac:dyDescent="0.25">
      <c r="A84" s="3">
        <v>2102336</v>
      </c>
      <c r="B84" s="2" t="s">
        <v>346</v>
      </c>
      <c r="C84" s="4">
        <v>199.13</v>
      </c>
      <c r="D84" s="2" t="s">
        <v>40</v>
      </c>
      <c r="E84" s="2" t="s">
        <v>135</v>
      </c>
      <c r="F84" t="b">
        <v>1</v>
      </c>
    </row>
    <row r="85" spans="1:6" x14ac:dyDescent="0.25">
      <c r="A85" s="3">
        <v>2102336</v>
      </c>
      <c r="B85" s="2" t="s">
        <v>338</v>
      </c>
      <c r="C85" s="4">
        <v>214.89</v>
      </c>
      <c r="D85" s="2" t="s">
        <v>49</v>
      </c>
      <c r="E85" s="2" t="s">
        <v>139</v>
      </c>
      <c r="F85" t="b">
        <v>1</v>
      </c>
    </row>
    <row r="86" spans="1:6" x14ac:dyDescent="0.25">
      <c r="A86" s="3">
        <v>2102336</v>
      </c>
      <c r="B86" s="2" t="s">
        <v>347</v>
      </c>
      <c r="C86" s="4">
        <v>218.74700000000001</v>
      </c>
      <c r="D86" s="2" t="s">
        <v>40</v>
      </c>
      <c r="E86" s="2" t="s">
        <v>155</v>
      </c>
      <c r="F86" t="b">
        <v>1</v>
      </c>
    </row>
    <row r="87" spans="1:6" x14ac:dyDescent="0.25">
      <c r="A87" s="3">
        <v>2102336</v>
      </c>
      <c r="B87" s="2" t="s">
        <v>349</v>
      </c>
      <c r="C87" s="4">
        <v>219.99199999999999</v>
      </c>
      <c r="D87" s="2" t="s">
        <v>40</v>
      </c>
      <c r="E87" s="2" t="s">
        <v>163</v>
      </c>
      <c r="F87" t="b">
        <v>1</v>
      </c>
    </row>
    <row r="88" spans="1:6" x14ac:dyDescent="0.25">
      <c r="A88" s="3">
        <v>2102336</v>
      </c>
      <c r="B88" s="2" t="s">
        <v>349</v>
      </c>
      <c r="C88" s="4">
        <v>219.99199999999999</v>
      </c>
      <c r="D88" s="2" t="s">
        <v>40</v>
      </c>
      <c r="E88" s="2" t="s">
        <v>163</v>
      </c>
      <c r="F88" t="b">
        <v>1</v>
      </c>
    </row>
    <row r="89" spans="1:6" x14ac:dyDescent="0.25">
      <c r="A89" s="3">
        <v>2102336</v>
      </c>
      <c r="B89" s="2" t="s">
        <v>351</v>
      </c>
      <c r="C89" s="4">
        <v>220.10499999999999</v>
      </c>
      <c r="D89" s="2" t="s">
        <v>40</v>
      </c>
      <c r="E89" s="2" t="s">
        <v>167</v>
      </c>
      <c r="F89" t="b">
        <v>1</v>
      </c>
    </row>
    <row r="90" spans="1:6" x14ac:dyDescent="0.25">
      <c r="A90" s="3">
        <v>2102336</v>
      </c>
      <c r="B90" s="2" t="s">
        <v>350</v>
      </c>
      <c r="C90" s="4">
        <v>172.59100000000001</v>
      </c>
      <c r="D90" s="2" t="s">
        <v>40</v>
      </c>
      <c r="E90" s="2" t="s">
        <v>169</v>
      </c>
      <c r="F90" t="b">
        <v>1</v>
      </c>
    </row>
    <row r="91" spans="1:6" x14ac:dyDescent="0.25">
      <c r="A91" s="3">
        <v>2102386</v>
      </c>
      <c r="B91" s="2" t="s">
        <v>352</v>
      </c>
      <c r="C91" s="4">
        <v>200</v>
      </c>
      <c r="D91" s="2" t="s">
        <v>40</v>
      </c>
      <c r="E91" s="2" t="s">
        <v>103</v>
      </c>
      <c r="F91" t="b">
        <v>1</v>
      </c>
    </row>
    <row r="92" spans="1:6" x14ac:dyDescent="0.25">
      <c r="A92" s="3">
        <v>2102336</v>
      </c>
      <c r="B92" s="2" t="s">
        <v>353</v>
      </c>
      <c r="C92" s="4">
        <v>204.11600000000001</v>
      </c>
      <c r="D92" s="2" t="s">
        <v>40</v>
      </c>
      <c r="E92" s="2" t="s">
        <v>139</v>
      </c>
      <c r="F92" t="b">
        <v>1</v>
      </c>
    </row>
    <row r="93" spans="1:6" x14ac:dyDescent="0.25">
      <c r="A93" s="3">
        <v>2102336</v>
      </c>
      <c r="B93" s="2" t="s">
        <v>354</v>
      </c>
      <c r="C93" s="4">
        <v>211.26</v>
      </c>
      <c r="D93" s="2" t="s">
        <v>40</v>
      </c>
      <c r="E93" s="2" t="s">
        <v>135</v>
      </c>
      <c r="F93" t="b">
        <v>1</v>
      </c>
    </row>
    <row r="94" spans="1:6" x14ac:dyDescent="0.25">
      <c r="A94" s="3">
        <v>2102336</v>
      </c>
      <c r="B94" s="2" t="s">
        <v>355</v>
      </c>
      <c r="C94" s="4">
        <v>177.01400000000001</v>
      </c>
      <c r="D94" s="2" t="s">
        <v>40</v>
      </c>
      <c r="E94" s="2" t="s">
        <v>155</v>
      </c>
      <c r="F94" t="b">
        <v>1</v>
      </c>
    </row>
    <row r="95" spans="1:6" x14ac:dyDescent="0.25">
      <c r="A95" s="3">
        <v>2102336</v>
      </c>
      <c r="B95" s="2" t="s">
        <v>350</v>
      </c>
      <c r="C95" s="4">
        <v>172.59100000000001</v>
      </c>
      <c r="D95" s="2" t="s">
        <v>40</v>
      </c>
      <c r="E95" s="2" t="s">
        <v>169</v>
      </c>
      <c r="F95" t="b">
        <v>1</v>
      </c>
    </row>
    <row r="96" spans="1:6" x14ac:dyDescent="0.25">
      <c r="A96" s="3">
        <v>2102386</v>
      </c>
      <c r="B96" s="2" t="s">
        <v>352</v>
      </c>
      <c r="C96" s="4">
        <v>200</v>
      </c>
      <c r="D96" s="2" t="s">
        <v>40</v>
      </c>
      <c r="E96" s="2" t="s">
        <v>103</v>
      </c>
      <c r="F96" t="b">
        <v>1</v>
      </c>
    </row>
    <row r="97" spans="1:6" x14ac:dyDescent="0.25">
      <c r="A97" s="3">
        <v>2102336</v>
      </c>
      <c r="B97" s="2" t="s">
        <v>349</v>
      </c>
      <c r="C97" s="4">
        <v>219.99199999999999</v>
      </c>
      <c r="D97" s="2" t="s">
        <v>40</v>
      </c>
      <c r="E97" s="2" t="s">
        <v>163</v>
      </c>
      <c r="F97" t="b">
        <v>1</v>
      </c>
    </row>
    <row r="98" spans="1:6" x14ac:dyDescent="0.25">
      <c r="A98" s="3">
        <v>2102336</v>
      </c>
      <c r="B98" s="2" t="s">
        <v>351</v>
      </c>
      <c r="C98" s="4">
        <v>220.10499999999999</v>
      </c>
      <c r="D98" s="2" t="s">
        <v>40</v>
      </c>
      <c r="E98" s="2" t="s">
        <v>167</v>
      </c>
      <c r="F98" t="b">
        <v>1</v>
      </c>
    </row>
    <row r="99" spans="1:6" x14ac:dyDescent="0.25">
      <c r="A99" s="3">
        <v>2102336</v>
      </c>
      <c r="B99" s="2" t="s">
        <v>353</v>
      </c>
      <c r="C99" s="4">
        <v>204.11600000000001</v>
      </c>
      <c r="D99" s="2" t="s">
        <v>40</v>
      </c>
      <c r="E99" s="2" t="s">
        <v>139</v>
      </c>
      <c r="F99" t="b">
        <v>1</v>
      </c>
    </row>
    <row r="100" spans="1:6" x14ac:dyDescent="0.25">
      <c r="A100" s="3">
        <v>2102336</v>
      </c>
      <c r="B100" s="2" t="s">
        <v>356</v>
      </c>
      <c r="C100" s="4">
        <v>421.84</v>
      </c>
      <c r="D100" s="2" t="s">
        <v>40</v>
      </c>
      <c r="E100" s="2" t="s">
        <v>167</v>
      </c>
      <c r="F100" t="b">
        <v>1</v>
      </c>
    </row>
    <row r="101" spans="1:6" x14ac:dyDescent="0.25">
      <c r="A101" s="3">
        <v>2102336</v>
      </c>
      <c r="B101" s="2" t="s">
        <v>353</v>
      </c>
      <c r="C101" s="4">
        <v>204.11799999999999</v>
      </c>
      <c r="D101" s="2" t="s">
        <v>40</v>
      </c>
      <c r="E101" s="2" t="s">
        <v>139</v>
      </c>
      <c r="F101" t="b">
        <v>1</v>
      </c>
    </row>
    <row r="102" spans="1:6" x14ac:dyDescent="0.25">
      <c r="A102" s="3">
        <v>2102336</v>
      </c>
      <c r="B102" s="2" t="s">
        <v>357</v>
      </c>
      <c r="C102" s="4">
        <v>215.45599999999999</v>
      </c>
      <c r="D102" s="2" t="s">
        <v>40</v>
      </c>
      <c r="E102" s="2" t="s">
        <v>139</v>
      </c>
      <c r="F102" t="b">
        <v>1</v>
      </c>
    </row>
    <row r="103" spans="1:6" x14ac:dyDescent="0.25">
      <c r="A103" s="3">
        <v>2102336</v>
      </c>
      <c r="B103" s="2" t="s">
        <v>358</v>
      </c>
      <c r="C103" s="4">
        <v>218.404</v>
      </c>
      <c r="D103" s="2" t="s">
        <v>40</v>
      </c>
      <c r="E103" s="2" t="s">
        <v>155</v>
      </c>
      <c r="F103" t="b">
        <v>1</v>
      </c>
    </row>
    <row r="104" spans="1:6" x14ac:dyDescent="0.25">
      <c r="A104" s="3">
        <v>2102336</v>
      </c>
      <c r="B104" s="2" t="s">
        <v>354</v>
      </c>
      <c r="C104" s="4">
        <v>211.262</v>
      </c>
      <c r="D104" s="2" t="s">
        <v>40</v>
      </c>
      <c r="E104" s="2" t="s">
        <v>135</v>
      </c>
      <c r="F104" t="b">
        <v>1</v>
      </c>
    </row>
    <row r="105" spans="1:6" x14ac:dyDescent="0.25">
      <c r="A105" s="3">
        <v>2102336</v>
      </c>
      <c r="B105" s="2" t="s">
        <v>359</v>
      </c>
      <c r="C105" s="4">
        <v>395.98399999999998</v>
      </c>
      <c r="D105" s="2" t="s">
        <v>40</v>
      </c>
      <c r="E105" s="2" t="s">
        <v>163</v>
      </c>
      <c r="F105" t="b">
        <v>1</v>
      </c>
    </row>
    <row r="106" spans="1:6" x14ac:dyDescent="0.25">
      <c r="A106" s="3">
        <v>2102336</v>
      </c>
      <c r="B106" s="2" t="s">
        <v>360</v>
      </c>
      <c r="C106" s="4">
        <v>210.92</v>
      </c>
      <c r="D106" s="2" t="s">
        <v>40</v>
      </c>
      <c r="E106" s="2" t="s">
        <v>169</v>
      </c>
      <c r="F106" t="b">
        <v>1</v>
      </c>
    </row>
    <row r="107" spans="1:6" x14ac:dyDescent="0.25">
      <c r="A107" s="3">
        <v>2102336</v>
      </c>
      <c r="B107" s="2" t="s">
        <v>361</v>
      </c>
      <c r="C107" s="4">
        <v>206.38399999999999</v>
      </c>
      <c r="D107" s="2" t="s">
        <v>40</v>
      </c>
      <c r="E107" s="2" t="s">
        <v>135</v>
      </c>
      <c r="F107" t="b">
        <v>1</v>
      </c>
    </row>
    <row r="108" spans="1:6" x14ac:dyDescent="0.25">
      <c r="A108" s="3">
        <v>2102336</v>
      </c>
      <c r="B108" s="2" t="s">
        <v>357</v>
      </c>
      <c r="C108" s="4">
        <v>215.45599999999999</v>
      </c>
      <c r="D108" s="2" t="s">
        <v>40</v>
      </c>
      <c r="E108" s="2" t="s">
        <v>139</v>
      </c>
      <c r="F108" t="b">
        <v>1</v>
      </c>
    </row>
    <row r="109" spans="1:6" x14ac:dyDescent="0.25">
      <c r="A109" s="3">
        <v>2102336</v>
      </c>
      <c r="B109" s="2" t="s">
        <v>358</v>
      </c>
      <c r="C109" s="4">
        <v>218.404</v>
      </c>
      <c r="D109" s="2" t="s">
        <v>40</v>
      </c>
      <c r="E109" s="2" t="s">
        <v>155</v>
      </c>
      <c r="F109" t="b">
        <v>1</v>
      </c>
    </row>
    <row r="110" spans="1:6" x14ac:dyDescent="0.25">
      <c r="A110" s="3">
        <v>2102336</v>
      </c>
      <c r="B110" s="2" t="s">
        <v>359</v>
      </c>
      <c r="C110" s="4">
        <v>197.99600000000001</v>
      </c>
      <c r="D110" s="2" t="s">
        <v>40</v>
      </c>
      <c r="E110" s="2" t="s">
        <v>163</v>
      </c>
      <c r="F110" t="b">
        <v>1</v>
      </c>
    </row>
    <row r="111" spans="1:6" x14ac:dyDescent="0.25">
      <c r="A111" s="3">
        <v>2102336</v>
      </c>
      <c r="B111" s="2" t="s">
        <v>356</v>
      </c>
      <c r="C111" s="4">
        <v>210.92</v>
      </c>
      <c r="D111" s="2" t="s">
        <v>40</v>
      </c>
      <c r="E111" s="2" t="s">
        <v>167</v>
      </c>
      <c r="F111" t="b">
        <v>1</v>
      </c>
    </row>
    <row r="112" spans="1:6" x14ac:dyDescent="0.25">
      <c r="A112" s="3">
        <v>2102336</v>
      </c>
      <c r="B112" s="2" t="s">
        <v>360</v>
      </c>
      <c r="C112" s="4">
        <v>421.84100000000001</v>
      </c>
      <c r="D112" s="2" t="s">
        <v>40</v>
      </c>
      <c r="E112" s="2" t="s">
        <v>169</v>
      </c>
      <c r="F112" t="b">
        <v>1</v>
      </c>
    </row>
    <row r="113" spans="1:6" x14ac:dyDescent="0.25">
      <c r="A113" s="3">
        <v>2102336</v>
      </c>
      <c r="B113" s="2" t="s">
        <v>358</v>
      </c>
      <c r="C113" s="4">
        <v>218.404</v>
      </c>
      <c r="D113" s="2" t="s">
        <v>40</v>
      </c>
      <c r="E113" s="2" t="s">
        <v>155</v>
      </c>
      <c r="F113" t="b">
        <v>1</v>
      </c>
    </row>
    <row r="114" spans="1:6" x14ac:dyDescent="0.25">
      <c r="A114" s="3">
        <v>2102336</v>
      </c>
      <c r="B114" s="2" t="s">
        <v>361</v>
      </c>
      <c r="C114" s="4">
        <v>412.76799999999997</v>
      </c>
      <c r="D114" s="2" t="s">
        <v>40</v>
      </c>
      <c r="E114" s="2" t="s">
        <v>135</v>
      </c>
      <c r="F114" t="b">
        <v>1</v>
      </c>
    </row>
    <row r="115" spans="1:6" x14ac:dyDescent="0.25">
      <c r="A115" s="3">
        <v>2102336</v>
      </c>
      <c r="B115" s="2" t="s">
        <v>358</v>
      </c>
      <c r="C115" s="4">
        <v>218.404</v>
      </c>
      <c r="D115" s="2" t="s">
        <v>40</v>
      </c>
      <c r="E115" s="2" t="s">
        <v>155</v>
      </c>
      <c r="F115" t="b">
        <v>1</v>
      </c>
    </row>
    <row r="116" spans="1:6" x14ac:dyDescent="0.25">
      <c r="A116" s="3">
        <v>2102336</v>
      </c>
      <c r="B116" s="2" t="s">
        <v>357</v>
      </c>
      <c r="C116" s="4">
        <v>215.45599999999999</v>
      </c>
      <c r="D116" s="2" t="s">
        <v>40</v>
      </c>
      <c r="E116" s="2" t="s">
        <v>139</v>
      </c>
      <c r="F116" t="b">
        <v>1</v>
      </c>
    </row>
    <row r="117" spans="1:6" x14ac:dyDescent="0.25">
      <c r="A117" s="3">
        <v>2102336</v>
      </c>
      <c r="B117" s="2" t="s">
        <v>362</v>
      </c>
      <c r="C117" s="4">
        <v>216.476</v>
      </c>
      <c r="D117" s="2" t="s">
        <v>40</v>
      </c>
      <c r="E117" s="2" t="s">
        <v>163</v>
      </c>
      <c r="F117" t="b">
        <v>1</v>
      </c>
    </row>
    <row r="118" spans="1:6" x14ac:dyDescent="0.25">
      <c r="A118" s="3">
        <v>2102336</v>
      </c>
      <c r="B118" s="2" t="s">
        <v>363</v>
      </c>
      <c r="C118" s="4">
        <v>199.01300000000001</v>
      </c>
      <c r="D118" s="2" t="s">
        <v>40</v>
      </c>
      <c r="E118" s="2" t="s">
        <v>169</v>
      </c>
      <c r="F118" t="b">
        <v>1</v>
      </c>
    </row>
    <row r="119" spans="1:6" x14ac:dyDescent="0.25">
      <c r="A119" s="3">
        <v>2102336</v>
      </c>
      <c r="B119" s="2" t="s">
        <v>356</v>
      </c>
      <c r="C119" s="4">
        <v>210.92</v>
      </c>
      <c r="D119" s="2" t="s">
        <v>40</v>
      </c>
      <c r="E119" s="2" t="s">
        <v>167</v>
      </c>
      <c r="F119" t="b">
        <v>1</v>
      </c>
    </row>
    <row r="120" spans="1:6" x14ac:dyDescent="0.25">
      <c r="A120" s="3">
        <v>2102336</v>
      </c>
      <c r="B120" s="2" t="s">
        <v>363</v>
      </c>
      <c r="C120" s="4">
        <v>199.01300000000001</v>
      </c>
      <c r="D120" s="2" t="s">
        <v>40</v>
      </c>
      <c r="E120" s="2" t="s">
        <v>169</v>
      </c>
      <c r="F120" t="b">
        <v>1</v>
      </c>
    </row>
    <row r="121" spans="1:6" x14ac:dyDescent="0.25">
      <c r="A121" s="3">
        <v>2102336</v>
      </c>
      <c r="B121" s="2" t="s">
        <v>364</v>
      </c>
      <c r="C121" s="4">
        <v>195.04400000000001</v>
      </c>
      <c r="D121" s="2" t="s">
        <v>40</v>
      </c>
      <c r="E121" s="2" t="s">
        <v>167</v>
      </c>
      <c r="F121" t="b">
        <v>1</v>
      </c>
    </row>
    <row r="122" spans="1:6" x14ac:dyDescent="0.25">
      <c r="A122" s="3">
        <v>2102336</v>
      </c>
      <c r="B122" s="2" t="s">
        <v>362</v>
      </c>
      <c r="C122" s="4">
        <v>216.476</v>
      </c>
      <c r="D122" s="2" t="s">
        <v>40</v>
      </c>
      <c r="E122" s="2" t="s">
        <v>163</v>
      </c>
      <c r="F122" t="b">
        <v>1</v>
      </c>
    </row>
    <row r="123" spans="1:6" x14ac:dyDescent="0.25">
      <c r="A123" s="3">
        <v>2102336</v>
      </c>
      <c r="B123" s="2" t="s">
        <v>365</v>
      </c>
      <c r="C123" s="4">
        <v>217.61</v>
      </c>
      <c r="D123" s="2" t="s">
        <v>40</v>
      </c>
      <c r="E123" s="2" t="s">
        <v>155</v>
      </c>
      <c r="F123" t="b">
        <v>1</v>
      </c>
    </row>
    <row r="124" spans="1:6" x14ac:dyDescent="0.25">
      <c r="A124" s="3">
        <v>2102336</v>
      </c>
      <c r="B124" s="2" t="s">
        <v>357</v>
      </c>
      <c r="C124" s="4">
        <v>215.452</v>
      </c>
      <c r="D124" s="2" t="s">
        <v>40</v>
      </c>
      <c r="E124" s="2" t="s">
        <v>139</v>
      </c>
      <c r="F124" t="b">
        <v>1</v>
      </c>
    </row>
    <row r="125" spans="1:6" x14ac:dyDescent="0.25">
      <c r="A125" s="3">
        <v>2102336</v>
      </c>
      <c r="B125" s="2" t="s">
        <v>361</v>
      </c>
      <c r="C125" s="4">
        <v>206.38499999999999</v>
      </c>
      <c r="D125" s="2" t="s">
        <v>40</v>
      </c>
      <c r="E125" s="2" t="s">
        <v>135</v>
      </c>
      <c r="F125" t="b">
        <v>1</v>
      </c>
    </row>
    <row r="126" spans="1:6" x14ac:dyDescent="0.25">
      <c r="A126" s="3">
        <v>2102336</v>
      </c>
      <c r="B126" s="2" t="s">
        <v>364</v>
      </c>
      <c r="C126" s="4">
        <v>195.04400000000001</v>
      </c>
      <c r="D126" s="2" t="s">
        <v>40</v>
      </c>
      <c r="E126" s="2" t="s">
        <v>167</v>
      </c>
      <c r="F126" t="b">
        <v>1</v>
      </c>
    </row>
    <row r="127" spans="1:6" x14ac:dyDescent="0.25">
      <c r="A127" s="3">
        <v>2102336</v>
      </c>
      <c r="B127" s="2" t="s">
        <v>363</v>
      </c>
      <c r="C127" s="4">
        <v>199.01300000000001</v>
      </c>
      <c r="D127" s="2" t="s">
        <v>40</v>
      </c>
      <c r="E127" s="2" t="s">
        <v>169</v>
      </c>
      <c r="F127" t="b">
        <v>1</v>
      </c>
    </row>
    <row r="128" spans="1:6" x14ac:dyDescent="0.25">
      <c r="A128" s="3">
        <v>2102336</v>
      </c>
      <c r="B128" s="2" t="s">
        <v>362</v>
      </c>
      <c r="C128" s="4">
        <v>216.476</v>
      </c>
      <c r="D128" s="2" t="s">
        <v>40</v>
      </c>
      <c r="E128" s="2" t="s">
        <v>163</v>
      </c>
      <c r="F128" t="b">
        <v>1</v>
      </c>
    </row>
    <row r="129" spans="1:6" x14ac:dyDescent="0.25">
      <c r="A129" s="3">
        <v>2102336</v>
      </c>
      <c r="B129" s="2" t="s">
        <v>365</v>
      </c>
      <c r="C129" s="4">
        <v>217.61</v>
      </c>
      <c r="D129" s="2" t="s">
        <v>40</v>
      </c>
      <c r="E129" s="2" t="s">
        <v>155</v>
      </c>
      <c r="F129" t="b">
        <v>1</v>
      </c>
    </row>
    <row r="130" spans="1:6" x14ac:dyDescent="0.25">
      <c r="A130" s="3">
        <v>2102336</v>
      </c>
      <c r="B130" s="2" t="s">
        <v>366</v>
      </c>
      <c r="C130" s="4">
        <v>193.23</v>
      </c>
      <c r="D130" s="2" t="s">
        <v>40</v>
      </c>
      <c r="E130" s="2" t="s">
        <v>135</v>
      </c>
      <c r="F130" t="b">
        <v>1</v>
      </c>
    </row>
    <row r="131" spans="1:6" x14ac:dyDescent="0.25">
      <c r="A131" s="3">
        <v>2102336</v>
      </c>
      <c r="B131" s="2" t="s">
        <v>367</v>
      </c>
      <c r="C131" s="4">
        <v>207.291</v>
      </c>
      <c r="D131" s="2" t="s">
        <v>40</v>
      </c>
      <c r="E131" s="2" t="s">
        <v>139</v>
      </c>
      <c r="F131" t="b">
        <v>1</v>
      </c>
    </row>
    <row r="132" spans="1:6" x14ac:dyDescent="0.25">
      <c r="A132" s="3">
        <v>2102336</v>
      </c>
      <c r="B132" s="2" t="s">
        <v>364</v>
      </c>
      <c r="C132" s="4">
        <v>195.04400000000001</v>
      </c>
      <c r="D132" s="2" t="s">
        <v>40</v>
      </c>
      <c r="E132" s="2" t="s">
        <v>167</v>
      </c>
      <c r="F132" t="b">
        <v>1</v>
      </c>
    </row>
    <row r="133" spans="1:6" x14ac:dyDescent="0.25">
      <c r="A133" s="3">
        <v>2102336</v>
      </c>
      <c r="B133" s="2" t="s">
        <v>362</v>
      </c>
      <c r="C133" s="4">
        <v>216.47900000000001</v>
      </c>
      <c r="D133" s="2" t="s">
        <v>40</v>
      </c>
      <c r="E133" s="2" t="s">
        <v>163</v>
      </c>
      <c r="F133" t="b">
        <v>1</v>
      </c>
    </row>
    <row r="134" spans="1:6" x14ac:dyDescent="0.25">
      <c r="A134" s="3">
        <v>2102336</v>
      </c>
      <c r="B134" s="2" t="s">
        <v>365</v>
      </c>
      <c r="C134" s="4">
        <v>217.61</v>
      </c>
      <c r="D134" s="2" t="s">
        <v>40</v>
      </c>
      <c r="E134" s="2" t="s">
        <v>155</v>
      </c>
      <c r="F134" t="b">
        <v>1</v>
      </c>
    </row>
    <row r="135" spans="1:6" x14ac:dyDescent="0.25">
      <c r="A135" s="3">
        <v>2102336</v>
      </c>
      <c r="B135" s="2" t="s">
        <v>363</v>
      </c>
      <c r="C135" s="4">
        <v>199.01499999999999</v>
      </c>
      <c r="D135" s="2" t="s">
        <v>40</v>
      </c>
      <c r="E135" s="2" t="s">
        <v>169</v>
      </c>
      <c r="F135" t="b">
        <v>1</v>
      </c>
    </row>
    <row r="136" spans="1:6" x14ac:dyDescent="0.25">
      <c r="A136" s="3">
        <v>2102336</v>
      </c>
      <c r="B136" s="2" t="s">
        <v>365</v>
      </c>
      <c r="C136" s="4">
        <v>217.61</v>
      </c>
      <c r="D136" s="2" t="s">
        <v>40</v>
      </c>
      <c r="E136" s="2" t="s">
        <v>155</v>
      </c>
      <c r="F136" t="b">
        <v>1</v>
      </c>
    </row>
    <row r="137" spans="1:6" x14ac:dyDescent="0.25">
      <c r="A137" s="3">
        <v>2102336</v>
      </c>
      <c r="B137" s="2" t="s">
        <v>364</v>
      </c>
      <c r="C137" s="4">
        <v>195.04</v>
      </c>
      <c r="D137" s="2" t="s">
        <v>40</v>
      </c>
      <c r="E137" s="2" t="s">
        <v>167</v>
      </c>
      <c r="F137" t="b">
        <v>1</v>
      </c>
    </row>
    <row r="138" spans="1:6" x14ac:dyDescent="0.25">
      <c r="A138" s="3">
        <v>2102336</v>
      </c>
      <c r="B138" s="2" t="s">
        <v>367</v>
      </c>
      <c r="C138" s="4">
        <v>207.291</v>
      </c>
      <c r="D138" s="2" t="s">
        <v>40</v>
      </c>
      <c r="E138" s="2" t="s">
        <v>139</v>
      </c>
      <c r="F138" t="b">
        <v>1</v>
      </c>
    </row>
    <row r="139" spans="1:6" x14ac:dyDescent="0.25">
      <c r="A139" s="3">
        <v>2102336</v>
      </c>
      <c r="B139" s="2" t="s">
        <v>368</v>
      </c>
      <c r="C139" s="4">
        <v>110.449</v>
      </c>
      <c r="D139" s="2" t="s">
        <v>40</v>
      </c>
      <c r="E139" s="2" t="s">
        <v>169</v>
      </c>
      <c r="F139" t="b">
        <v>1</v>
      </c>
    </row>
    <row r="140" spans="1:6" x14ac:dyDescent="0.25">
      <c r="A140" s="3">
        <v>2102336</v>
      </c>
      <c r="B140" s="2" t="s">
        <v>366</v>
      </c>
      <c r="C140" s="4">
        <v>193.23</v>
      </c>
      <c r="D140" s="2" t="s">
        <v>40</v>
      </c>
      <c r="E140" s="2" t="s">
        <v>135</v>
      </c>
      <c r="F140" t="b">
        <v>1</v>
      </c>
    </row>
    <row r="141" spans="1:6" x14ac:dyDescent="0.25">
      <c r="A141" s="3">
        <v>2102336</v>
      </c>
      <c r="B141" s="2" t="s">
        <v>369</v>
      </c>
      <c r="C141" s="4">
        <v>170.32300000000001</v>
      </c>
      <c r="D141" s="2" t="s">
        <v>40</v>
      </c>
      <c r="E141" s="2" t="s">
        <v>163</v>
      </c>
      <c r="F141" t="b">
        <v>1</v>
      </c>
    </row>
    <row r="142" spans="1:6" x14ac:dyDescent="0.25">
      <c r="A142" s="3">
        <v>2102336</v>
      </c>
      <c r="B142" s="2" t="s">
        <v>370</v>
      </c>
      <c r="C142" s="4">
        <v>700</v>
      </c>
      <c r="D142" s="2" t="s">
        <v>41</v>
      </c>
      <c r="E142" s="2" t="s">
        <v>169</v>
      </c>
      <c r="F142" t="b">
        <v>0</v>
      </c>
    </row>
    <row r="143" spans="1:6" x14ac:dyDescent="0.25">
      <c r="A143" s="3">
        <v>2102336</v>
      </c>
      <c r="B143" s="2" t="s">
        <v>370</v>
      </c>
      <c r="C143" s="4">
        <v>700</v>
      </c>
      <c r="D143" s="2" t="s">
        <v>49</v>
      </c>
      <c r="E143" s="2" t="s">
        <v>169</v>
      </c>
      <c r="F143" t="b">
        <v>1</v>
      </c>
    </row>
    <row r="144" spans="1:6" x14ac:dyDescent="0.25">
      <c r="A144" s="3">
        <v>2102336</v>
      </c>
      <c r="B144" s="2" t="s">
        <v>370</v>
      </c>
      <c r="C144" s="4">
        <v>5.7889999999999997</v>
      </c>
      <c r="D144" s="2" t="s">
        <v>49</v>
      </c>
      <c r="E144" s="2" t="s">
        <v>169</v>
      </c>
      <c r="F144" t="b">
        <v>1</v>
      </c>
    </row>
    <row r="145" spans="1:6" x14ac:dyDescent="0.25">
      <c r="A145" s="3">
        <v>2102336</v>
      </c>
      <c r="B145" s="2" t="s">
        <v>370</v>
      </c>
      <c r="C145" s="4">
        <v>5.7889999999999997</v>
      </c>
      <c r="D145" s="2" t="s">
        <v>49</v>
      </c>
      <c r="E145" s="2" t="s">
        <v>169</v>
      </c>
      <c r="F145" t="b">
        <v>1</v>
      </c>
    </row>
    <row r="146" spans="1:6" x14ac:dyDescent="0.25">
      <c r="A146" s="3">
        <v>2102336</v>
      </c>
      <c r="B146" s="2" t="s">
        <v>370</v>
      </c>
      <c r="C146" s="4">
        <v>5.7889999999999997</v>
      </c>
      <c r="D146" s="2" t="s">
        <v>49</v>
      </c>
      <c r="E146" s="2" t="s">
        <v>169</v>
      </c>
      <c r="F146" t="b">
        <v>1</v>
      </c>
    </row>
    <row r="147" spans="1:6" x14ac:dyDescent="0.25">
      <c r="A147" s="3">
        <v>2102336</v>
      </c>
      <c r="B147" s="2" t="s">
        <v>371</v>
      </c>
      <c r="C147" s="4">
        <v>218.85900000000001</v>
      </c>
      <c r="D147" s="2" t="s">
        <v>49</v>
      </c>
      <c r="E147" s="2" t="s">
        <v>85</v>
      </c>
      <c r="F147" t="b">
        <v>1</v>
      </c>
    </row>
    <row r="148" spans="1:6" x14ac:dyDescent="0.25">
      <c r="A148" s="3">
        <v>2104350</v>
      </c>
      <c r="B148" s="2" t="s">
        <v>372</v>
      </c>
      <c r="C148" s="4">
        <v>642.78399999999999</v>
      </c>
      <c r="D148" s="2" t="s">
        <v>41</v>
      </c>
      <c r="E148" s="2" t="s">
        <v>169</v>
      </c>
      <c r="F148" t="b">
        <v>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MigrationWizIdSecurityGroups xmlns="8e81cc99-94dd-4cfc-aa9f-d8c4fc7dc509" xsi:nil="true"/>
    <MigrationWizIdPermissionLevels xmlns="8e81cc99-94dd-4cfc-aa9f-d8c4fc7dc509" xsi:nil="true"/>
    <MigrationWizIdPermissions xmlns="8e81cc99-94dd-4cfc-aa9f-d8c4fc7dc509" xsi:nil="true"/>
    <MigrationWizIdDocumentLibraryPermissions xmlns="8e81cc99-94dd-4cfc-aa9f-d8c4fc7dc509" xsi:nil="true"/>
    <MigrationWizId xmlns="8e81cc99-94dd-4cfc-aa9f-d8c4fc7dc509" xsi:nil="true"/>
    <_activity xmlns="8e81cc99-94dd-4cfc-aa9f-d8c4fc7dc50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1E655B78A654940BA91C0654B61B38A" ma:contentTypeVersion="23" ma:contentTypeDescription="Create a new document." ma:contentTypeScope="" ma:versionID="ddc640b23714214c89ec162162ff7215">
  <xsd:schema xmlns:xsd="http://www.w3.org/2001/XMLSchema" xmlns:xs="http://www.w3.org/2001/XMLSchema" xmlns:p="http://schemas.microsoft.com/office/2006/metadata/properties" xmlns:ns3="8e81cc99-94dd-4cfc-aa9f-d8c4fc7dc509" xmlns:ns4="e2cad8e1-7a0a-4dc9-b7ea-2f8d495f6182" targetNamespace="http://schemas.microsoft.com/office/2006/metadata/properties" ma:root="true" ma:fieldsID="24dcec1662635a0fc7337e6ece9f97e4" ns3:_="" ns4:_="">
    <xsd:import namespace="8e81cc99-94dd-4cfc-aa9f-d8c4fc7dc509"/>
    <xsd:import namespace="e2cad8e1-7a0a-4dc9-b7ea-2f8d495f6182"/>
    <xsd:element name="properties">
      <xsd:complexType>
        <xsd:sequence>
          <xsd:element name="documentManagement">
            <xsd:complexType>
              <xsd:all>
                <xsd:element ref="ns3:MigrationWizId" minOccurs="0"/>
                <xsd:element ref="ns3:MigrationWizIdPermissions" minOccurs="0"/>
                <xsd:element ref="ns3:MigrationWizIdPermissionLevels" minOccurs="0"/>
                <xsd:element ref="ns3:MigrationWizIdDocumentLibraryPermissions" minOccurs="0"/>
                <xsd:element ref="ns3:MigrationWizIdSecurityGroups" minOccurs="0"/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_activity" minOccurs="0"/>
                <xsd:element ref="ns3:MediaServiceLocation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e81cc99-94dd-4cfc-aa9f-d8c4fc7dc509" elementFormDefault="qualified">
    <xsd:import namespace="http://schemas.microsoft.com/office/2006/documentManagement/types"/>
    <xsd:import namespace="http://schemas.microsoft.com/office/infopath/2007/PartnerControls"/>
    <xsd:element name="MigrationWizId" ma:index="8" nillable="true" ma:displayName="MigrationWizId" ma:internalName="MigrationWizId">
      <xsd:simpleType>
        <xsd:restriction base="dms:Text"/>
      </xsd:simpleType>
    </xsd:element>
    <xsd:element name="MigrationWizIdPermissions" ma:index="9" nillable="true" ma:displayName="MigrationWizIdPermissions" ma:internalName="MigrationWizIdPermissions">
      <xsd:simpleType>
        <xsd:restriction base="dms:Text"/>
      </xsd:simpleType>
    </xsd:element>
    <xsd:element name="MigrationWizIdPermissionLevels" ma:index="10" nillable="true" ma:displayName="MigrationWizIdPermissionLevels" ma:internalName="MigrationWizIdPermissionLevels">
      <xsd:simpleType>
        <xsd:restriction base="dms:Text"/>
      </xsd:simpleType>
    </xsd:element>
    <xsd:element name="MigrationWizIdDocumentLibraryPermissions" ma:index="11" nillable="true" ma:displayName="MigrationWizIdDocumentLibraryPermissions" ma:internalName="MigrationWizIdDocumentLibraryPermissions">
      <xsd:simpleType>
        <xsd:restriction base="dms:Text"/>
      </xsd:simpleType>
    </xsd:element>
    <xsd:element name="MigrationWizIdSecurityGroups" ma:index="12" nillable="true" ma:displayName="MigrationWizIdSecurityGroups" ma:internalName="MigrationWizIdSecurityGroups">
      <xsd:simpleType>
        <xsd:restriction base="dms:Text"/>
      </xsd:simpleType>
    </xsd:element>
    <xsd:element name="MediaServiceMetadata" ma:index="13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21" nillable="true" ma:displayName="Tags" ma:internalName="MediaServiceAutoTags" ma:readOnly="true">
      <xsd:simpleType>
        <xsd:restriction base="dms:Text"/>
      </xsd:simpleType>
    </xsd:element>
    <xsd:element name="MediaServiceOCR" ma:index="2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2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5" nillable="true" ma:displayName="MediaLengthInSeconds" ma:hidden="true" ma:internalName="MediaLengthInSeconds" ma:readOnly="true">
      <xsd:simpleType>
        <xsd:restriction base="dms:Unknown"/>
      </xsd:simpleType>
    </xsd:element>
    <xsd:element name="_activity" ma:index="26" nillable="true" ma:displayName="_activity" ma:hidden="true" ma:internalName="_activity">
      <xsd:simpleType>
        <xsd:restriction base="dms:Note"/>
      </xsd:simpleType>
    </xsd:element>
    <xsd:element name="MediaServiceLocation" ma:index="27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9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3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2cad8e1-7a0a-4dc9-b7ea-2f8d495f6182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7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C331C58-DBD9-406D-826B-C165A8992999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767E7804-5E21-4A01-AB2D-DFFD796A222E}">
  <ds:schemaRefs>
    <ds:schemaRef ds:uri="http://purl.org/dc/dcmitype/"/>
    <ds:schemaRef ds:uri="http://purl.org/dc/terms/"/>
    <ds:schemaRef ds:uri="http://www.w3.org/XML/1998/namespace"/>
    <ds:schemaRef ds:uri="http://purl.org/dc/elements/1.1/"/>
    <ds:schemaRef ds:uri="8e81cc99-94dd-4cfc-aa9f-d8c4fc7dc509"/>
    <ds:schemaRef ds:uri="http://schemas.microsoft.com/office/2006/documentManagement/types"/>
    <ds:schemaRef ds:uri="http://schemas.microsoft.com/office/infopath/2007/PartnerControls"/>
    <ds:schemaRef ds:uri="e2cad8e1-7a0a-4dc9-b7ea-2f8d495f6182"/>
    <ds:schemaRef ds:uri="http://schemas.openxmlformats.org/package/2006/metadata/core-properties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A850D6E1-84C2-435A-A885-E41F36DE93A2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6C302BAB-740D-401C-9006-4952757698B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e81cc99-94dd-4cfc-aa9f-d8c4fc7dc509"/>
    <ds:schemaRef ds:uri="e2cad8e1-7a0a-4dc9-b7ea-2f8d495f618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Sheet1</vt:lpstr>
      <vt:lpstr>Sheet2</vt:lpstr>
      <vt:lpstr>SandTrans</vt:lpstr>
      <vt:lpstr>Defects</vt:lpstr>
      <vt:lpstr>Furnaces</vt:lpstr>
      <vt:lpstr>Hampers</vt:lpstr>
      <vt:lpstr>LabelPrinters</vt:lpstr>
      <vt:lpstr>NewarkOvens</vt:lpstr>
      <vt:lpstr>TubeODs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Large Diameter Tube Serialization</dc:title>
  <dc:subject/>
  <dc:creator>Parkinson, Jesse</dc:creator>
  <cp:keywords/>
  <dc:description/>
  <cp:lastModifiedBy>Parkinson, Jesse</cp:lastModifiedBy>
  <cp:revision/>
  <dcterms:created xsi:type="dcterms:W3CDTF">2024-10-22T07:12:30Z</dcterms:created>
  <dcterms:modified xsi:type="dcterms:W3CDTF">2026-03-13T15:49:39Z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0x010100A1E655B78A654940BA91C0654B61B38A</vt:lpwstr>
  </property>
  <property fmtid="{D5CDD505-2E9C-101B-9397-08002B2CF9AE}" pid="3" name="MediaServiceImageTags">
    <vt:lpwstr/>
  </property>
</Properties>
</file>