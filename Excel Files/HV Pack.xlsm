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omentivetech-my.sharepoint.com/personal/dhananjay_patil_momentivetech_com/Documents/JesseFUrnaceDeck_2026-03-16/Furnace Deck/"/>
    </mc:Choice>
  </mc:AlternateContent>
  <xr:revisionPtr revIDLastSave="1942" documentId="13_ncr:1_{4F9D7942-9025-4A32-8A55-79050E1AF281}" xr6:coauthVersionLast="47" xr6:coauthVersionMax="47" xr10:uidLastSave="{DBF999E2-5CA9-427E-93E3-647E2E37F640}"/>
  <bookViews>
    <workbookView xWindow="-120" yWindow="-120" windowWidth="29040" windowHeight="15720" xr2:uid="{42FB0385-F0F1-46EA-B3E9-D718B13F182B}"/>
  </bookViews>
  <sheets>
    <sheet name="Sheet1" sheetId="1" r:id="rId1"/>
    <sheet name="Sheet2" sheetId="2" r:id="rId2"/>
  </sheets>
  <functionGroups builtInGroupCount="19"/>
  <definedNames>
    <definedName name="_xlnm._FilterDatabase" localSheetId="0" hidden="1">Sheet1!$A$1:$Y$1</definedName>
    <definedName name="Defects">Sheet2!$A$1:$B$93</definedName>
    <definedName name="Hampers">Sheet2!$G$13:$H$24</definedName>
    <definedName name="NewarkOvens">Sheet2!$G$1:$H$10</definedName>
    <definedName name="TubeODs">Sheet2!$D$1:$E$4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8" i="2" l="1"/>
  <c r="U9" i="2"/>
  <c r="U10" i="2"/>
  <c r="U7" i="2"/>
  <c r="Q10" i="2"/>
  <c r="Q7" i="2"/>
  <c r="P8" i="2" s="1"/>
  <c r="M7" i="2"/>
  <c r="L8" i="2" s="1"/>
  <c r="O7" i="2"/>
  <c r="N8" i="2" s="1"/>
</calcChain>
</file>

<file path=xl/sharedStrings.xml><?xml version="1.0" encoding="utf-8"?>
<sst xmlns="http://schemas.openxmlformats.org/spreadsheetml/2006/main" count="308" uniqueCount="264">
  <si>
    <t>Date/Time</t>
  </si>
  <si>
    <t>Operator</t>
  </si>
  <si>
    <t>Process Order</t>
  </si>
  <si>
    <t>Item Number</t>
  </si>
  <si>
    <t>Item Description</t>
  </si>
  <si>
    <t>Entered in SAP?</t>
  </si>
  <si>
    <t>NV0D</t>
  </si>
  <si>
    <t>NV0E</t>
  </si>
  <si>
    <t>24knt0072</t>
  </si>
  <si>
    <t>NV0A</t>
  </si>
  <si>
    <t>ADHERED MATL</t>
  </si>
  <si>
    <t>ADHM</t>
  </si>
  <si>
    <t>A</t>
  </si>
  <si>
    <t>Airline Bumpy</t>
  </si>
  <si>
    <t>AIRB</t>
  </si>
  <si>
    <t>B</t>
  </si>
  <si>
    <t>NV0B</t>
  </si>
  <si>
    <t>Airlines last 2” both ends</t>
  </si>
  <si>
    <t>AIRE</t>
  </si>
  <si>
    <t>C</t>
  </si>
  <si>
    <t>NV0C</t>
  </si>
  <si>
    <t>AIRLINES-ARROWHEAD</t>
  </si>
  <si>
    <t>AIRH</t>
  </si>
  <si>
    <t>D</t>
  </si>
  <si>
    <t>Kg/inch</t>
  </si>
  <si>
    <t>AIRLINE</t>
  </si>
  <si>
    <t>AIRL</t>
  </si>
  <si>
    <t>E</t>
  </si>
  <si>
    <t>Airline Open</t>
  </si>
  <si>
    <t>AIRO</t>
  </si>
  <si>
    <t>F</t>
  </si>
  <si>
    <t>NV0F</t>
  </si>
  <si>
    <t>130" sand</t>
  </si>
  <si>
    <t>130" MM03</t>
  </si>
  <si>
    <t>154" sand</t>
  </si>
  <si>
    <t>154" MM03</t>
  </si>
  <si>
    <t>138" sand</t>
  </si>
  <si>
    <t>138" MM03</t>
  </si>
  <si>
    <t>112"</t>
  </si>
  <si>
    <t>Actual</t>
  </si>
  <si>
    <t>Airline Stringer</t>
  </si>
  <si>
    <t>AIRS</t>
  </si>
  <si>
    <t>G</t>
  </si>
  <si>
    <t>NV0G</t>
  </si>
  <si>
    <t>BAFFLE CHANGE</t>
  </si>
  <si>
    <t>BACH</t>
  </si>
  <si>
    <t>H</t>
  </si>
  <si>
    <t>NV0H</t>
  </si>
  <si>
    <t>UNBANKING LOSS</t>
  </si>
  <si>
    <t>BANK</t>
  </si>
  <si>
    <t>I</t>
  </si>
  <si>
    <t>NV0I</t>
  </si>
  <si>
    <t>Bat wing gray line</t>
  </si>
  <si>
    <t>BATW</t>
  </si>
  <si>
    <t>J</t>
  </si>
  <si>
    <t>NV0J</t>
  </si>
  <si>
    <t>BROWN/BLUE/BLACK LINE</t>
  </si>
  <si>
    <t>BBBL</t>
  </si>
  <si>
    <t>Black Spot</t>
  </si>
  <si>
    <t>BLSX</t>
  </si>
  <si>
    <t>BOWED</t>
  </si>
  <si>
    <t>BOWD</t>
  </si>
  <si>
    <t>130" EMPTY HAMPER</t>
  </si>
  <si>
    <t>BROKEN HANDLING</t>
  </si>
  <si>
    <t>BRK1</t>
  </si>
  <si>
    <t>BUBBLE</t>
  </si>
  <si>
    <t>BUB1</t>
  </si>
  <si>
    <t>148" EMPTY HAMPER</t>
  </si>
  <si>
    <t>BUBBLE CLUSTER</t>
  </si>
  <si>
    <t>BUB2</t>
  </si>
  <si>
    <t>BUBBLES - OD</t>
  </si>
  <si>
    <t>BUB7</t>
  </si>
  <si>
    <t>156" EMPTY HAMPER</t>
  </si>
  <si>
    <t>FURNACE CHANGEOVER</t>
  </si>
  <si>
    <t>CHNG</t>
  </si>
  <si>
    <t>CHICKEN SCRATCH</t>
  </si>
  <si>
    <t>CHSC</t>
  </si>
  <si>
    <t>CORE LEG LINES</t>
  </si>
  <si>
    <t>CLEG</t>
  </si>
  <si>
    <t>Core Legs at start-up</t>
  </si>
  <si>
    <t>CLGS</t>
  </si>
  <si>
    <t>CLEAR SPOT</t>
  </si>
  <si>
    <t>CLSP</t>
  </si>
  <si>
    <t>Coloration or Streaks</t>
  </si>
  <si>
    <t>COLR</t>
  </si>
  <si>
    <t>CRACK</t>
  </si>
  <si>
    <t>CRAK</t>
  </si>
  <si>
    <t>CRACK - SEAM</t>
  </si>
  <si>
    <t>CRKS</t>
  </si>
  <si>
    <t>Stress cracks</t>
  </si>
  <si>
    <t>CRST</t>
  </si>
  <si>
    <t>156" CULLET HAMPER</t>
  </si>
  <si>
    <t>DRAW BREAK</t>
  </si>
  <si>
    <t>DBRK</t>
  </si>
  <si>
    <t>DIRTY BUBBLE</t>
  </si>
  <si>
    <t>DBUB</t>
  </si>
  <si>
    <t>168" EMPTY HAMPER KIT</t>
  </si>
  <si>
    <t>DISCOLORED</t>
  </si>
  <si>
    <t>DCOL</t>
  </si>
  <si>
    <t>DEVITRIFICATION</t>
  </si>
  <si>
    <t>DEVT</t>
  </si>
  <si>
    <t>DIP</t>
  </si>
  <si>
    <t>DIP1</t>
  </si>
  <si>
    <t>DIRT</t>
  </si>
  <si>
    <t>DIMPLED BUBBLE</t>
  </si>
  <si>
    <t>DMBB</t>
  </si>
  <si>
    <t>FURNACE DRAIN</t>
  </si>
  <si>
    <t>DRAN</t>
  </si>
  <si>
    <t>FEEDER WATER LEAK</t>
  </si>
  <si>
    <t>FEWL</t>
  </si>
  <si>
    <t>FLAT TUBE</t>
  </si>
  <si>
    <t>FLAT</t>
  </si>
  <si>
    <t>Flow lines</t>
  </si>
  <si>
    <t>FLOW</t>
  </si>
  <si>
    <t>FROSTED SPOTS</t>
  </si>
  <si>
    <t>FRST</t>
  </si>
  <si>
    <t>GRAY LINE</t>
  </si>
  <si>
    <t>GRAY</t>
  </si>
  <si>
    <t>Graphite Marks</t>
  </si>
  <si>
    <t>GRMK</t>
  </si>
  <si>
    <t>HEAVY WALL</t>
  </si>
  <si>
    <t>HEWA</t>
  </si>
  <si>
    <t>ID QTZ ADHERED</t>
  </si>
  <si>
    <t>IDQA</t>
  </si>
  <si>
    <t>INCLUSION</t>
  </si>
  <si>
    <t>INC1</t>
  </si>
  <si>
    <t>MANY INCLUSIONS</t>
  </si>
  <si>
    <t>INC2</t>
  </si>
  <si>
    <t>INCLUSION - BLUE</t>
  </si>
  <si>
    <t>INC3</t>
  </si>
  <si>
    <t>INCLUSION - RED</t>
  </si>
  <si>
    <t>INC4</t>
  </si>
  <si>
    <t>INCLUSION - WHITE</t>
  </si>
  <si>
    <t>INC5</t>
  </si>
  <si>
    <t>INCLUSION ID</t>
  </si>
  <si>
    <t>INC6</t>
  </si>
  <si>
    <t>INCLUSION OD</t>
  </si>
  <si>
    <t>INC7</t>
  </si>
  <si>
    <t>Inclusion Exposed</t>
  </si>
  <si>
    <t>INC8</t>
  </si>
  <si>
    <t>LARGE OD</t>
  </si>
  <si>
    <t>LGOD</t>
  </si>
  <si>
    <t>LENGTH - LONG</t>
  </si>
  <si>
    <t>LNGL</t>
  </si>
  <si>
    <t>LENGTH - SHORT</t>
  </si>
  <si>
    <t>LNGS</t>
  </si>
  <si>
    <t>LIGHT WALL</t>
  </si>
  <si>
    <t>LTWA</t>
  </si>
  <si>
    <t>LIGHT WALL AT END</t>
  </si>
  <si>
    <t>LTWE</t>
  </si>
  <si>
    <t>METAL</t>
  </si>
  <si>
    <t>METL</t>
  </si>
  <si>
    <t>Metal at start-up</t>
  </si>
  <si>
    <t>METS</t>
  </si>
  <si>
    <t>MISC MAINT OTHER</t>
  </si>
  <si>
    <t>MMP1</t>
  </si>
  <si>
    <t>MISC MAINT - CHIP OUT</t>
  </si>
  <si>
    <t>MMP2</t>
  </si>
  <si>
    <t>MISC MAINT - CLEAN OUT</t>
  </si>
  <si>
    <t>MMP3</t>
  </si>
  <si>
    <t>MISC MAINT - Crust Removal</t>
  </si>
  <si>
    <t>MMP4</t>
  </si>
  <si>
    <t>MISC MAINT - Cutter Repair</t>
  </si>
  <si>
    <t>MMP5</t>
  </si>
  <si>
    <t>MISC MAINT - DRW MACHINE/ROLLS</t>
  </si>
  <si>
    <t>MMP6</t>
  </si>
  <si>
    <t>MISC MAINT - Feeder Clean</t>
  </si>
  <si>
    <t>MMP7</t>
  </si>
  <si>
    <t>MOLY DARKENING - OD</t>
  </si>
  <si>
    <t>MOLO</t>
  </si>
  <si>
    <t>MOLY DARKENING</t>
  </si>
  <si>
    <t>MOLY</t>
  </si>
  <si>
    <t>MISCELLANEOUS DISTORTION</t>
  </si>
  <si>
    <t>MSCD</t>
  </si>
  <si>
    <t>Miscellaneous</t>
  </si>
  <si>
    <t>MSCL</t>
  </si>
  <si>
    <t>OPEN BUBBLE</t>
  </si>
  <si>
    <t>OBUB</t>
  </si>
  <si>
    <t>OPEN INCLUSION</t>
  </si>
  <si>
    <t>OINC</t>
  </si>
  <si>
    <t>Out of Control Parameter</t>
  </si>
  <si>
    <t>OOCP</t>
  </si>
  <si>
    <t>Optical distortion</t>
  </si>
  <si>
    <t>OPDT</t>
  </si>
  <si>
    <t>ORANGE PEEL</t>
  </si>
  <si>
    <t>ORGP</t>
  </si>
  <si>
    <t>OVALITY</t>
  </si>
  <si>
    <t>OVAL</t>
  </si>
  <si>
    <t>PULSE</t>
  </si>
  <si>
    <t>PULS</t>
  </si>
  <si>
    <t>ROLLER MARK</t>
  </si>
  <si>
    <t>ROLL</t>
  </si>
  <si>
    <t>SAND CHEM FAIL</t>
  </si>
  <si>
    <t>SACH</t>
  </si>
  <si>
    <t>Airlines at start-up</t>
  </si>
  <si>
    <t>SAIR</t>
  </si>
  <si>
    <t>Core Legs at Start-up</t>
  </si>
  <si>
    <t>SCLG</t>
  </si>
  <si>
    <t>SIDING</t>
  </si>
  <si>
    <t>SIDG</t>
  </si>
  <si>
    <t>SMET</t>
  </si>
  <si>
    <t>SMALL ID</t>
  </si>
  <si>
    <t>SMID</t>
  </si>
  <si>
    <t>SMALL OD</t>
  </si>
  <si>
    <t>SMOD</t>
  </si>
  <si>
    <t>FURNACE STARTUP</t>
  </si>
  <si>
    <t>STAR</t>
  </si>
  <si>
    <t>STRINGERS</t>
  </si>
  <si>
    <t>STNG</t>
  </si>
  <si>
    <t>STREAK</t>
  </si>
  <si>
    <t>STRE</t>
  </si>
  <si>
    <t>STRIATIONS</t>
  </si>
  <si>
    <t>STRI</t>
  </si>
  <si>
    <t>SWAB MARKS</t>
  </si>
  <si>
    <t>SWAB</t>
  </si>
  <si>
    <t>SIZE CHANGE</t>
  </si>
  <si>
    <t>SZCH</t>
  </si>
  <si>
    <t>TAPER</t>
  </si>
  <si>
    <t>TAPR</t>
  </si>
  <si>
    <t>FURNACE SAND TRANSITION</t>
  </si>
  <si>
    <t>TRAN</t>
  </si>
  <si>
    <t>TWISTED</t>
  </si>
  <si>
    <t>TWST</t>
  </si>
  <si>
    <t>VAPOR</t>
  </si>
  <si>
    <t>VAPR</t>
  </si>
  <si>
    <t>Batch</t>
  </si>
  <si>
    <t>Source Stock Location</t>
  </si>
  <si>
    <t>Comments</t>
  </si>
  <si>
    <t>Hamper Loc</t>
  </si>
  <si>
    <t>Strapping Loc</t>
  </si>
  <si>
    <t>Hamper Item</t>
  </si>
  <si>
    <t>Hamper qty</t>
  </si>
  <si>
    <t>Hamper mvt type</t>
  </si>
  <si>
    <t>Strapping Num</t>
  </si>
  <si>
    <t>Strapping QTY</t>
  </si>
  <si>
    <t>Strapping mvt type</t>
  </si>
  <si>
    <t>Online</t>
  </si>
  <si>
    <t>Issued Item</t>
  </si>
  <si>
    <t>Issued Item Desc</t>
  </si>
  <si>
    <t>Finished Qty</t>
  </si>
  <si>
    <t>Issued Qty</t>
  </si>
  <si>
    <t>length</t>
  </si>
  <si>
    <t>bow1</t>
  </si>
  <si>
    <t>bow2</t>
  </si>
  <si>
    <t>calculated Bow</t>
  </si>
  <si>
    <t>130" (187-210) 8-PACK HAMPER</t>
  </si>
  <si>
    <t>130-2 (254-264) 4-PACK HAMPER</t>
  </si>
  <si>
    <t>148" (187-210) 8-PACK HAMPER</t>
  </si>
  <si>
    <t>148-2 (254-264) 4-PACK HAMPER</t>
  </si>
  <si>
    <t>156" (187-210) 8-PACK HAMPER</t>
  </si>
  <si>
    <t>156-2 (254-264) 4-PACK HAMPER</t>
  </si>
  <si>
    <t>168 -2 (254-264) 4-PACK HAMPER</t>
  </si>
  <si>
    <t>PARKINSONJ</t>
  </si>
  <si>
    <t>26ANT0019</t>
  </si>
  <si>
    <t/>
  </si>
  <si>
    <t>26ANT0018</t>
  </si>
  <si>
    <t>26ANT0025</t>
  </si>
  <si>
    <t>224HVC 251X267-3000</t>
  </si>
  <si>
    <t>26BNT0008</t>
  </si>
  <si>
    <t>26BNT0009</t>
  </si>
  <si>
    <t>26BNT0010</t>
  </si>
  <si>
    <t>25BNT0011</t>
  </si>
  <si>
    <t>26BNT0011</t>
  </si>
  <si>
    <t>0100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</si>
</sst>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A085-AF28-4178-9123-ADB07DDBB01E}">
  <sheetPr codeName="Sheet1"/>
  <dimension ref="A1:AC731"/>
  <sheetViews>
    <sheetView tabSelected="1" workbookViewId="0">
      <pane ySplit="1" topLeftCell="A2" activePane="bottomLeft" state="frozen"/>
      <selection pane="bottomLeft" activeCell="B15" sqref="B15"/>
    </sheetView>
  </sheetViews>
  <sheetFormatPr defaultRowHeight="15" x14ac:dyDescent="0.25"/>
  <cols>
    <col min="1" max="1" width="14.5703125" bestFit="1" customWidth="1"/>
    <col min="2" max="2" width="12.140625" bestFit="1" customWidth="1"/>
    <col min="3" max="3" width="9.5703125" customWidth="1"/>
    <col min="4" max="4" width="9.7109375" customWidth="1"/>
    <col min="5" max="5" width="23.5703125" customWidth="1"/>
    <col min="7" max="7" width="15.5703125" bestFit="1" customWidth="1"/>
    <col min="8" max="8" width="10.7109375" bestFit="1" customWidth="1"/>
    <col min="9" max="9" width="23.5703125" style="2" bestFit="1" customWidth="1"/>
    <col min="11" max="11" width="12.140625" bestFit="1" customWidth="1"/>
    <col min="12" max="12" width="11" style="2" bestFit="1" customWidth="1"/>
    <col min="15" max="15" width="9.140625" style="2"/>
    <col min="17" max="17" width="18.7109375" bestFit="1" customWidth="1"/>
    <col min="18" max="18" width="12.7109375" bestFit="1" customWidth="1"/>
    <col min="19" max="19" width="12.85546875" style="2" bestFit="1" customWidth="1"/>
    <col min="20" max="20" width="23.7109375" bestFit="1" customWidth="1"/>
    <col min="21" max="21" width="9.140625" style="2"/>
    <col min="28" max="28" width="9.140625" style="2"/>
  </cols>
  <sheetData>
    <row r="1" spans="1:2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s="1" t="s">
        <v>5</v>
      </c>
      <c r="G1" t="s">
        <v>237</v>
      </c>
      <c r="H1" t="s">
        <v>225</v>
      </c>
      <c r="I1" s="2" t="s">
        <v>238</v>
      </c>
      <c r="J1" t="s">
        <v>239</v>
      </c>
      <c r="K1" t="s">
        <v>240</v>
      </c>
      <c r="L1" s="2" t="s">
        <v>227</v>
      </c>
      <c r="M1" t="s">
        <v>230</v>
      </c>
      <c r="N1" t="s">
        <v>231</v>
      </c>
      <c r="O1" s="2" t="s">
        <v>228</v>
      </c>
      <c r="P1" t="s">
        <v>232</v>
      </c>
      <c r="Q1" t="s">
        <v>233</v>
      </c>
      <c r="R1" t="s">
        <v>234</v>
      </c>
      <c r="S1" s="2" t="s">
        <v>229</v>
      </c>
      <c r="T1" t="s">
        <v>235</v>
      </c>
      <c r="U1" s="2" t="s">
        <v>226</v>
      </c>
      <c r="V1" t="s">
        <v>241</v>
      </c>
      <c r="W1" s="2" t="s">
        <v>242</v>
      </c>
      <c r="X1" t="s">
        <v>243</v>
      </c>
      <c r="Y1" s="2" t="s">
        <v>244</v>
      </c>
      <c r="Z1" t="s">
        <v>230</v>
      </c>
      <c r="AA1" t="s">
        <v>231</v>
      </c>
      <c r="AB1" s="2" t="s">
        <v>228</v>
      </c>
      <c r="AC1" t="s">
        <v>232</v>
      </c>
    </row>
    <row r="2" spans="1:29" x14ac:dyDescent="0.25">
      <c r="A2" s="3">
        <v>46051.623680555553</v>
      </c>
      <c r="B2" t="s">
        <v>252</v>
      </c>
      <c r="D2">
        <v>2304753</v>
      </c>
      <c r="F2" t="b">
        <v>0</v>
      </c>
      <c r="G2">
        <v>2304754</v>
      </c>
      <c r="H2" t="s">
        <v>253</v>
      </c>
      <c r="J2">
        <v>1</v>
      </c>
      <c r="K2">
        <v>1</v>
      </c>
      <c r="L2" s="2" t="s">
        <v>254</v>
      </c>
      <c r="V2">
        <v>3320</v>
      </c>
      <c r="W2">
        <v>1</v>
      </c>
      <c r="X2">
        <v>1.2</v>
      </c>
    </row>
    <row r="3" spans="1:29" x14ac:dyDescent="0.25">
      <c r="A3" s="3">
        <v>46051.626863425925</v>
      </c>
      <c r="B3" t="s">
        <v>252</v>
      </c>
      <c r="D3">
        <v>2304753</v>
      </c>
      <c r="F3" t="b">
        <v>0</v>
      </c>
      <c r="G3">
        <v>2304754</v>
      </c>
      <c r="H3" t="s">
        <v>253</v>
      </c>
      <c r="J3">
        <v>1</v>
      </c>
      <c r="K3">
        <v>1</v>
      </c>
      <c r="L3" s="2" t="s">
        <v>254</v>
      </c>
      <c r="V3">
        <v>3020</v>
      </c>
      <c r="W3">
        <v>1</v>
      </c>
      <c r="X3">
        <v>1.22</v>
      </c>
    </row>
    <row r="4" spans="1:29" x14ac:dyDescent="0.25">
      <c r="A4" s="3">
        <v>46051.630833333336</v>
      </c>
      <c r="B4" t="s">
        <v>252</v>
      </c>
      <c r="D4">
        <v>2304753</v>
      </c>
      <c r="F4" t="b">
        <v>0</v>
      </c>
      <c r="G4">
        <v>2304754</v>
      </c>
      <c r="H4" t="s">
        <v>253</v>
      </c>
      <c r="J4">
        <v>1</v>
      </c>
      <c r="K4">
        <v>1</v>
      </c>
      <c r="L4" s="2" t="s">
        <v>254</v>
      </c>
      <c r="V4">
        <v>3320</v>
      </c>
      <c r="W4">
        <v>1</v>
      </c>
      <c r="X4">
        <v>1.2</v>
      </c>
    </row>
    <row r="5" spans="1:29" x14ac:dyDescent="0.25">
      <c r="A5" s="3">
        <v>46051.632187499999</v>
      </c>
      <c r="B5" t="s">
        <v>252</v>
      </c>
      <c r="D5">
        <v>2304753</v>
      </c>
      <c r="F5" t="b">
        <v>0</v>
      </c>
      <c r="G5">
        <v>2304754</v>
      </c>
      <c r="H5" t="s">
        <v>253</v>
      </c>
      <c r="J5">
        <v>1</v>
      </c>
      <c r="K5">
        <v>1</v>
      </c>
      <c r="L5" s="2" t="s">
        <v>254</v>
      </c>
      <c r="V5">
        <v>3321</v>
      </c>
      <c r="W5">
        <v>1.2</v>
      </c>
      <c r="X5">
        <v>1</v>
      </c>
    </row>
    <row r="6" spans="1:29" x14ac:dyDescent="0.25">
      <c r="A6" s="3">
        <v>46051.642048611109</v>
      </c>
      <c r="B6" t="s">
        <v>252</v>
      </c>
      <c r="D6">
        <v>2304753</v>
      </c>
      <c r="F6" t="b">
        <v>0</v>
      </c>
      <c r="G6">
        <v>2304754</v>
      </c>
      <c r="H6" t="s">
        <v>253</v>
      </c>
      <c r="J6">
        <v>1</v>
      </c>
      <c r="K6">
        <v>1</v>
      </c>
      <c r="L6" s="2" t="s">
        <v>254</v>
      </c>
      <c r="V6">
        <v>3322</v>
      </c>
      <c r="W6">
        <v>1</v>
      </c>
      <c r="X6">
        <v>1.23</v>
      </c>
    </row>
    <row r="7" spans="1:29" x14ac:dyDescent="0.25">
      <c r="A7" s="3">
        <v>46051.643692129626</v>
      </c>
      <c r="B7" t="s">
        <v>252</v>
      </c>
      <c r="D7">
        <v>2304753</v>
      </c>
      <c r="F7" t="b">
        <v>0</v>
      </c>
      <c r="G7">
        <v>2304754</v>
      </c>
      <c r="H7" t="s">
        <v>255</v>
      </c>
      <c r="J7">
        <v>1</v>
      </c>
      <c r="K7">
        <v>1</v>
      </c>
      <c r="L7" s="2" t="s">
        <v>254</v>
      </c>
      <c r="V7">
        <v>3315</v>
      </c>
      <c r="W7">
        <v>1</v>
      </c>
      <c r="X7">
        <v>2</v>
      </c>
    </row>
    <row r="8" spans="1:29" x14ac:dyDescent="0.25">
      <c r="A8" s="3">
        <v>46064.607175925928</v>
      </c>
      <c r="B8" t="s">
        <v>252</v>
      </c>
      <c r="D8">
        <v>2304753</v>
      </c>
      <c r="F8" t="b">
        <v>0</v>
      </c>
      <c r="G8">
        <v>2304754</v>
      </c>
      <c r="H8" t="s">
        <v>255</v>
      </c>
      <c r="J8">
        <v>1</v>
      </c>
      <c r="K8">
        <v>1</v>
      </c>
      <c r="L8" s="2" t="s">
        <v>254</v>
      </c>
      <c r="V8">
        <v>3312</v>
      </c>
      <c r="W8">
        <v>1</v>
      </c>
      <c r="X8">
        <v>1.2</v>
      </c>
    </row>
    <row r="9" spans="1:29" x14ac:dyDescent="0.25">
      <c r="A9" s="3">
        <v>46064.618541666663</v>
      </c>
      <c r="B9" t="s">
        <v>252</v>
      </c>
      <c r="D9">
        <v>2304753</v>
      </c>
      <c r="F9" t="b">
        <v>0</v>
      </c>
      <c r="G9">
        <v>2304754</v>
      </c>
      <c r="H9" t="s">
        <v>253</v>
      </c>
      <c r="J9">
        <v>1</v>
      </c>
      <c r="K9">
        <v>1</v>
      </c>
      <c r="L9" s="2" t="s">
        <v>254</v>
      </c>
      <c r="V9">
        <v>3002</v>
      </c>
      <c r="W9">
        <v>1</v>
      </c>
      <c r="X9">
        <v>1</v>
      </c>
    </row>
    <row r="10" spans="1:29" x14ac:dyDescent="0.25">
      <c r="A10" s="3">
        <v>46064.622731481482</v>
      </c>
      <c r="B10" t="s">
        <v>252</v>
      </c>
      <c r="D10">
        <v>2304753</v>
      </c>
      <c r="E10" t="s">
        <v>257</v>
      </c>
      <c r="F10" t="b">
        <v>1</v>
      </c>
      <c r="G10">
        <v>2304754</v>
      </c>
      <c r="H10" t="s">
        <v>256</v>
      </c>
      <c r="J10">
        <v>1</v>
      </c>
      <c r="K10">
        <v>1</v>
      </c>
      <c r="L10" s="2" t="s">
        <v>254</v>
      </c>
      <c r="V10">
        <v>3002</v>
      </c>
      <c r="W10">
        <v>1</v>
      </c>
      <c r="X10">
        <v>1</v>
      </c>
      <c r="Y10">
        <v>0.33300000000000002</v>
      </c>
    </row>
    <row r="11" spans="1:29" x14ac:dyDescent="0.25">
      <c r="A11" s="3">
        <v>46065.303923611114</v>
      </c>
      <c r="B11" t="s">
        <v>252</v>
      </c>
      <c r="D11">
        <v>2304753</v>
      </c>
      <c r="E11" t="s">
        <v>257</v>
      </c>
      <c r="F11" t="b">
        <v>1</v>
      </c>
      <c r="G11">
        <v>2304754</v>
      </c>
      <c r="H11" t="s">
        <v>258</v>
      </c>
      <c r="J11">
        <v>1</v>
      </c>
      <c r="K11">
        <v>1</v>
      </c>
      <c r="L11" s="2" t="s">
        <v>254</v>
      </c>
      <c r="V11">
        <v>3002</v>
      </c>
      <c r="W11">
        <v>2</v>
      </c>
      <c r="X11">
        <v>2</v>
      </c>
      <c r="Y11">
        <v>0.66600000000000004</v>
      </c>
    </row>
    <row r="12" spans="1:29" x14ac:dyDescent="0.25">
      <c r="A12" s="3">
        <v>46065.311909722222</v>
      </c>
      <c r="B12" t="s">
        <v>252</v>
      </c>
      <c r="D12">
        <v>2304753</v>
      </c>
      <c r="E12" t="s">
        <v>257</v>
      </c>
      <c r="F12" t="b">
        <v>1</v>
      </c>
      <c r="G12">
        <v>2304754</v>
      </c>
      <c r="H12" t="s">
        <v>259</v>
      </c>
      <c r="J12">
        <v>1</v>
      </c>
      <c r="K12">
        <v>1</v>
      </c>
      <c r="L12" s="2" t="s">
        <v>254</v>
      </c>
      <c r="V12">
        <v>3004</v>
      </c>
      <c r="W12">
        <v>1</v>
      </c>
      <c r="X12">
        <v>2</v>
      </c>
      <c r="Y12">
        <v>0.66600000000000004</v>
      </c>
    </row>
    <row r="13" spans="1:29" x14ac:dyDescent="0.25">
      <c r="A13" s="3">
        <v>46065.312534722223</v>
      </c>
      <c r="B13" t="s">
        <v>252</v>
      </c>
      <c r="D13">
        <v>2304753</v>
      </c>
      <c r="E13" t="s">
        <v>257</v>
      </c>
      <c r="F13" t="b">
        <v>1</v>
      </c>
      <c r="G13">
        <v>2304754</v>
      </c>
      <c r="H13" t="s">
        <v>260</v>
      </c>
      <c r="J13">
        <v>1</v>
      </c>
      <c r="K13">
        <v>1</v>
      </c>
      <c r="L13" s="2" t="s">
        <v>254</v>
      </c>
      <c r="V13">
        <v>3009</v>
      </c>
      <c r="W13">
        <v>1.25</v>
      </c>
      <c r="X13">
        <v>2</v>
      </c>
      <c r="Y13">
        <v>0.66500000000000004</v>
      </c>
    </row>
    <row r="14" spans="1:29" x14ac:dyDescent="0.25">
      <c r="A14" s="3">
        <v>46065.313206018516</v>
      </c>
      <c r="B14" t="s">
        <v>252</v>
      </c>
      <c r="D14">
        <v>2304753</v>
      </c>
      <c r="F14" t="b">
        <v>0</v>
      </c>
      <c r="H14" t="s">
        <v>261</v>
      </c>
      <c r="J14">
        <v>1</v>
      </c>
      <c r="K14">
        <v>1</v>
      </c>
      <c r="L14" s="2" t="s">
        <v>254</v>
      </c>
      <c r="V14">
        <v>3030</v>
      </c>
      <c r="W14">
        <v>0.2</v>
      </c>
      <c r="X14">
        <v>0.55000000000000004</v>
      </c>
    </row>
    <row r="15" spans="1:29" x14ac:dyDescent="0.25">
      <c r="A15" s="3">
        <v>46065.313391203701</v>
      </c>
      <c r="B15" t="s">
        <v>252</v>
      </c>
      <c r="D15">
        <v>2304753</v>
      </c>
      <c r="E15" t="s">
        <v>257</v>
      </c>
      <c r="F15" t="b">
        <v>1</v>
      </c>
      <c r="G15">
        <v>2304754</v>
      </c>
      <c r="H15" t="s">
        <v>262</v>
      </c>
      <c r="J15">
        <v>1</v>
      </c>
      <c r="K15">
        <v>1</v>
      </c>
      <c r="L15" s="2" t="s">
        <v>254</v>
      </c>
      <c r="M15">
        <v>149831</v>
      </c>
      <c r="N15">
        <v>1</v>
      </c>
      <c r="O15" s="2" t="s">
        <v>263</v>
      </c>
      <c r="P15">
        <v>261</v>
      </c>
      <c r="Q15">
        <v>147664</v>
      </c>
      <c r="R15">
        <v>24</v>
      </c>
      <c r="S15" s="2" t="s">
        <v>263</v>
      </c>
      <c r="T15">
        <v>261</v>
      </c>
      <c r="V15">
        <v>3030</v>
      </c>
      <c r="W15">
        <v>0.2</v>
      </c>
      <c r="X15">
        <v>0.55000000000000004</v>
      </c>
      <c r="Y15">
        <v>0.182</v>
      </c>
      <c r="Z15">
        <v>134905</v>
      </c>
      <c r="AA15">
        <v>1</v>
      </c>
      <c r="AB15" s="2" t="s">
        <v>263</v>
      </c>
      <c r="AC15">
        <v>531</v>
      </c>
    </row>
    <row r="731" spans="2:6" x14ac:dyDescent="0.25">
      <c r="B731" t="s">
        <v>8</v>
      </c>
      <c r="E731">
        <v>156292</v>
      </c>
      <c r="F731">
        <v>12</v>
      </c>
    </row>
  </sheetData>
  <autoFilter ref="A1:Y1" xr:uid="{4CFFA085-AF28-4178-9123-ADB07DDBB01E}"/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7DF65-A033-472A-A0BE-302D9BE2974B}">
  <sheetPr codeName="Sheet2"/>
  <dimension ref="A1:U93"/>
  <sheetViews>
    <sheetView topLeftCell="B1" workbookViewId="0">
      <selection activeCell="J24" sqref="J24"/>
    </sheetView>
  </sheetViews>
  <sheetFormatPr defaultRowHeight="15" x14ac:dyDescent="0.25"/>
  <cols>
    <col min="1" max="1" width="32.5703125" bestFit="1" customWidth="1"/>
    <col min="7" max="7" width="29.28515625" bestFit="1" customWidth="1"/>
    <col min="15" max="15" width="10.28515625" bestFit="1" customWidth="1"/>
  </cols>
  <sheetData>
    <row r="1" spans="1:21" x14ac:dyDescent="0.25">
      <c r="A1" t="s">
        <v>10</v>
      </c>
      <c r="B1" t="s">
        <v>11</v>
      </c>
      <c r="D1">
        <v>267</v>
      </c>
      <c r="E1">
        <v>0.38948640000000001</v>
      </c>
      <c r="G1" t="s">
        <v>12</v>
      </c>
      <c r="H1" t="s">
        <v>9</v>
      </c>
      <c r="J1" t="s">
        <v>236</v>
      </c>
    </row>
    <row r="2" spans="1:21" x14ac:dyDescent="0.25">
      <c r="A2" t="s">
        <v>13</v>
      </c>
      <c r="B2" t="s">
        <v>14</v>
      </c>
      <c r="D2">
        <v>254</v>
      </c>
      <c r="E2">
        <v>0.31058000000000002</v>
      </c>
      <c r="G2" t="s">
        <v>15</v>
      </c>
      <c r="H2" t="s">
        <v>16</v>
      </c>
    </row>
    <row r="3" spans="1:21" x14ac:dyDescent="0.25">
      <c r="A3" t="s">
        <v>17</v>
      </c>
      <c r="B3" t="s">
        <v>18</v>
      </c>
      <c r="D3">
        <v>210</v>
      </c>
      <c r="E3">
        <v>0.26075999999999999</v>
      </c>
      <c r="G3" t="s">
        <v>19</v>
      </c>
      <c r="H3" t="s">
        <v>20</v>
      </c>
    </row>
    <row r="4" spans="1:21" x14ac:dyDescent="0.25">
      <c r="A4" t="s">
        <v>21</v>
      </c>
      <c r="B4" t="s">
        <v>22</v>
      </c>
      <c r="D4">
        <v>208</v>
      </c>
      <c r="E4">
        <v>0.20913800000000002</v>
      </c>
      <c r="G4" t="s">
        <v>23</v>
      </c>
      <c r="H4" t="s">
        <v>6</v>
      </c>
      <c r="N4" t="s">
        <v>24</v>
      </c>
    </row>
    <row r="5" spans="1:21" x14ac:dyDescent="0.25">
      <c r="A5" t="s">
        <v>25</v>
      </c>
      <c r="B5" t="s">
        <v>26</v>
      </c>
      <c r="G5" t="s">
        <v>27</v>
      </c>
      <c r="H5" t="s">
        <v>7</v>
      </c>
    </row>
    <row r="6" spans="1:21" x14ac:dyDescent="0.25">
      <c r="A6" t="s">
        <v>28</v>
      </c>
      <c r="B6" t="s">
        <v>29</v>
      </c>
      <c r="G6" t="s">
        <v>30</v>
      </c>
      <c r="H6" t="s">
        <v>31</v>
      </c>
      <c r="L6" t="s">
        <v>32</v>
      </c>
      <c r="M6" t="s">
        <v>33</v>
      </c>
      <c r="N6" t="s">
        <v>34</v>
      </c>
      <c r="O6" t="s">
        <v>35</v>
      </c>
      <c r="P6" t="s">
        <v>36</v>
      </c>
      <c r="Q6" t="s">
        <v>37</v>
      </c>
      <c r="R6" t="s">
        <v>38</v>
      </c>
      <c r="T6" t="s">
        <v>39</v>
      </c>
    </row>
    <row r="7" spans="1:21" x14ac:dyDescent="0.25">
      <c r="A7" t="s">
        <v>40</v>
      </c>
      <c r="B7" t="s">
        <v>41</v>
      </c>
      <c r="G7" t="s">
        <v>42</v>
      </c>
      <c r="H7" t="s">
        <v>43</v>
      </c>
      <c r="K7">
        <v>267</v>
      </c>
      <c r="L7">
        <v>0.3947</v>
      </c>
      <c r="M7">
        <f>47.3/130</f>
        <v>0.36384615384615382</v>
      </c>
      <c r="N7">
        <v>0.3715</v>
      </c>
      <c r="O7">
        <f>56/154</f>
        <v>0.36363636363636365</v>
      </c>
      <c r="P7">
        <v>0.39019999999999999</v>
      </c>
      <c r="Q7">
        <f>50.2/138</f>
        <v>0.36376811594202901</v>
      </c>
      <c r="T7">
        <v>0.36743999999999999</v>
      </c>
      <c r="U7">
        <f>T7*1.06</f>
        <v>0.38948640000000001</v>
      </c>
    </row>
    <row r="8" spans="1:21" x14ac:dyDescent="0.25">
      <c r="A8" t="s">
        <v>44</v>
      </c>
      <c r="B8" t="s">
        <v>45</v>
      </c>
      <c r="G8" t="s">
        <v>46</v>
      </c>
      <c r="H8" t="s">
        <v>47</v>
      </c>
      <c r="K8">
        <v>254</v>
      </c>
      <c r="L8">
        <f>(L7-M7)/M7</f>
        <v>8.4799154334038118E-2</v>
      </c>
      <c r="N8">
        <f>(N7-O7)/O7</f>
        <v>2.1624999999999964E-2</v>
      </c>
      <c r="P8">
        <f>(P7-Q7)/Q7</f>
        <v>7.2661354581673207E-2</v>
      </c>
      <c r="T8">
        <v>0.29299999999999998</v>
      </c>
      <c r="U8">
        <f t="shared" ref="U8:U10" si="0">T8*1.06</f>
        <v>0.31058000000000002</v>
      </c>
    </row>
    <row r="9" spans="1:21" x14ac:dyDescent="0.25">
      <c r="A9" t="s">
        <v>48</v>
      </c>
      <c r="B9" t="s">
        <v>49</v>
      </c>
      <c r="G9" t="s">
        <v>50</v>
      </c>
      <c r="H9" t="s">
        <v>51</v>
      </c>
      <c r="K9">
        <v>210</v>
      </c>
      <c r="T9">
        <v>0.246</v>
      </c>
      <c r="U9">
        <f t="shared" si="0"/>
        <v>0.26075999999999999</v>
      </c>
    </row>
    <row r="10" spans="1:21" x14ac:dyDescent="0.25">
      <c r="A10" t="s">
        <v>52</v>
      </c>
      <c r="B10" t="s">
        <v>53</v>
      </c>
      <c r="G10" t="s">
        <v>54</v>
      </c>
      <c r="H10" t="s">
        <v>55</v>
      </c>
      <c r="K10">
        <v>208</v>
      </c>
      <c r="Q10">
        <f>27.28/138</f>
        <v>0.19768115942028985</v>
      </c>
      <c r="T10">
        <v>0.1973</v>
      </c>
      <c r="U10">
        <f t="shared" si="0"/>
        <v>0.20913800000000002</v>
      </c>
    </row>
    <row r="11" spans="1:21" x14ac:dyDescent="0.25">
      <c r="A11" t="s">
        <v>56</v>
      </c>
      <c r="B11" t="s">
        <v>57</v>
      </c>
    </row>
    <row r="12" spans="1:21" x14ac:dyDescent="0.25">
      <c r="A12" t="s">
        <v>58</v>
      </c>
      <c r="B12" t="s">
        <v>59</v>
      </c>
    </row>
    <row r="13" spans="1:21" x14ac:dyDescent="0.25">
      <c r="A13" t="s">
        <v>60</v>
      </c>
      <c r="B13" t="s">
        <v>61</v>
      </c>
      <c r="G13" t="s">
        <v>245</v>
      </c>
      <c r="H13">
        <v>143275</v>
      </c>
    </row>
    <row r="14" spans="1:21" x14ac:dyDescent="0.25">
      <c r="A14" t="s">
        <v>63</v>
      </c>
      <c r="B14" t="s">
        <v>64</v>
      </c>
      <c r="G14" t="s">
        <v>62</v>
      </c>
      <c r="H14">
        <v>134907</v>
      </c>
    </row>
    <row r="15" spans="1:21" x14ac:dyDescent="0.25">
      <c r="A15" t="s">
        <v>65</v>
      </c>
      <c r="B15" t="s">
        <v>66</v>
      </c>
      <c r="G15" t="s">
        <v>246</v>
      </c>
      <c r="H15">
        <v>143537</v>
      </c>
    </row>
    <row r="16" spans="1:21" x14ac:dyDescent="0.25">
      <c r="A16" t="s">
        <v>68</v>
      </c>
      <c r="B16" t="s">
        <v>69</v>
      </c>
      <c r="G16" t="s">
        <v>247</v>
      </c>
      <c r="H16">
        <v>143276</v>
      </c>
    </row>
    <row r="17" spans="1:8" x14ac:dyDescent="0.25">
      <c r="A17" t="s">
        <v>70</v>
      </c>
      <c r="B17" t="s">
        <v>71</v>
      </c>
      <c r="G17" t="s">
        <v>67</v>
      </c>
      <c r="H17">
        <v>134906</v>
      </c>
    </row>
    <row r="18" spans="1:8" x14ac:dyDescent="0.25">
      <c r="A18" t="s">
        <v>73</v>
      </c>
      <c r="B18" t="s">
        <v>74</v>
      </c>
      <c r="G18" t="s">
        <v>248</v>
      </c>
      <c r="H18">
        <v>143538</v>
      </c>
    </row>
    <row r="19" spans="1:8" x14ac:dyDescent="0.25">
      <c r="A19" t="s">
        <v>75</v>
      </c>
      <c r="B19" t="s">
        <v>76</v>
      </c>
      <c r="G19" t="s">
        <v>249</v>
      </c>
      <c r="H19">
        <v>143277</v>
      </c>
    </row>
    <row r="20" spans="1:8" x14ac:dyDescent="0.25">
      <c r="A20" t="s">
        <v>77</v>
      </c>
      <c r="B20" t="s">
        <v>78</v>
      </c>
      <c r="G20" t="s">
        <v>91</v>
      </c>
      <c r="H20">
        <v>2301936</v>
      </c>
    </row>
    <row r="21" spans="1:8" x14ac:dyDescent="0.25">
      <c r="A21" t="s">
        <v>79</v>
      </c>
      <c r="B21" t="s">
        <v>80</v>
      </c>
      <c r="G21" t="s">
        <v>72</v>
      </c>
      <c r="H21">
        <v>134905</v>
      </c>
    </row>
    <row r="22" spans="1:8" x14ac:dyDescent="0.25">
      <c r="A22" t="s">
        <v>81</v>
      </c>
      <c r="B22" t="s">
        <v>82</v>
      </c>
      <c r="G22" t="s">
        <v>250</v>
      </c>
      <c r="H22">
        <v>143539</v>
      </c>
    </row>
    <row r="23" spans="1:8" x14ac:dyDescent="0.25">
      <c r="A23" t="s">
        <v>83</v>
      </c>
      <c r="B23" t="s">
        <v>84</v>
      </c>
      <c r="G23" t="s">
        <v>251</v>
      </c>
      <c r="H23">
        <v>149831</v>
      </c>
    </row>
    <row r="24" spans="1:8" x14ac:dyDescent="0.25">
      <c r="A24" t="s">
        <v>85</v>
      </c>
      <c r="B24" t="s">
        <v>86</v>
      </c>
      <c r="G24" t="s">
        <v>96</v>
      </c>
      <c r="H24">
        <v>155687</v>
      </c>
    </row>
    <row r="25" spans="1:8" x14ac:dyDescent="0.25">
      <c r="A25" t="s">
        <v>87</v>
      </c>
      <c r="B25" t="s">
        <v>88</v>
      </c>
    </row>
    <row r="26" spans="1:8" x14ac:dyDescent="0.25">
      <c r="A26" t="s">
        <v>89</v>
      </c>
      <c r="B26" t="s">
        <v>90</v>
      </c>
    </row>
    <row r="27" spans="1:8" x14ac:dyDescent="0.25">
      <c r="A27" t="s">
        <v>92</v>
      </c>
      <c r="B27" t="s">
        <v>93</v>
      </c>
    </row>
    <row r="28" spans="1:8" x14ac:dyDescent="0.25">
      <c r="A28" t="s">
        <v>94</v>
      </c>
      <c r="B28" t="s">
        <v>95</v>
      </c>
    </row>
    <row r="29" spans="1:8" x14ac:dyDescent="0.25">
      <c r="A29" t="s">
        <v>97</v>
      </c>
      <c r="B29" t="s">
        <v>98</v>
      </c>
    </row>
    <row r="30" spans="1:8" x14ac:dyDescent="0.25">
      <c r="A30" t="s">
        <v>99</v>
      </c>
      <c r="B30" t="s">
        <v>100</v>
      </c>
    </row>
    <row r="31" spans="1:8" x14ac:dyDescent="0.25">
      <c r="A31" t="s">
        <v>101</v>
      </c>
      <c r="B31" t="s">
        <v>102</v>
      </c>
    </row>
    <row r="32" spans="1:8" x14ac:dyDescent="0.25">
      <c r="A32" t="s">
        <v>103</v>
      </c>
      <c r="B32" t="s">
        <v>103</v>
      </c>
    </row>
    <row r="33" spans="1:2" x14ac:dyDescent="0.25">
      <c r="A33" t="s">
        <v>104</v>
      </c>
      <c r="B33" t="s">
        <v>105</v>
      </c>
    </row>
    <row r="34" spans="1:2" x14ac:dyDescent="0.25">
      <c r="A34" t="s">
        <v>106</v>
      </c>
      <c r="B34" t="s">
        <v>107</v>
      </c>
    </row>
    <row r="35" spans="1:2" x14ac:dyDescent="0.25">
      <c r="A35" t="s">
        <v>108</v>
      </c>
      <c r="B35" t="s">
        <v>109</v>
      </c>
    </row>
    <row r="36" spans="1:2" x14ac:dyDescent="0.25">
      <c r="A36" t="s">
        <v>110</v>
      </c>
      <c r="B36" t="s">
        <v>111</v>
      </c>
    </row>
    <row r="37" spans="1:2" x14ac:dyDescent="0.25">
      <c r="A37" t="s">
        <v>112</v>
      </c>
      <c r="B37" t="s">
        <v>113</v>
      </c>
    </row>
    <row r="38" spans="1:2" x14ac:dyDescent="0.25">
      <c r="A38" t="s">
        <v>114</v>
      </c>
      <c r="B38" t="s">
        <v>115</v>
      </c>
    </row>
    <row r="39" spans="1:2" x14ac:dyDescent="0.25">
      <c r="A39" t="s">
        <v>116</v>
      </c>
      <c r="B39" t="s">
        <v>117</v>
      </c>
    </row>
    <row r="40" spans="1:2" x14ac:dyDescent="0.25">
      <c r="A40" t="s">
        <v>118</v>
      </c>
      <c r="B40" t="s">
        <v>119</v>
      </c>
    </row>
    <row r="41" spans="1:2" x14ac:dyDescent="0.25">
      <c r="A41" t="s">
        <v>120</v>
      </c>
      <c r="B41" t="s">
        <v>121</v>
      </c>
    </row>
    <row r="42" spans="1:2" x14ac:dyDescent="0.25">
      <c r="A42" t="s">
        <v>122</v>
      </c>
      <c r="B42" t="s">
        <v>123</v>
      </c>
    </row>
    <row r="43" spans="1:2" x14ac:dyDescent="0.25">
      <c r="A43" t="s">
        <v>124</v>
      </c>
      <c r="B43" t="s">
        <v>125</v>
      </c>
    </row>
    <row r="44" spans="1:2" x14ac:dyDescent="0.25">
      <c r="A44" t="s">
        <v>126</v>
      </c>
      <c r="B44" t="s">
        <v>127</v>
      </c>
    </row>
    <row r="45" spans="1:2" x14ac:dyDescent="0.25">
      <c r="A45" t="s">
        <v>128</v>
      </c>
      <c r="B45" t="s">
        <v>129</v>
      </c>
    </row>
    <row r="46" spans="1:2" x14ac:dyDescent="0.25">
      <c r="A46" t="s">
        <v>130</v>
      </c>
      <c r="B46" t="s">
        <v>131</v>
      </c>
    </row>
    <row r="47" spans="1:2" x14ac:dyDescent="0.25">
      <c r="A47" t="s">
        <v>132</v>
      </c>
      <c r="B47" t="s">
        <v>133</v>
      </c>
    </row>
    <row r="48" spans="1:2" x14ac:dyDescent="0.25">
      <c r="A48" t="s">
        <v>134</v>
      </c>
      <c r="B48" t="s">
        <v>135</v>
      </c>
    </row>
    <row r="49" spans="1:2" x14ac:dyDescent="0.25">
      <c r="A49" t="s">
        <v>136</v>
      </c>
      <c r="B49" t="s">
        <v>137</v>
      </c>
    </row>
    <row r="50" spans="1:2" x14ac:dyDescent="0.25">
      <c r="A50" t="s">
        <v>138</v>
      </c>
      <c r="B50" t="s">
        <v>139</v>
      </c>
    </row>
    <row r="51" spans="1:2" x14ac:dyDescent="0.25">
      <c r="A51" t="s">
        <v>140</v>
      </c>
      <c r="B51" t="s">
        <v>141</v>
      </c>
    </row>
    <row r="52" spans="1:2" x14ac:dyDescent="0.25">
      <c r="A52" t="s">
        <v>142</v>
      </c>
      <c r="B52" t="s">
        <v>143</v>
      </c>
    </row>
    <row r="53" spans="1:2" x14ac:dyDescent="0.25">
      <c r="A53" t="s">
        <v>144</v>
      </c>
      <c r="B53" t="s">
        <v>145</v>
      </c>
    </row>
    <row r="54" spans="1:2" x14ac:dyDescent="0.25">
      <c r="A54" t="s">
        <v>146</v>
      </c>
      <c r="B54" t="s">
        <v>147</v>
      </c>
    </row>
    <row r="55" spans="1:2" x14ac:dyDescent="0.25">
      <c r="A55" t="s">
        <v>148</v>
      </c>
      <c r="B55" t="s">
        <v>149</v>
      </c>
    </row>
    <row r="56" spans="1:2" x14ac:dyDescent="0.25">
      <c r="A56" t="s">
        <v>150</v>
      </c>
      <c r="B56" t="s">
        <v>151</v>
      </c>
    </row>
    <row r="57" spans="1:2" x14ac:dyDescent="0.25">
      <c r="A57" t="s">
        <v>152</v>
      </c>
      <c r="B57" t="s">
        <v>153</v>
      </c>
    </row>
    <row r="58" spans="1:2" x14ac:dyDescent="0.25">
      <c r="A58" t="s">
        <v>154</v>
      </c>
      <c r="B58" t="s">
        <v>155</v>
      </c>
    </row>
    <row r="59" spans="1:2" x14ac:dyDescent="0.25">
      <c r="A59" t="s">
        <v>156</v>
      </c>
      <c r="B59" t="s">
        <v>157</v>
      </c>
    </row>
    <row r="60" spans="1:2" x14ac:dyDescent="0.25">
      <c r="A60" t="s">
        <v>158</v>
      </c>
      <c r="B60" t="s">
        <v>159</v>
      </c>
    </row>
    <row r="61" spans="1:2" x14ac:dyDescent="0.25">
      <c r="A61" t="s">
        <v>160</v>
      </c>
      <c r="B61" t="s">
        <v>161</v>
      </c>
    </row>
    <row r="62" spans="1:2" x14ac:dyDescent="0.25">
      <c r="A62" t="s">
        <v>162</v>
      </c>
      <c r="B62" t="s">
        <v>163</v>
      </c>
    </row>
    <row r="63" spans="1:2" x14ac:dyDescent="0.25">
      <c r="A63" t="s">
        <v>164</v>
      </c>
      <c r="B63" t="s">
        <v>165</v>
      </c>
    </row>
    <row r="64" spans="1:2" x14ac:dyDescent="0.25">
      <c r="A64" t="s">
        <v>166</v>
      </c>
      <c r="B64" t="s">
        <v>167</v>
      </c>
    </row>
    <row r="65" spans="1:2" x14ac:dyDescent="0.25">
      <c r="A65" t="s">
        <v>168</v>
      </c>
      <c r="B65" t="s">
        <v>169</v>
      </c>
    </row>
    <row r="66" spans="1:2" x14ac:dyDescent="0.25">
      <c r="A66" t="s">
        <v>170</v>
      </c>
      <c r="B66" t="s">
        <v>171</v>
      </c>
    </row>
    <row r="67" spans="1:2" x14ac:dyDescent="0.25">
      <c r="A67" t="s">
        <v>172</v>
      </c>
      <c r="B67" t="s">
        <v>173</v>
      </c>
    </row>
    <row r="68" spans="1:2" x14ac:dyDescent="0.25">
      <c r="A68" t="s">
        <v>174</v>
      </c>
      <c r="B68" t="s">
        <v>175</v>
      </c>
    </row>
    <row r="69" spans="1:2" x14ac:dyDescent="0.25">
      <c r="A69" t="s">
        <v>176</v>
      </c>
      <c r="B69" t="s">
        <v>177</v>
      </c>
    </row>
    <row r="70" spans="1:2" x14ac:dyDescent="0.25">
      <c r="A70" t="s">
        <v>178</v>
      </c>
      <c r="B70" t="s">
        <v>179</v>
      </c>
    </row>
    <row r="71" spans="1:2" x14ac:dyDescent="0.25">
      <c r="A71" t="s">
        <v>180</v>
      </c>
      <c r="B71" t="s">
        <v>181</v>
      </c>
    </row>
    <row r="72" spans="1:2" x14ac:dyDescent="0.25">
      <c r="A72" t="s">
        <v>182</v>
      </c>
      <c r="B72" t="s">
        <v>183</v>
      </c>
    </row>
    <row r="73" spans="1:2" x14ac:dyDescent="0.25">
      <c r="A73" t="s">
        <v>184</v>
      </c>
      <c r="B73" t="s">
        <v>185</v>
      </c>
    </row>
    <row r="74" spans="1:2" x14ac:dyDescent="0.25">
      <c r="A74" t="s">
        <v>186</v>
      </c>
      <c r="B74" t="s">
        <v>187</v>
      </c>
    </row>
    <row r="75" spans="1:2" x14ac:dyDescent="0.25">
      <c r="A75" t="s">
        <v>188</v>
      </c>
      <c r="B75" t="s">
        <v>189</v>
      </c>
    </row>
    <row r="76" spans="1:2" x14ac:dyDescent="0.25">
      <c r="A76" t="s">
        <v>190</v>
      </c>
      <c r="B76" t="s">
        <v>191</v>
      </c>
    </row>
    <row r="77" spans="1:2" x14ac:dyDescent="0.25">
      <c r="A77" t="s">
        <v>192</v>
      </c>
      <c r="B77" t="s">
        <v>193</v>
      </c>
    </row>
    <row r="78" spans="1:2" x14ac:dyDescent="0.25">
      <c r="A78" t="s">
        <v>194</v>
      </c>
      <c r="B78" t="s">
        <v>195</v>
      </c>
    </row>
    <row r="79" spans="1:2" x14ac:dyDescent="0.25">
      <c r="A79" t="s">
        <v>196</v>
      </c>
      <c r="B79" t="s">
        <v>197</v>
      </c>
    </row>
    <row r="80" spans="1:2" x14ac:dyDescent="0.25">
      <c r="A80" t="s">
        <v>198</v>
      </c>
      <c r="B80" t="s">
        <v>199</v>
      </c>
    </row>
    <row r="81" spans="1:2" x14ac:dyDescent="0.25">
      <c r="A81" t="s">
        <v>152</v>
      </c>
      <c r="B81" t="s">
        <v>200</v>
      </c>
    </row>
    <row r="82" spans="1:2" x14ac:dyDescent="0.25">
      <c r="A82" t="s">
        <v>201</v>
      </c>
      <c r="B82" t="s">
        <v>202</v>
      </c>
    </row>
    <row r="83" spans="1:2" x14ac:dyDescent="0.25">
      <c r="A83" t="s">
        <v>203</v>
      </c>
      <c r="B83" t="s">
        <v>204</v>
      </c>
    </row>
    <row r="84" spans="1:2" x14ac:dyDescent="0.25">
      <c r="A84" t="s">
        <v>205</v>
      </c>
      <c r="B84" t="s">
        <v>206</v>
      </c>
    </row>
    <row r="85" spans="1:2" x14ac:dyDescent="0.25">
      <c r="A85" t="s">
        <v>207</v>
      </c>
      <c r="B85" t="s">
        <v>208</v>
      </c>
    </row>
    <row r="86" spans="1:2" x14ac:dyDescent="0.25">
      <c r="A86" t="s">
        <v>209</v>
      </c>
      <c r="B86" t="s">
        <v>210</v>
      </c>
    </row>
    <row r="87" spans="1:2" x14ac:dyDescent="0.25">
      <c r="A87" t="s">
        <v>211</v>
      </c>
      <c r="B87" t="s">
        <v>212</v>
      </c>
    </row>
    <row r="88" spans="1:2" x14ac:dyDescent="0.25">
      <c r="A88" t="s">
        <v>213</v>
      </c>
      <c r="B88" t="s">
        <v>214</v>
      </c>
    </row>
    <row r="89" spans="1:2" x14ac:dyDescent="0.25">
      <c r="A89" t="s">
        <v>215</v>
      </c>
      <c r="B89" t="s">
        <v>216</v>
      </c>
    </row>
    <row r="90" spans="1:2" x14ac:dyDescent="0.25">
      <c r="A90" t="s">
        <v>217</v>
      </c>
      <c r="B90" t="s">
        <v>218</v>
      </c>
    </row>
    <row r="91" spans="1:2" x14ac:dyDescent="0.25">
      <c r="A91" t="s">
        <v>219</v>
      </c>
      <c r="B91" t="s">
        <v>220</v>
      </c>
    </row>
    <row r="92" spans="1:2" x14ac:dyDescent="0.25">
      <c r="A92" t="s">
        <v>221</v>
      </c>
      <c r="B92" t="s">
        <v>222</v>
      </c>
    </row>
    <row r="93" spans="1:2" x14ac:dyDescent="0.25">
      <c r="A93" t="s">
        <v>223</v>
      </c>
      <c r="B93" t="s">
        <v>224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c6458b-6a2a-4a8f-a8a9-ca069992b972">
      <Terms xmlns="http://schemas.microsoft.com/office/infopath/2007/PartnerControls"/>
    </lcf76f155ced4ddcb4097134ff3c332f>
    <TaxCatchAll xmlns="1862dead-b916-47a4-9119-b908cf1a80c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AA55D88B5FEF34BABC0525D450BB5D7" ma:contentTypeVersion="10" ma:contentTypeDescription="Create a new document." ma:contentTypeScope="" ma:versionID="42a08194e52cfcccc079d4a50b75cdbf">
  <xsd:schema xmlns:xsd="http://www.w3.org/2001/XMLSchema" xmlns:xs="http://www.w3.org/2001/XMLSchema" xmlns:p="http://schemas.microsoft.com/office/2006/metadata/properties" xmlns:ns2="96c6458b-6a2a-4a8f-a8a9-ca069992b972" xmlns:ns3="1862dead-b916-47a4-9119-b908cf1a80cc" targetNamespace="http://schemas.microsoft.com/office/2006/metadata/properties" ma:root="true" ma:fieldsID="4dcc98ac3cd7ffd8f02c1447c05fbf1e" ns2:_="" ns3:_="">
    <xsd:import namespace="96c6458b-6a2a-4a8f-a8a9-ca069992b972"/>
    <xsd:import namespace="1862dead-b916-47a4-9119-b908cf1a80c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c6458b-6a2a-4a8f-a8a9-ca069992b97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78636ed5-d271-47e7-bcd0-1e2b1ded338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2dead-b916-47a4-9119-b908cf1a80cc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76b06e9-867c-4da0-a8b3-9ba7306929d1}" ma:internalName="TaxCatchAll" ma:showField="CatchAllData" ma:web="1862dead-b916-47a4-9119-b908cf1a80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331C58-DBD9-406D-826B-C165A899299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67E7804-5E21-4A01-AB2D-DFFD796A222E}">
  <ds:schemaRefs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elements/1.1/"/>
    <ds:schemaRef ds:uri="http://purl.org/dc/terms/"/>
    <ds:schemaRef ds:uri="1862dead-b916-47a4-9119-b908cf1a80cc"/>
    <ds:schemaRef ds:uri="96c6458b-6a2a-4a8f-a8a9-ca069992b972"/>
    <ds:schemaRef ds:uri="http://schemas.microsoft.com/office/infopath/2007/PartnerControl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A850D6E1-84C2-435A-A885-E41F36DE93A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69D9922-EFB6-428E-9B39-264C6C30A3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c6458b-6a2a-4a8f-a8a9-ca069992b972"/>
    <ds:schemaRef ds:uri="1862dead-b916-47a4-9119-b908cf1a80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Sheet1</vt:lpstr>
      <vt:lpstr>Sheet2</vt:lpstr>
      <vt:lpstr>Defects</vt:lpstr>
      <vt:lpstr>Hampers</vt:lpstr>
      <vt:lpstr>NewarkOvens</vt:lpstr>
      <vt:lpstr>TubeODs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Large Diameter Tube Serialization</dc:title>
  <dc:subject/>
  <dc:creator>Parkinson, Jesse</dc:creator>
  <cp:keywords/>
  <dc:description/>
  <cp:lastModifiedBy>Patil, Dhananjay</cp:lastModifiedBy>
  <cp:revision/>
  <dcterms:created xsi:type="dcterms:W3CDTF">2024-10-22T07:12:30Z</dcterms:created>
  <dcterms:modified xsi:type="dcterms:W3CDTF">2026-03-16T12:01:32Z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0x0101007AA55D88B5FEF34BABC0525D450BB5D7</vt:lpwstr>
  </property>
  <property fmtid="{D5CDD505-2E9C-101B-9397-08002B2CF9AE}" pid="3" name="MediaServiceImageTags">
    <vt:lpwstr/>
  </property>
</Properties>
</file>